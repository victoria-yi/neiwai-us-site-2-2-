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960" yWindow="2760" windowWidth="36080" windowHeight="24860" tabRatio="600" firstSheet="0" activeTab="1" autoFilterDateGrouping="1"/>
  </bookViews>
  <sheets>
    <sheet xmlns:r="http://schemas.openxmlformats.org/officeDocument/2006/relationships" name="Summary" sheetId="1" state="visible" r:id="rId1"/>
    <sheet xmlns:r="http://schemas.openxmlformats.org/officeDocument/2006/relationships" name="Keep List" sheetId="2" state="visible" r:id="rId2"/>
    <sheet xmlns:r="http://schemas.openxmlformats.org/officeDocument/2006/relationships" name="Keep List Descriptions" sheetId="3" state="visible" r:id="rId3"/>
    <sheet xmlns:r="http://schemas.openxmlformats.org/officeDocument/2006/relationships" name="Flash Sale List" sheetId="4" state="visible" r:id="rId4"/>
    <sheet xmlns:r="http://schemas.openxmlformats.org/officeDocument/2006/relationships" name="China Return List" sheetId="5" state="visible" r:id="rId5"/>
    <sheet xmlns:r="http://schemas.openxmlformats.org/officeDocument/2006/relationships" name="Remove List" sheetId="6" state="visible" r:id="rId6"/>
    <sheet xmlns:r="http://schemas.openxmlformats.org/officeDocument/2006/relationships" name="Product List" sheetId="7" state="visible" r:id="rId7"/>
    <sheet xmlns:r="http://schemas.openxmlformats.org/officeDocument/2006/relationships" name="Product Descriptions" sheetId="8" state="visible" r:id="rId8"/>
  </sheets>
  <definedNames>
    <definedName name="_xlnm._FilterDatabase" localSheetId="5" hidden="1">'Remove List'!$A$1:$W$446</definedName>
    <definedName name="_xlnm._FilterDatabase" localSheetId="6" hidden="1">'Product List'!$A$1:$AC$487</definedName>
  </definedNames>
  <calcPr calcId="191029" fullCalcOnLoad="1" concurrentCalc="0"/>
</workbook>
</file>

<file path=xl/styles.xml><?xml version="1.0" encoding="utf-8"?>
<styleSheet xmlns="http://schemas.openxmlformats.org/spreadsheetml/2006/main">
  <numFmts count="8">
    <numFmt numFmtId="164" formatCode="\$#,##0"/>
    <numFmt numFmtId="165" formatCode="_(* #,##0_);_(* \(#,##0\);_(* &quot;-&quot;??_);_(@_)"/>
    <numFmt numFmtId="166" formatCode="&quot;$&quot;#,##0_);[Red]\(&quot;$&quot;#,##0\)"/>
    <numFmt numFmtId="167" formatCode="&quot;$&quot;#,##0.00_);[Red]\(&quot;$&quot;#,##0.00\)"/>
    <numFmt numFmtId="168" formatCode="0.0%"/>
    <numFmt numFmtId="169" formatCode="\$#,##0.00"/>
    <numFmt numFmtId="170" formatCode="$#,##0"/>
    <numFmt numFmtId="171" formatCode="$#,##0.00"/>
  </numFmts>
  <fonts count="127">
    <font>
      <name val="Calibri"/>
      <family val="2"/>
      <color theme="1"/>
      <sz val="10"/>
      <scheme val="minor"/>
    </font>
    <font>
      <name val="Calibri"/>
      <family val="2"/>
      <color rgb="FF000000"/>
      <sz val="9.75"/>
      <scheme val="minor"/>
    </font>
    <font>
      <name val="Calibri"/>
      <family val="2"/>
      <b val="1"/>
      <color rgb="FF1B3A4B"/>
      <sz val="10.5"/>
      <scheme val="minor"/>
    </font>
    <font>
      <name val="Calibri"/>
      <family val="2"/>
      <b val="1"/>
      <color rgb="FF1B3A4B"/>
      <sz val="15.75"/>
      <scheme val="minor"/>
    </font>
    <font>
      <name val="Calibri"/>
      <family val="2"/>
      <b val="1"/>
      <color rgb="FFFFFFFF"/>
      <sz val="10.5"/>
      <scheme val="minor"/>
    </font>
    <font>
      <name val="Calibri"/>
      <family val="2"/>
      <color rgb="FF666666"/>
      <sz val="10.5"/>
      <scheme val="minor"/>
    </font>
    <font>
      <name val="Calibri"/>
      <family val="2"/>
      <b val="1"/>
      <color rgb="FF000000"/>
      <sz val="9.75"/>
      <scheme val="minor"/>
    </font>
    <font>
      <name val="Calibri"/>
      <family val="2"/>
      <b val="1"/>
      <color rgb="FF1A7A3A"/>
      <sz val="9.75"/>
      <scheme val="minor"/>
    </font>
    <font>
      <name val="Calibri"/>
      <family val="2"/>
      <b val="1"/>
      <color rgb="FFC44040"/>
      <sz val="9.75"/>
      <scheme val="minor"/>
    </font>
    <font>
      <name val="Calibri"/>
      <family val="2"/>
      <color rgb="FF000000"/>
      <sz val="10.5"/>
      <scheme val="minor"/>
    </font>
    <font>
      <name val="Arial"/>
      <family val="2"/>
      <b val="1"/>
      <color rgb="FFFFFFFF"/>
      <sz val="10"/>
    </font>
    <font>
      <name val="Calibri"/>
      <family val="2"/>
      <color rgb="FF9A7D0A"/>
      <sz val="10"/>
    </font>
    <font>
      <name val="Calibri"/>
      <family val="2"/>
      <b val="1"/>
      <color rgb="FF1E8449"/>
      <sz val="10"/>
    </font>
    <font>
      <name val="Calibri"/>
      <family val="2"/>
      <color rgb="FF1A5276"/>
      <sz val="10"/>
    </font>
    <font>
      <name val="Calibri"/>
      <family val="2"/>
      <color rgb="FF717D7E"/>
      <sz val="10"/>
    </font>
    <font>
      <name val="Calibri"/>
      <family val="2"/>
      <b val="1"/>
      <color rgb="FF922B21"/>
      <sz val="10"/>
    </font>
    <font>
      <name val="Arial"/>
      <family val="2"/>
      <b val="1"/>
      <color rgb="FFFFFFFF"/>
      <sz val="14"/>
    </font>
    <font>
      <name val="Arial"/>
      <family val="2"/>
      <i val="1"/>
      <color rgb="FFFFFFFF"/>
      <sz val="10"/>
    </font>
    <font>
      <name val="Arial"/>
      <family val="2"/>
      <b val="1"/>
      <color rgb="FFFFFFFF"/>
      <sz val="11"/>
    </font>
    <font>
      <name val="Arial"/>
      <family val="2"/>
      <b val="1"/>
      <color rgb="FF1A5276"/>
      <sz val="10"/>
    </font>
    <font>
      <name val="Arial"/>
      <family val="2"/>
      <color rgb="FF1A5276"/>
      <sz val="10"/>
    </font>
    <font>
      <name val="Arial"/>
      <family val="2"/>
      <b val="1"/>
      <color rgb="FF922B21"/>
      <sz val="10"/>
    </font>
    <font>
      <name val="Arial"/>
      <family val="2"/>
      <color rgb="FF922B21"/>
      <sz val="10"/>
    </font>
    <font>
      <name val="Arial"/>
      <family val="2"/>
      <b val="1"/>
      <color rgb="FF1E8449"/>
      <sz val="10"/>
    </font>
    <font>
      <name val="Arial"/>
      <family val="2"/>
      <color rgb="FF1E8449"/>
      <sz val="10"/>
    </font>
    <font>
      <name val="Arial"/>
      <family val="2"/>
      <b val="1"/>
      <color rgb="FF717D7E"/>
      <sz val="10"/>
    </font>
    <font>
      <name val="Arial"/>
      <family val="2"/>
      <color rgb="FF717D7E"/>
      <sz val="10"/>
    </font>
    <font>
      <name val="Arial"/>
      <family val="2"/>
      <b val="1"/>
      <color rgb="FF9A7D0A"/>
      <sz val="10"/>
    </font>
    <font>
      <name val="Arial"/>
      <family val="2"/>
      <color rgb="FF9A7D0A"/>
      <sz val="10"/>
    </font>
    <font>
      <name val="Arial"/>
      <family val="2"/>
      <b val="1"/>
      <color rgb="FFFFFFFF"/>
      <sz val="9"/>
    </font>
    <font>
      <name val="Arial"/>
      <family val="2"/>
      <color rgb="FF922B21"/>
      <sz val="9"/>
    </font>
    <font>
      <name val="Calibri"/>
      <family val="2"/>
      <sz val="10"/>
    </font>
    <font>
      <name val="Arial"/>
      <family val="2"/>
      <sz val="10"/>
    </font>
    <font>
      <name val="Arial"/>
      <family val="2"/>
      <i val="1"/>
      <color rgb="FF78281F"/>
      <sz val="9"/>
    </font>
    <font>
      <name val="Arial"/>
      <family val="2"/>
      <b val="1"/>
      <color rgb="FF922B21"/>
      <sz val="12"/>
    </font>
    <font>
      <name val="Arial"/>
      <family val="2"/>
      <b val="1"/>
      <color rgb="FF922B21"/>
      <sz val="9"/>
    </font>
    <font>
      <name val="Arial"/>
      <family val="2"/>
      <b val="1"/>
      <color rgb="FF1E6823"/>
      <sz val="9"/>
    </font>
    <font>
      <name val="Arial"/>
      <family val="2"/>
      <color rgb="FF1E6823"/>
      <sz val="9"/>
    </font>
    <font>
      <name val="Arial"/>
      <family val="2"/>
      <b val="1"/>
      <color rgb="FF1A5276"/>
      <sz val="9"/>
    </font>
    <font>
      <name val="Arial"/>
      <family val="2"/>
      <color rgb="FF1A5276"/>
      <sz val="9"/>
    </font>
    <font>
      <name val="Arial"/>
      <family val="2"/>
      <b val="1"/>
      <color rgb="FF424949"/>
      <sz val="9"/>
    </font>
    <font>
      <name val="Arial"/>
      <family val="2"/>
      <color rgb="FF424949"/>
      <sz val="9"/>
    </font>
    <font>
      <name val="Arial"/>
      <family val="2"/>
      <b val="1"/>
      <color rgb="FFFFFFFF"/>
      <sz val="13"/>
    </font>
    <font>
      <name val="Arial"/>
      <family val="2"/>
      <i val="1"/>
      <color rgb="FF1A3A52"/>
      <sz val="9"/>
    </font>
    <font>
      <name val="Arial"/>
      <family val="2"/>
      <b val="1"/>
      <color rgb="FF717D7E"/>
      <sz val="9"/>
    </font>
    <font>
      <name val="Arial"/>
      <family val="2"/>
      <color rgb="FF717D7E"/>
      <sz val="9"/>
    </font>
    <font>
      <name val="Arial"/>
      <family val="2"/>
      <b val="1"/>
      <color rgb="FF9A7D0A"/>
      <sz val="9"/>
    </font>
    <font>
      <name val="Arial"/>
      <family val="2"/>
      <color rgb="FF9A7D0A"/>
      <sz val="9"/>
    </font>
    <font>
      <name val="Calibri"/>
      <family val="2"/>
      <color rgb="FF000000"/>
      <sz val="9.75"/>
    </font>
    <font>
      <name val="Calibri"/>
      <family val="2"/>
      <color rgb="FF1A5276"/>
      <sz val="10"/>
    </font>
    <font>
      <name val="Calibri"/>
      <family val="2"/>
      <b val="1"/>
      <sz val="9"/>
    </font>
    <font>
      <name val="Calibri"/>
      <family val="2"/>
      <sz val="9"/>
    </font>
    <font>
      <name val="Calibri"/>
      <family val="2"/>
      <b val="1"/>
      <color rgb="FFFFFFFF"/>
      <sz val="9"/>
    </font>
    <font>
      <name val="Calibri"/>
      <family val="2"/>
      <color theme="1"/>
      <sz val="10"/>
    </font>
    <font>
      <name val="Calibri"/>
      <family val="2"/>
      <color theme="0"/>
      <sz val="10"/>
      <scheme val="minor"/>
    </font>
    <font>
      <name val="Arial"/>
      <family val="2"/>
      <b val="1"/>
      <color theme="0"/>
      <sz val="10"/>
    </font>
    <font>
      <name val="Calibri"/>
      <family val="2"/>
      <b val="1"/>
      <color theme="0"/>
      <sz val="10"/>
    </font>
    <font>
      <name val="Arial"/>
      <family val="2"/>
      <b val="1"/>
      <color rgb="FF4A3F35"/>
      <sz val="10"/>
    </font>
    <font>
      <name val="Arial"/>
      <family val="2"/>
      <b val="1"/>
      <color rgb="FF000000"/>
      <sz val="10"/>
    </font>
    <font>
      <name val="Arial"/>
      <family val="2"/>
      <color rgb="FF666666"/>
      <sz val="10"/>
    </font>
    <font>
      <name val="Arial"/>
      <family val="2"/>
      <color rgb="FF000000"/>
      <sz val="10"/>
    </font>
    <font>
      <name val="Arial"/>
      <family val="2"/>
      <color rgb="FF1155CC"/>
      <sz val="10"/>
      <u val="single"/>
    </font>
    <font>
      <name val="Arial"/>
      <family val="2"/>
      <color rgb="FF555555"/>
      <sz val="10"/>
    </font>
    <font>
      <name val="Calibri"/>
      <family val="2"/>
      <sz val="9"/>
    </font>
    <font>
      <name val="Calibri"/>
      <family val="2"/>
      <color theme="1"/>
      <sz val="10"/>
      <scheme val="minor"/>
    </font>
    <font>
      <name val="Calibri"/>
      <b val="1"/>
      <color rgb="00FFFFFF"/>
      <sz val="9"/>
    </font>
    <font>
      <name val="Calibri"/>
      <b val="1"/>
      <color rgb="005C1F30"/>
      <sz val="8"/>
    </font>
    <font>
      <name val="Calibri"/>
      <color rgb="00AAAAAA"/>
      <sz val="8"/>
    </font>
    <font>
      <name val="Calibri"/>
      <b val="1"/>
      <color rgb="001A1A2E"/>
      <sz val="9"/>
    </font>
    <font>
      <name val="Calibri"/>
      <i val="1"/>
      <color rgb="00888888"/>
      <sz val="8"/>
    </font>
    <font>
      <name val="Calibri"/>
      <color rgb="00444444"/>
      <sz val="9"/>
    </font>
    <font>
      <name val="Calibri"/>
      <color rgb="001A1A2E"/>
      <sz val="9"/>
    </font>
    <font>
      <name val="Calibri"/>
      <color rgb="002B5CAD"/>
      <sz val="8"/>
      <u val="single"/>
    </font>
    <font>
      <name val="Calibri"/>
      <b val="1"/>
      <color rgb="00B03030"/>
      <sz val="9"/>
    </font>
    <font>
      <name val="Calibri"/>
      <b val="1"/>
      <color rgb="001C3D5A"/>
      <sz val="8"/>
    </font>
    <font>
      <name val="Calibri"/>
      <b val="1"/>
      <color rgb="001A4429"/>
      <sz val="8"/>
    </font>
    <font>
      <name val="Calibri"/>
      <b val="1"/>
      <color rgb="001A5E20"/>
      <sz val="8"/>
    </font>
    <font>
      <name val="Calibri"/>
      <b val="1"/>
      <color rgb="00B71C1C"/>
      <sz val="8"/>
    </font>
    <font>
      <name val="Calibri"/>
      <b val="1"/>
      <color rgb="004A3820"/>
      <sz val="8"/>
    </font>
    <font>
      <name val="Calibri"/>
      <b val="1"/>
      <color rgb="002B2D6B"/>
      <sz val="8"/>
    </font>
    <font>
      <name val="Calibri"/>
      <b val="1"/>
      <color rgb="003D3020"/>
      <sz val="8"/>
    </font>
    <font>
      <name val="Calibri"/>
      <b val="1"/>
      <color rgb="00555555"/>
      <sz val="8"/>
    </font>
    <font>
      <name val="Calibri"/>
      <b val="1"/>
      <color rgb="00FFFFFF"/>
      <sz val="11"/>
    </font>
    <font>
      <name val="Calibri"/>
      <i val="1"/>
      <color rgb="00AABBCC"/>
      <sz val="9"/>
    </font>
    <font>
      <name val="Calibri"/>
      <color rgb="001A1A2E"/>
      <sz val="8"/>
    </font>
    <font>
      <name val="Calibri"/>
      <i val="1"/>
      <color rgb="00C0C0D8"/>
      <sz val="8"/>
    </font>
    <font>
      <name val="Calibri"/>
      <i val="1"/>
      <color rgb="00B0B0CC"/>
      <sz val="8"/>
    </font>
    <font>
      <name val="Calibri"/>
      <color rgb="00EFE4E8"/>
      <sz val="8"/>
    </font>
    <font>
      <name val="Calibri"/>
      <b val="1"/>
      <color rgb="004A3728"/>
      <sz val="8"/>
    </font>
    <font>
      <name val="Calibri"/>
      <color rgb="00EDE8DF"/>
      <sz val="8"/>
    </font>
    <font>
      <name val="Calibri"/>
      <color rgb="00E0EDE4"/>
      <sz val="8"/>
    </font>
    <font>
      <name val="Calibri"/>
      <b val="1"/>
      <color rgb="00333333"/>
      <sz val="8"/>
    </font>
    <font>
      <name val="Calibri"/>
      <color rgb="00E8E8E8"/>
      <sz val="8"/>
    </font>
    <font>
      <name val="Calibri"/>
      <b val="1"/>
      <color rgb="001A4429"/>
      <sz val="9"/>
    </font>
    <font>
      <name val="Calibri"/>
      <color rgb="002D6A4F"/>
      <sz val="9"/>
    </font>
    <font>
      <name val="Calibri"/>
      <color rgb="00922B21"/>
      <sz val="9"/>
    </font>
    <font>
      <name val="Calibri"/>
      <color rgb="00C0392B"/>
      <sz val="9"/>
    </font>
    <font>
      <name val="Calibri"/>
      <b val="1"/>
      <color rgb="00922B21"/>
      <sz val="9"/>
    </font>
    <font>
      <name val="Calibri"/>
      <b val="1"/>
      <color rgb="00FFFFFF"/>
      <sz val="12"/>
    </font>
    <font>
      <name val="Calibri"/>
      <i val="1"/>
      <color rgb="002A2A45"/>
      <sz val="9"/>
    </font>
    <font>
      <name val="Calibri"/>
      <b val="1"/>
      <color rgb="00FFFFFF"/>
      <sz val="13"/>
    </font>
    <font>
      <name val="Calibri"/>
      <i val="1"/>
      <color rgb="00B0B0CC"/>
      <sz val="9"/>
    </font>
    <font>
      <name val="Calibri"/>
      <b val="1"/>
      <color rgb="00FFFFFF"/>
      <sz val="10"/>
    </font>
    <font>
      <name val="Calibri"/>
      <i val="1"/>
      <color rgb="002D3A4A"/>
      <sz val="9"/>
    </font>
    <font>
      <name val="Calibri"/>
      <b val="1"/>
      <color rgb="001A5E20"/>
      <sz val="9"/>
    </font>
    <font>
      <name val="Calibri"/>
      <color rgb="00B71C1C"/>
      <sz val="9"/>
    </font>
    <font>
      <name val="Calibri"/>
      <color rgb="001A1A2E"/>
      <sz val="10"/>
    </font>
    <font>
      <name val="Calibri"/>
      <color rgb="002A2A45"/>
      <sz val="9"/>
    </font>
    <font>
      <name val="Calibri"/>
      <color rgb="00444444"/>
      <sz val="8"/>
    </font>
    <font>
      <name val="Calibri"/>
      <i val="1"/>
      <color rgb="002A5C3A"/>
      <sz val="8"/>
    </font>
    <font>
      <name val="Calibri"/>
      <b val="1"/>
      <color rgb="00C0392B"/>
      <sz val="8"/>
    </font>
    <font>
      <name val="Calibri"/>
      <color rgb="002E2E2E"/>
      <sz val="8"/>
    </font>
    <font>
      <name val="Calibri"/>
      <b val="1"/>
      <i val="1"/>
      <color rgb="00E8E8E8"/>
      <sz val="8"/>
    </font>
    <font>
      <name val="Calibri"/>
      <color rgb="004A1515"/>
      <sz val="8"/>
    </font>
    <font>
      <name val="Calibri"/>
      <color rgb="0015452A"/>
      <sz val="8"/>
    </font>
    <font>
      <name val="Calibri"/>
      <b val="1"/>
      <color rgb="00FFFFFF"/>
      <sz val="8"/>
    </font>
    <font>
      <name val="Calibri"/>
      <color rgb="005C1F30"/>
      <sz val="8"/>
    </font>
    <font>
      <name val="Calibri"/>
      <b val="1"/>
      <color rgb="00C2516C"/>
      <sz val="10"/>
    </font>
    <font>
      <name val="Calibri"/>
      <i val="1"/>
      <color rgb="00666666"/>
      <sz val="8"/>
    </font>
    <font>
      <name val="Calibri"/>
      <i val="1"/>
      <color rgb="00555555"/>
      <sz val="8"/>
    </font>
    <font>
      <name val="Calibri"/>
      <i val="1"/>
      <color rgb="00777777"/>
      <sz val="8"/>
    </font>
    <font>
      <name val="Calibri"/>
      <color rgb="002A2A2A"/>
      <sz val="8"/>
    </font>
    <font>
      <name val="Calibri"/>
      <color rgb="001C3D5A"/>
      <sz val="8"/>
    </font>
    <font>
      <name val="Calibri"/>
      <b val="1"/>
      <color rgb="002E6DA4"/>
      <sz val="10"/>
    </font>
    <font>
      <name val="Calibri"/>
      <b val="1"/>
      <color rgb="00999999"/>
      <sz val="9"/>
    </font>
    <font>
      <name val="Calibri"/>
      <color rgb="001A4429"/>
      <sz val="8"/>
    </font>
    <font>
      <name val="Calibri"/>
      <b val="1"/>
      <color rgb="002D7D4F"/>
      <sz val="10"/>
    </font>
  </fonts>
  <fills count="107">
    <fill>
      <patternFill/>
    </fill>
    <fill>
      <patternFill patternType="gray125"/>
    </fill>
    <fill>
      <patternFill patternType="solid">
        <fgColor rgb="FFF8F8F8"/>
      </patternFill>
    </fill>
    <fill>
      <patternFill patternType="solid">
        <fgColor rgb="FFE8E8E8"/>
      </patternFill>
    </fill>
    <fill>
      <patternFill patternType="solid">
        <fgColor rgb="FFF4D4D4"/>
      </patternFill>
    </fill>
    <fill>
      <patternFill patternType="solid">
        <fgColor rgb="FFEEECE1"/>
      </patternFill>
    </fill>
    <fill>
      <patternFill patternType="solid">
        <fgColor rgb="FF1B3A4B"/>
      </patternFill>
    </fill>
    <fill>
      <patternFill patternType="solid">
        <fgColor rgb="FFD83931"/>
      </patternFill>
    </fill>
    <fill>
      <patternFill patternType="solid">
        <fgColor rgb="FFFFF0F0"/>
      </patternFill>
    </fill>
    <fill>
      <patternFill patternType="solid">
        <fgColor rgb="FFFFF0F0"/>
      </patternFill>
    </fill>
    <fill>
      <patternFill patternType="solid">
        <fgColor rgb="FFFFF0F0"/>
      </patternFill>
    </fill>
    <fill>
      <patternFill patternType="solid">
        <fgColor rgb="FFC44040"/>
      </patternFill>
    </fill>
    <fill>
      <patternFill patternType="solid">
        <fgColor rgb="FFC44040"/>
        <bgColor indexed="64"/>
      </patternFill>
    </fill>
    <fill>
      <patternFill patternType="solid">
        <fgColor rgb="FF2C3E50"/>
      </patternFill>
    </fill>
    <fill>
      <patternFill patternType="solid">
        <fgColor rgb="FFFEF9E7"/>
      </patternFill>
    </fill>
    <fill>
      <patternFill patternType="solid">
        <fgColor rgb="FFEAF4E4"/>
      </patternFill>
    </fill>
    <fill>
      <patternFill patternType="solid">
        <fgColor rgb="FFD6E4F0"/>
      </patternFill>
    </fill>
    <fill>
      <patternFill patternType="solid">
        <fgColor rgb="FFF2F3F4"/>
      </patternFill>
    </fill>
    <fill>
      <patternFill patternType="solid">
        <fgColor rgb="FFFDEBD0"/>
      </patternFill>
    </fill>
    <fill>
      <patternFill patternType="solid">
        <fgColor rgb="FF5D6D7E"/>
      </patternFill>
    </fill>
    <fill>
      <patternFill patternType="solid">
        <fgColor rgb="FF1A252F"/>
      </patternFill>
    </fill>
    <fill>
      <patternFill patternType="solid">
        <fgColor rgb="FFEBF5FB"/>
      </patternFill>
    </fill>
    <fill>
      <patternFill patternType="solid">
        <fgColor rgb="FF922B21"/>
      </patternFill>
    </fill>
    <fill>
      <patternFill patternType="solid">
        <fgColor rgb="FF5D1A17"/>
      </patternFill>
    </fill>
    <fill>
      <patternFill patternType="solid">
        <fgColor rgb="FFFFFFFF"/>
      </patternFill>
    </fill>
    <fill>
      <patternFill patternType="solid">
        <fgColor rgb="FFF8F8F8"/>
      </patternFill>
    </fill>
    <fill>
      <patternFill patternType="solid">
        <fgColor rgb="FFF9EBEA"/>
      </patternFill>
    </fill>
    <fill>
      <patternFill patternType="solid">
        <fgColor rgb="FFF4F6F7"/>
      </patternFill>
    </fill>
    <fill>
      <patternFill patternType="solid">
        <fgColor rgb="FF1A5276"/>
      </patternFill>
    </fill>
    <fill>
      <patternFill patternType="solid">
        <fgColor rgb="FFF5F8FA"/>
      </patternFill>
    </fill>
    <fill>
      <patternFill patternType="solid">
        <fgColor rgb="FF7030A0"/>
        <bgColor indexed="64"/>
      </patternFill>
    </fill>
    <fill>
      <patternFill patternType="solid">
        <fgColor rgb="FFD4EDDA"/>
      </patternFill>
    </fill>
    <fill>
      <patternFill patternType="solid">
        <fgColor rgb="FFEEF4FB"/>
      </patternFill>
    </fill>
    <fill>
      <patternFill patternType="solid">
        <fgColor rgb="FFEDE8E3"/>
      </patternFill>
    </fill>
    <fill>
      <patternFill patternType="solid">
        <fgColor rgb="FFE8EEF0"/>
      </patternFill>
    </fill>
    <fill>
      <patternFill patternType="solid">
        <fgColor rgb="FFE6F0E6"/>
      </patternFill>
    </fill>
    <fill>
      <patternFill patternType="solid">
        <fgColor rgb="FFC4A882"/>
      </patternFill>
    </fill>
    <fill>
      <patternFill patternType="solid">
        <fgColor rgb="FFF0EDE9"/>
      </patternFill>
    </fill>
    <fill>
      <patternFill patternType="solid">
        <fgColor rgb="FFEBF2F5"/>
      </patternFill>
    </fill>
    <fill>
      <patternFill patternType="solid">
        <fgColor rgb="FFECF0F7"/>
      </patternFill>
    </fill>
    <fill>
      <patternFill patternType="solid">
        <fgColor rgb="FFD6E4F0"/>
      </patternFill>
    </fill>
    <fill>
      <patternFill patternType="solid">
        <fgColor rgb="FFD5E8D4"/>
      </patternFill>
    </fill>
    <fill>
      <patternFill patternType="solid">
        <fgColor rgb="FFFFF2CC"/>
      </patternFill>
    </fill>
    <fill>
      <patternFill patternType="solid">
        <fgColor rgb="FFF8CECC"/>
      </patternFill>
    </fill>
    <fill>
      <patternFill patternType="solid">
        <fgColor rgb="FF2C3E50"/>
      </patternFill>
    </fill>
    <fill>
      <patternFill patternType="solid">
        <fgColor rgb="FFE8DEF8"/>
      </patternFill>
    </fill>
    <fill>
      <patternFill patternType="solid">
        <fgColor rgb="FFF5F5F5"/>
      </patternFill>
    </fill>
    <fill>
      <patternFill patternType="solid">
        <fgColor theme="4" tint="-0.499984740745262"/>
        <bgColor indexed="64"/>
      </patternFill>
    </fill>
    <fill>
      <patternFill patternType="solid">
        <fgColor rgb="001A1A2E"/>
      </patternFill>
    </fill>
    <fill>
      <patternFill patternType="solid">
        <fgColor rgb="00EFE4E8"/>
      </patternFill>
    </fill>
    <fill>
      <patternFill patternType="solid">
        <fgColor rgb="00FDF8F9"/>
      </patternFill>
    </fill>
    <fill>
      <patternFill patternType="solid">
        <fgColor rgb="00F5EAF0"/>
      </patternFill>
    </fill>
    <fill>
      <patternFill patternType="solid">
        <fgColor rgb="00E0EAF2"/>
      </patternFill>
    </fill>
    <fill>
      <patternFill patternType="solid">
        <fgColor rgb="00F6F9FC"/>
      </patternFill>
    </fill>
    <fill>
      <patternFill patternType="solid">
        <fgColor rgb="00E8F0F7"/>
      </patternFill>
    </fill>
    <fill>
      <patternFill patternType="solid">
        <fgColor rgb="00E0EDE4"/>
      </patternFill>
    </fill>
    <fill>
      <patternFill patternType="solid">
        <fgColor rgb="00F4FAF5"/>
      </patternFill>
    </fill>
    <fill>
      <patternFill patternType="solid">
        <fgColor rgb="00E5F2E8"/>
      </patternFill>
    </fill>
    <fill>
      <patternFill patternType="solid">
        <fgColor rgb="00E8F5E9"/>
      </patternFill>
    </fill>
    <fill>
      <patternFill patternType="solid">
        <fgColor rgb="00FDECEA"/>
      </patternFill>
    </fill>
    <fill>
      <patternFill patternType="solid">
        <fgColor rgb="00F4FAF6"/>
      </patternFill>
    </fill>
    <fill>
      <patternFill patternType="solid">
        <fgColor rgb="00E8F4EC"/>
      </patternFill>
    </fill>
    <fill>
      <patternFill patternType="solid">
        <fgColor rgb="00EDE8DF"/>
      </patternFill>
    </fill>
    <fill>
      <patternFill patternType="solid">
        <fgColor rgb="00FAF7F2"/>
      </patternFill>
    </fill>
    <fill>
      <patternFill patternType="solid">
        <fgColor rgb="00F2EDE4"/>
      </patternFill>
    </fill>
    <fill>
      <patternFill patternType="solid">
        <fgColor rgb="00E8EAF2"/>
      </patternFill>
    </fill>
    <fill>
      <patternFill patternType="solid">
        <fgColor rgb="00F5F6FB"/>
      </patternFill>
    </fill>
    <fill>
      <patternFill patternType="solid">
        <fgColor rgb="00ECEEF7"/>
      </patternFill>
    </fill>
    <fill>
      <patternFill patternType="solid">
        <fgColor rgb="00E8E5E0"/>
      </patternFill>
    </fill>
    <fill>
      <patternFill patternType="solid">
        <fgColor rgb="00F8F6F2"/>
      </patternFill>
    </fill>
    <fill>
      <patternFill patternType="solid">
        <fgColor rgb="00F0EDE7"/>
      </patternFill>
    </fill>
    <fill>
      <patternFill patternType="solid">
        <fgColor rgb="00EBEBEB"/>
      </patternFill>
    </fill>
    <fill>
      <patternFill patternType="solid">
        <fgColor rgb="00F8F8F8"/>
      </patternFill>
    </fill>
    <fill>
      <patternFill patternType="solid">
        <fgColor rgb="00F0F0F0"/>
      </patternFill>
    </fill>
    <fill>
      <patternFill patternType="solid">
        <fgColor rgb="002D3A4A"/>
      </patternFill>
    </fill>
    <fill>
      <patternFill patternType="solid">
        <fgColor rgb="003A3A5C"/>
      </patternFill>
    </fill>
    <fill>
      <patternFill patternType="solid">
        <fgColor rgb="00E8E8E8"/>
      </patternFill>
    </fill>
    <fill>
      <patternFill patternType="solid">
        <fgColor rgb="00F8F9FB"/>
      </patternFill>
    </fill>
    <fill>
      <patternFill patternType="solid">
        <fgColor rgb="00FAFCFA"/>
      </patternFill>
    </fill>
    <fill>
      <patternFill patternType="solid">
        <fgColor rgb="00FBF4F6"/>
      </patternFill>
    </fill>
    <fill>
      <patternFill patternType="solid">
        <fgColor rgb="00FFFFFF"/>
      </patternFill>
    </fill>
    <fill>
      <patternFill patternType="solid">
        <fgColor rgb="00FAF7F3"/>
      </patternFill>
    </fill>
    <fill>
      <patternFill patternType="solid">
        <fgColor rgb="00EFEFEF"/>
      </patternFill>
    </fill>
    <fill>
      <patternFill patternType="solid">
        <fgColor rgb="00FAF8F0"/>
      </patternFill>
    </fill>
    <fill>
      <patternFill patternType="solid">
        <fgColor rgb="00F2EDD8"/>
      </patternFill>
    </fill>
    <fill>
      <patternFill patternType="solid">
        <fgColor rgb="00EEF0F6"/>
      </patternFill>
    </fill>
    <fill>
      <patternFill patternType="solid">
        <fgColor rgb="00D6E4F0"/>
      </patternFill>
    </fill>
    <fill>
      <patternFill patternType="solid">
        <fgColor rgb="00FDEBD0"/>
      </patternFill>
    </fill>
    <fill>
      <patternFill patternType="solid">
        <fgColor rgb="00EAF4E4"/>
      </patternFill>
    </fill>
    <fill>
      <patternFill patternType="solid">
        <fgColor rgb="00F2F3F4"/>
      </patternFill>
    </fill>
    <fill>
      <patternFill patternType="solid">
        <fgColor rgb="00FEF9E7"/>
      </patternFill>
    </fill>
    <fill>
      <patternFill patternType="solid">
        <fgColor rgb="00EEF2F8"/>
      </patternFill>
    </fill>
    <fill>
      <patternFill patternType="solid">
        <fgColor rgb="00FEF3E0"/>
      </patternFill>
    </fill>
    <fill>
      <patternFill patternType="solid">
        <fgColor rgb="00EFF4F8"/>
      </patternFill>
    </fill>
    <fill>
      <patternFill patternType="solid">
        <fgColor rgb="002E2E2E"/>
      </patternFill>
    </fill>
    <fill>
      <patternFill patternType="solid">
        <fgColor rgb="004A1515"/>
      </patternFill>
    </fill>
    <fill>
      <patternFill patternType="solid">
        <fgColor rgb="0015452A"/>
      </patternFill>
    </fill>
    <fill>
      <patternFill patternType="solid">
        <fgColor rgb="006B2020"/>
      </patternFill>
    </fill>
    <fill>
      <patternFill patternType="solid">
        <fgColor rgb="001A4A2E"/>
      </patternFill>
    </fill>
    <fill>
      <patternFill patternType="solid">
        <fgColor rgb="005C1F30"/>
      </patternFill>
    </fill>
    <fill>
      <patternFill patternType="solid">
        <fgColor rgb="00FFF6F6"/>
      </patternFill>
    </fill>
    <fill>
      <patternFill patternType="solid">
        <fgColor rgb="00F0FFF5"/>
      </patternFill>
    </fill>
    <fill>
      <patternFill patternType="solid">
        <fgColor rgb="00E6F7ED"/>
      </patternFill>
    </fill>
    <fill>
      <patternFill patternType="solid">
        <fgColor rgb="001C3D5A"/>
      </patternFill>
    </fill>
    <fill>
      <patternFill patternType="solid">
        <fgColor rgb="00F6F9FF"/>
      </patternFill>
    </fill>
    <fill>
      <patternFill patternType="solid">
        <fgColor rgb="001A4429"/>
      </patternFill>
    </fill>
    <fill>
      <patternFill patternType="solid">
        <fgColor rgb="00F6FFF8"/>
      </patternFill>
    </fill>
  </fills>
  <borders count="40">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CCCCCC"/>
      </left>
      <right style="thin">
        <color rgb="FFCCCCCC"/>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diagonal/>
    </border>
    <border>
      <left/>
      <right/>
      <top/>
      <bottom/>
      <diagonal/>
    </border>
    <border>
      <left style="thin">
        <color rgb="FFDDDDDD"/>
      </left>
      <right style="thin">
        <color rgb="FFDDDDDD"/>
      </right>
      <top style="thin">
        <color rgb="FFDDDDDD"/>
      </top>
      <bottom style="thin">
        <color rgb="FFDDDDDD"/>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right/>
      <top/>
      <bottom style="thin">
        <color rgb="FFCCCCCC"/>
      </bottom>
      <diagonal/>
    </border>
    <border>
      <bottom style="medium">
        <color rgb="00FFFFFF"/>
      </bottom>
    </border>
    <border>
      <top style="medium">
        <color rgb="005C1F30"/>
      </top>
      <bottom style="thin">
        <color rgb="00D0D0D0"/>
      </bottom>
    </border>
    <border>
      <bottom style="thin">
        <color rgb="00E2E2E2"/>
      </bottom>
    </border>
    <border>
      <top style="medium">
        <color rgb="001C3D5A"/>
      </top>
      <bottom style="thin">
        <color rgb="00D0D0D0"/>
      </bottom>
    </border>
    <border>
      <top style="medium">
        <color rgb="001A4429"/>
      </top>
      <bottom style="thin">
        <color rgb="00D0D0D0"/>
      </bottom>
    </border>
    <border>
      <bottom style="medium">
        <color rgb="00334466"/>
      </bottom>
    </border>
    <border>
      <top style="medium">
        <color rgb="005C1F30"/>
      </top>
      <bottom style="thin">
        <color rgb="00DCDCDC"/>
      </bottom>
    </border>
    <border>
      <bottom style="thin">
        <color rgb="00DCDCDC"/>
      </bottom>
    </border>
    <border>
      <top style="medium">
        <color rgb="001A4429"/>
      </top>
      <bottom style="thin">
        <color rgb="00DCDCDC"/>
      </bottom>
    </border>
    <border>
      <top style="medium">
        <color rgb="004A3820"/>
      </top>
      <bottom style="thin">
        <color rgb="00DCDCDC"/>
      </bottom>
    </border>
    <border>
      <top style="medium">
        <color rgb="002B2D6B"/>
      </top>
      <bottom style="thin">
        <color rgb="00DCDCDC"/>
      </bottom>
    </border>
    <border>
      <top style="medium">
        <color rgb="003D3020"/>
      </top>
      <bottom style="thin">
        <color rgb="00DCDCDC"/>
      </bottom>
    </border>
    <border>
      <top style="medium">
        <color rgb="00555555"/>
      </top>
      <bottom style="thin">
        <color rgb="00DCDCDC"/>
      </bottom>
    </border>
    <border/>
    <border>
      <top style="medium">
        <color rgb="004A3728"/>
      </top>
      <bottom style="thin">
        <color rgb="00D0D0D0"/>
      </bottom>
    </border>
    <border>
      <top style="medium">
        <color rgb="00333333"/>
      </top>
      <bottom style="thin">
        <color rgb="00D0D0D0"/>
      </bottom>
    </border>
    <border>
      <bottom style="thin">
        <color rgb="00D8D8D8"/>
      </bottom>
    </border>
    <border>
      <bottom style="thin">
        <color rgb="00D0D0D0"/>
      </bottom>
    </border>
    <border>
      <bottom style="thin">
        <color rgb="001A1A2E"/>
      </bottom>
    </border>
    <border>
      <bottom style="thin">
        <color rgb="00E0E0E0"/>
      </bottom>
    </border>
  </borders>
  <cellStyleXfs count="2">
    <xf numFmtId="0" fontId="64" fillId="0" borderId="14"/>
    <xf numFmtId="9" fontId="64" fillId="0" borderId="14"/>
  </cellStyleXfs>
  <cellXfs count="1049">
    <xf numFmtId="0" fontId="0" fillId="0" borderId="0" applyAlignment="1" pivotButton="0" quotePrefix="0" xfId="0">
      <alignment vertical="center"/>
    </xf>
    <xf numFmtId="0" fontId="1" fillId="0" borderId="1" pivotButton="0" quotePrefix="0" xfId="0"/>
    <xf numFmtId="164" fontId="1" fillId="0" borderId="2" pivotButton="0" quotePrefix="0" xfId="0"/>
    <xf numFmtId="0" fontId="3" fillId="0" borderId="3" pivotButton="0" quotePrefix="0" xfId="0"/>
    <xf numFmtId="3" fontId="1" fillId="0" borderId="4" pivotButton="0" quotePrefix="0" xfId="0"/>
    <xf numFmtId="0" fontId="5" fillId="0" borderId="5" pivotButton="0" quotePrefix="0" xfId="0"/>
    <xf numFmtId="0" fontId="1" fillId="8" borderId="7" pivotButton="0" quotePrefix="0" xfId="0"/>
    <xf numFmtId="164" fontId="1" fillId="9" borderId="8" pivotButton="0" quotePrefix="0" xfId="0"/>
    <xf numFmtId="3" fontId="1" fillId="10" borderId="9" pivotButton="0" quotePrefix="0" xfId="0"/>
    <xf numFmtId="0" fontId="0" fillId="0" borderId="0" pivotButton="0" quotePrefix="0" xfId="0"/>
    <xf numFmtId="0" fontId="11" fillId="14" borderId="0" applyAlignment="1" pivotButton="0" quotePrefix="0" xfId="0">
      <alignment horizontal="center" vertical="center" wrapText="1"/>
    </xf>
    <xf numFmtId="0" fontId="12" fillId="15" borderId="0" applyAlignment="1" pivotButton="0" quotePrefix="0" xfId="0">
      <alignment horizontal="center" vertical="center" wrapText="1"/>
    </xf>
    <xf numFmtId="0" fontId="1" fillId="15" borderId="1" pivotButton="0" quotePrefix="0" xfId="0"/>
    <xf numFmtId="164" fontId="1" fillId="15" borderId="2" pivotButton="0" quotePrefix="0" xfId="0"/>
    <xf numFmtId="3" fontId="1" fillId="15" borderId="4" pivotButton="0" quotePrefix="0" xfId="0"/>
    <xf numFmtId="0" fontId="13" fillId="16" borderId="0" applyAlignment="1" pivotButton="0" quotePrefix="0" xfId="0">
      <alignment horizontal="center" vertical="center" wrapText="1"/>
    </xf>
    <xf numFmtId="0" fontId="14" fillId="17" borderId="0" applyAlignment="1" pivotButton="0" quotePrefix="0" xfId="0">
      <alignment horizontal="center" vertical="center" wrapText="1"/>
    </xf>
    <xf numFmtId="0" fontId="15" fillId="18" borderId="0" applyAlignment="1" pivotButton="0" quotePrefix="0" xfId="0">
      <alignment horizontal="center" vertical="center" wrapText="1"/>
    </xf>
    <xf numFmtId="0" fontId="1" fillId="18" borderId="1" pivotButton="0" quotePrefix="0" xfId="0"/>
    <xf numFmtId="164" fontId="1" fillId="18" borderId="2" pivotButton="0" quotePrefix="0" xfId="0"/>
    <xf numFmtId="3" fontId="1" fillId="18" borderId="4" pivotButton="0" quotePrefix="0" xfId="0"/>
    <xf numFmtId="0" fontId="18" fillId="20" borderId="0" applyAlignment="1" pivotButton="0" quotePrefix="0" xfId="0">
      <alignment horizontal="left" vertical="center"/>
    </xf>
    <xf numFmtId="0" fontId="0" fillId="20" borderId="0" pivotButton="0" quotePrefix="0" xfId="0"/>
    <xf numFmtId="0" fontId="10" fillId="13" borderId="0" applyAlignment="1" pivotButton="0" quotePrefix="0" xfId="0">
      <alignment horizontal="center" vertical="center"/>
    </xf>
    <xf numFmtId="0" fontId="19" fillId="16" borderId="0" applyAlignment="1" pivotButton="0" quotePrefix="0" xfId="0">
      <alignment horizontal="left" vertical="center" wrapText="1"/>
    </xf>
    <xf numFmtId="0" fontId="20" fillId="16" borderId="0" applyAlignment="1" pivotButton="0" quotePrefix="0" xfId="0">
      <alignment horizontal="center" vertical="center" wrapText="1"/>
    </xf>
    <xf numFmtId="0" fontId="20" fillId="16" borderId="0" applyAlignment="1" pivotButton="0" quotePrefix="0" xfId="0">
      <alignment horizontal="left" vertical="center" wrapText="1"/>
    </xf>
    <xf numFmtId="0" fontId="21" fillId="18" borderId="0" applyAlignment="1" pivotButton="0" quotePrefix="0" xfId="0">
      <alignment horizontal="left" vertical="center" wrapText="1"/>
    </xf>
    <xf numFmtId="0" fontId="22" fillId="18" borderId="0" applyAlignment="1" pivotButton="0" quotePrefix="0" xfId="0">
      <alignment horizontal="center" vertical="center" wrapText="1"/>
    </xf>
    <xf numFmtId="0" fontId="22" fillId="18" borderId="0" applyAlignment="1" pivotButton="0" quotePrefix="0" xfId="0">
      <alignment horizontal="left" vertical="center" wrapText="1"/>
    </xf>
    <xf numFmtId="0" fontId="23" fillId="15" borderId="0" applyAlignment="1" pivotButton="0" quotePrefix="0" xfId="0">
      <alignment horizontal="left" vertical="center" wrapText="1"/>
    </xf>
    <xf numFmtId="0" fontId="24" fillId="15" borderId="0" applyAlignment="1" pivotButton="0" quotePrefix="0" xfId="0">
      <alignment horizontal="center" vertical="center" wrapText="1"/>
    </xf>
    <xf numFmtId="0" fontId="24" fillId="15" borderId="0" applyAlignment="1" pivotButton="0" quotePrefix="0" xfId="0">
      <alignment horizontal="left" vertical="center" wrapText="1"/>
    </xf>
    <xf numFmtId="0" fontId="25" fillId="17" borderId="0" applyAlignment="1" pivotButton="0" quotePrefix="0" xfId="0">
      <alignment horizontal="left" vertical="center" wrapText="1"/>
    </xf>
    <xf numFmtId="0" fontId="26" fillId="17" borderId="0" applyAlignment="1" pivotButton="0" quotePrefix="0" xfId="0">
      <alignment horizontal="center" vertical="center" wrapText="1"/>
    </xf>
    <xf numFmtId="0" fontId="26" fillId="17" borderId="0" applyAlignment="1" pivotButton="0" quotePrefix="0" xfId="0">
      <alignment horizontal="left" vertical="center" wrapText="1"/>
    </xf>
    <xf numFmtId="0" fontId="27" fillId="14" borderId="0" applyAlignment="1" pivotButton="0" quotePrefix="0" xfId="0">
      <alignment horizontal="left" vertical="center" wrapText="1"/>
    </xf>
    <xf numFmtId="0" fontId="28" fillId="14" borderId="0" applyAlignment="1" pivotButton="0" quotePrefix="0" xfId="0">
      <alignment horizontal="center" vertical="center" wrapText="1"/>
    </xf>
    <xf numFmtId="0" fontId="28" fillId="14" borderId="0" applyAlignment="1" pivotButton="0" quotePrefix="0" xfId="0">
      <alignment horizontal="left" vertical="center" wrapText="1"/>
    </xf>
    <xf numFmtId="0" fontId="10" fillId="13" borderId="0" applyAlignment="1" pivotButton="0" quotePrefix="0" xfId="0">
      <alignment horizontal="left" vertical="center"/>
    </xf>
    <xf numFmtId="0" fontId="29" fillId="13" borderId="0" applyAlignment="1" pivotButton="0" quotePrefix="0" xfId="0">
      <alignment horizontal="center" vertical="center"/>
    </xf>
    <xf numFmtId="0" fontId="32" fillId="0" borderId="13" pivotButton="0" quotePrefix="0" xfId="0"/>
    <xf numFmtId="0" fontId="29" fillId="13" borderId="13" applyAlignment="1" pivotButton="0" quotePrefix="0" xfId="0">
      <alignment horizontal="center" vertical="center"/>
    </xf>
    <xf numFmtId="0" fontId="35" fillId="26" borderId="13" applyAlignment="1" pivotButton="0" quotePrefix="0" xfId="0">
      <alignment horizontal="left" vertical="center"/>
    </xf>
    <xf numFmtId="0" fontId="30" fillId="26" borderId="13" applyAlignment="1" pivotButton="0" quotePrefix="0" xfId="0">
      <alignment horizontal="center" vertical="center"/>
    </xf>
    <xf numFmtId="0" fontId="36" fillId="15" borderId="13" applyAlignment="1" pivotButton="0" quotePrefix="0" xfId="0">
      <alignment horizontal="left" vertical="center"/>
    </xf>
    <xf numFmtId="0" fontId="37" fillId="15" borderId="13" applyAlignment="1" pivotButton="0" quotePrefix="0" xfId="0">
      <alignment horizontal="center" vertical="center"/>
    </xf>
    <xf numFmtId="0" fontId="38" fillId="21" borderId="13" applyAlignment="1" pivotButton="0" quotePrefix="0" xfId="0">
      <alignment horizontal="left" vertical="center"/>
    </xf>
    <xf numFmtId="0" fontId="39" fillId="21" borderId="13" applyAlignment="1" pivotButton="0" quotePrefix="0" xfId="0">
      <alignment horizontal="center" vertical="center"/>
    </xf>
    <xf numFmtId="0" fontId="40" fillId="27" borderId="13" applyAlignment="1" pivotButton="0" quotePrefix="0" xfId="0">
      <alignment horizontal="left" vertical="center"/>
    </xf>
    <xf numFmtId="0" fontId="41" fillId="27" borderId="13" applyAlignment="1" pivotButton="0" quotePrefix="0" xfId="0">
      <alignment horizontal="center" vertical="center"/>
    </xf>
    <xf numFmtId="0" fontId="29" fillId="22" borderId="13" applyAlignment="1" pivotButton="0" quotePrefix="0" xfId="0">
      <alignment horizontal="left" vertical="center"/>
    </xf>
    <xf numFmtId="0" fontId="29" fillId="22" borderId="13" applyAlignment="1" pivotButton="0" quotePrefix="0" xfId="0">
      <alignment horizontal="center" vertical="center"/>
    </xf>
    <xf numFmtId="0" fontId="0" fillId="0" borderId="13" pivotButton="0" quotePrefix="0" xfId="0"/>
    <xf numFmtId="0" fontId="6" fillId="3" borderId="13" pivotButton="0" quotePrefix="0" xfId="0"/>
    <xf numFmtId="0" fontId="7" fillId="3" borderId="13" applyAlignment="1" pivotButton="0" quotePrefix="0" xfId="0">
      <alignment horizontal="center"/>
    </xf>
    <xf numFmtId="0" fontId="8" fillId="3" borderId="13" applyAlignment="1" pivotButton="0" quotePrefix="0" xfId="0">
      <alignment horizontal="center"/>
    </xf>
    <xf numFmtId="0" fontId="1" fillId="0" borderId="13" pivotButton="0" quotePrefix="0" xfId="0"/>
    <xf numFmtId="3" fontId="1" fillId="0" borderId="13" applyAlignment="1" pivotButton="0" quotePrefix="0" xfId="0">
      <alignment horizontal="right"/>
    </xf>
    <xf numFmtId="0" fontId="1" fillId="0" borderId="13" applyAlignment="1" pivotButton="0" quotePrefix="0" xfId="0">
      <alignment horizontal="right"/>
    </xf>
    <xf numFmtId="164" fontId="1" fillId="0" borderId="13" applyAlignment="1" pivotButton="0" quotePrefix="0" xfId="0">
      <alignment horizontal="right"/>
    </xf>
    <xf numFmtId="10" fontId="1" fillId="0" borderId="13" applyAlignment="1" pivotButton="0" quotePrefix="0" xfId="0">
      <alignment horizontal="right"/>
    </xf>
    <xf numFmtId="165" fontId="1" fillId="0" borderId="13" applyAlignment="1" pivotButton="0" quotePrefix="0" xfId="0">
      <alignment horizontal="right"/>
    </xf>
    <xf numFmtId="0" fontId="2" fillId="0" borderId="13" pivotButton="0" quotePrefix="0" xfId="0"/>
    <xf numFmtId="0" fontId="4" fillId="6" borderId="13" applyAlignment="1" pivotButton="0" quotePrefix="0" xfId="0">
      <alignment horizontal="center"/>
    </xf>
    <xf numFmtId="0" fontId="4" fillId="6" borderId="13" applyAlignment="1" pivotButton="0" quotePrefix="0" xfId="0">
      <alignment horizontal="center" vertical="center"/>
    </xf>
    <xf numFmtId="0" fontId="1" fillId="2" borderId="13" pivotButton="0" quotePrefix="0" xfId="0"/>
    <xf numFmtId="0" fontId="1" fillId="2" borderId="13" applyAlignment="1" pivotButton="0" quotePrefix="0" xfId="0">
      <alignment horizontal="right"/>
    </xf>
    <xf numFmtId="164" fontId="1" fillId="2" borderId="13" pivotButton="0" quotePrefix="0" xfId="0"/>
    <xf numFmtId="3" fontId="1" fillId="2" borderId="13" pivotButton="0" quotePrefix="0" xfId="0"/>
    <xf numFmtId="164" fontId="1" fillId="0" borderId="13" pivotButton="0" quotePrefix="0" xfId="0"/>
    <xf numFmtId="3" fontId="1" fillId="0" borderId="13" pivotButton="0" quotePrefix="0" xfId="0"/>
    <xf numFmtId="0" fontId="4" fillId="6" borderId="13" pivotButton="0" quotePrefix="0" xfId="0"/>
    <xf numFmtId="0" fontId="4" fillId="6" borderId="13" applyAlignment="1" pivotButton="0" quotePrefix="0" xfId="0">
      <alignment horizontal="center" vertical="top"/>
    </xf>
    <xf numFmtId="0" fontId="1" fillId="0" borderId="13" applyAlignment="1" pivotButton="0" quotePrefix="0" xfId="0">
      <alignment horizontal="center"/>
    </xf>
    <xf numFmtId="3" fontId="1" fillId="0" borderId="13" applyAlignment="1" pivotButton="0" quotePrefix="0" xfId="0">
      <alignment horizontal="center"/>
    </xf>
    <xf numFmtId="0" fontId="31" fillId="0" borderId="13" pivotButton="0" quotePrefix="0" xfId="0"/>
    <xf numFmtId="0" fontId="31" fillId="0" borderId="13" applyAlignment="1" pivotButton="0" quotePrefix="0" xfId="0">
      <alignment horizontal="left" vertical="center" wrapText="1"/>
    </xf>
    <xf numFmtId="0" fontId="31" fillId="0" borderId="13" applyAlignment="1" pivotButton="0" quotePrefix="0" xfId="0">
      <alignment horizontal="center" vertical="center"/>
    </xf>
    <xf numFmtId="0" fontId="31" fillId="0" borderId="13" applyAlignment="1" pivotButton="0" quotePrefix="0" xfId="0">
      <alignment horizontal="center" vertical="center" wrapText="1"/>
    </xf>
    <xf numFmtId="0" fontId="31" fillId="0" borderId="13" applyAlignment="1" pivotButton="0" quotePrefix="0" xfId="0">
      <alignment horizontal="left" vertical="center"/>
    </xf>
    <xf numFmtId="3" fontId="32" fillId="0" borderId="13" pivotButton="0" quotePrefix="0" xfId="0"/>
    <xf numFmtId="164" fontId="32" fillId="0" borderId="13" pivotButton="0" quotePrefix="0" xfId="0"/>
    <xf numFmtId="10" fontId="32" fillId="0" borderId="13" pivotButton="0" quotePrefix="0" xfId="0"/>
    <xf numFmtId="165" fontId="32" fillId="0" borderId="13" pivotButton="0" quotePrefix="0" xfId="0"/>
    <xf numFmtId="0" fontId="29" fillId="13" borderId="0" applyAlignment="1" pivotButton="0" quotePrefix="0" xfId="0">
      <alignment horizontal="center" vertical="center" wrapText="1"/>
    </xf>
    <xf numFmtId="0" fontId="40" fillId="27" borderId="0" applyAlignment="1" pivotButton="0" quotePrefix="0" xfId="0">
      <alignment horizontal="left" vertical="center"/>
    </xf>
    <xf numFmtId="0" fontId="41" fillId="27" borderId="0" applyAlignment="1" pivotButton="0" quotePrefix="0" xfId="0">
      <alignment horizontal="center" vertical="center"/>
    </xf>
    <xf numFmtId="0" fontId="40" fillId="27" borderId="0" applyAlignment="1" pivotButton="0" quotePrefix="0" xfId="0">
      <alignment horizontal="center" vertical="center"/>
    </xf>
    <xf numFmtId="0" fontId="36" fillId="15" borderId="0" applyAlignment="1" pivotButton="0" quotePrefix="0" xfId="0">
      <alignment horizontal="left" vertical="center"/>
    </xf>
    <xf numFmtId="0" fontId="37" fillId="15" borderId="0" applyAlignment="1" pivotButton="0" quotePrefix="0" xfId="0">
      <alignment horizontal="center" vertical="center"/>
    </xf>
    <xf numFmtId="0" fontId="36" fillId="15" borderId="0" applyAlignment="1" pivotButton="0" quotePrefix="0" xfId="0">
      <alignment horizontal="center" vertical="center"/>
    </xf>
    <xf numFmtId="0" fontId="35" fillId="26" borderId="0" applyAlignment="1" pivotButton="0" quotePrefix="0" xfId="0">
      <alignment horizontal="left" vertical="center"/>
    </xf>
    <xf numFmtId="0" fontId="30" fillId="26" borderId="0" applyAlignment="1" pivotButton="0" quotePrefix="0" xfId="0">
      <alignment horizontal="center" vertical="center"/>
    </xf>
    <xf numFmtId="0" fontId="35" fillId="26" borderId="0" applyAlignment="1" pivotButton="0" quotePrefix="0" xfId="0">
      <alignment horizontal="center" vertical="center"/>
    </xf>
    <xf numFmtId="0" fontId="38" fillId="21" borderId="0" applyAlignment="1" pivotButton="0" quotePrefix="0" xfId="0">
      <alignment horizontal="left" vertical="center"/>
    </xf>
    <xf numFmtId="0" fontId="39" fillId="21" borderId="0" applyAlignment="1" pivotButton="0" quotePrefix="0" xfId="0">
      <alignment horizontal="center" vertical="center"/>
    </xf>
    <xf numFmtId="0" fontId="38" fillId="21" borderId="0" applyAlignment="1" pivotButton="0" quotePrefix="0" xfId="0">
      <alignment horizontal="center" vertical="center"/>
    </xf>
    <xf numFmtId="0" fontId="44" fillId="27" borderId="0" applyAlignment="1" pivotButton="0" quotePrefix="0" xfId="0">
      <alignment horizontal="left" vertical="center"/>
    </xf>
    <xf numFmtId="0" fontId="45" fillId="27" borderId="0" applyAlignment="1" pivotButton="0" quotePrefix="0" xfId="0">
      <alignment horizontal="center" vertical="center"/>
    </xf>
    <xf numFmtId="0" fontId="44" fillId="27" borderId="0" applyAlignment="1" pivotButton="0" quotePrefix="0" xfId="0">
      <alignment horizontal="center" vertical="center"/>
    </xf>
    <xf numFmtId="0" fontId="46" fillId="14" borderId="0" applyAlignment="1" pivotButton="0" quotePrefix="0" xfId="0">
      <alignment horizontal="left" vertical="center"/>
    </xf>
    <xf numFmtId="0" fontId="47" fillId="14" borderId="0" applyAlignment="1" pivotButton="0" quotePrefix="0" xfId="0">
      <alignment horizontal="center" vertical="center"/>
    </xf>
    <xf numFmtId="0" fontId="46" fillId="14" borderId="0" applyAlignment="1" pivotButton="0" quotePrefix="0" xfId="0">
      <alignment horizontal="center" vertical="center"/>
    </xf>
    <xf numFmtId="0" fontId="29" fillId="28" borderId="0" applyAlignment="1" pivotButton="0" quotePrefix="0" xfId="0">
      <alignment horizontal="left" vertical="center"/>
    </xf>
    <xf numFmtId="0" fontId="29" fillId="28" borderId="0" applyAlignment="1" pivotButton="0" quotePrefix="0" xfId="0">
      <alignment horizontal="center" vertical="center"/>
    </xf>
    <xf numFmtId="0" fontId="1" fillId="30" borderId="1" pivotButton="0" quotePrefix="0" xfId="0"/>
    <xf numFmtId="0" fontId="1" fillId="30" borderId="7" pivotButton="0" quotePrefix="0" xfId="0"/>
    <xf numFmtId="0" fontId="48" fillId="0" borderId="0" pivotButton="0" quotePrefix="0" xfId="0"/>
    <xf numFmtId="0" fontId="49" fillId="16" borderId="0" applyAlignment="1" pivotButton="0" quotePrefix="0" xfId="0">
      <alignment horizontal="center" vertical="center" wrapText="1"/>
    </xf>
    <xf numFmtId="0" fontId="0" fillId="0" borderId="14" applyAlignment="1" pivotButton="0" quotePrefix="0" xfId="0">
      <alignment vertical="center"/>
    </xf>
    <xf numFmtId="0" fontId="50" fillId="40" borderId="12" applyAlignment="1" pivotButton="0" quotePrefix="0" xfId="0">
      <alignment horizontal="left" vertical="center"/>
    </xf>
    <xf numFmtId="0" fontId="50" fillId="40" borderId="12" applyAlignment="1" pivotButton="0" quotePrefix="0" xfId="0">
      <alignment horizontal="center" vertical="center"/>
    </xf>
    <xf numFmtId="0" fontId="50" fillId="40" borderId="12" applyAlignment="1" pivotButton="0" quotePrefix="0" xfId="0">
      <alignment horizontal="left" vertical="center" wrapText="1"/>
    </xf>
    <xf numFmtId="166" fontId="50" fillId="40" borderId="12" applyAlignment="1" pivotButton="0" quotePrefix="0" xfId="0">
      <alignment horizontal="center" vertical="center"/>
    </xf>
    <xf numFmtId="0" fontId="50" fillId="40" borderId="12" applyAlignment="1" pivotButton="0" quotePrefix="0" xfId="0">
      <alignment horizontal="center" vertical="center" wrapText="1"/>
    </xf>
    <xf numFmtId="167" fontId="50" fillId="40" borderId="0" applyAlignment="1" pivotButton="0" quotePrefix="0" xfId="0">
      <alignment vertical="center"/>
    </xf>
    <xf numFmtId="0" fontId="51" fillId="24" borderId="19" applyAlignment="1" pivotButton="0" quotePrefix="0" xfId="0">
      <alignment horizontal="left" vertical="center" wrapText="1"/>
    </xf>
    <xf numFmtId="167" fontId="51" fillId="24" borderId="19" applyAlignment="1" pivotButton="0" quotePrefix="0" xfId="0">
      <alignment horizontal="left" vertical="center" wrapText="1"/>
    </xf>
    <xf numFmtId="0" fontId="51" fillId="25" borderId="19" applyAlignment="1" pivotButton="0" quotePrefix="0" xfId="0">
      <alignment horizontal="left" vertical="center" wrapText="1"/>
    </xf>
    <xf numFmtId="167" fontId="51" fillId="25" borderId="19" applyAlignment="1" pivotButton="0" quotePrefix="0" xfId="0">
      <alignment horizontal="left" vertical="center" wrapText="1"/>
    </xf>
    <xf numFmtId="0" fontId="50" fillId="41" borderId="12" applyAlignment="1" pivotButton="0" quotePrefix="0" xfId="0">
      <alignment horizontal="left" vertical="center"/>
    </xf>
    <xf numFmtId="0" fontId="50" fillId="41" borderId="12" applyAlignment="1" pivotButton="0" quotePrefix="0" xfId="0">
      <alignment horizontal="center" vertical="center"/>
    </xf>
    <xf numFmtId="0" fontId="50" fillId="41" borderId="12" applyAlignment="1" pivotButton="0" quotePrefix="0" xfId="0">
      <alignment horizontal="left" vertical="center" wrapText="1"/>
    </xf>
    <xf numFmtId="0" fontId="50" fillId="41" borderId="12" applyAlignment="1" pivotButton="0" quotePrefix="0" xfId="0">
      <alignment horizontal="center" vertical="center" wrapText="1"/>
    </xf>
    <xf numFmtId="167" fontId="50" fillId="41" borderId="0" applyAlignment="1" pivotButton="0" quotePrefix="0" xfId="0">
      <alignment vertical="center"/>
    </xf>
    <xf numFmtId="0" fontId="50" fillId="42" borderId="12" applyAlignment="1" pivotButton="0" quotePrefix="0" xfId="0">
      <alignment horizontal="left" vertical="center"/>
    </xf>
    <xf numFmtId="0" fontId="50" fillId="42" borderId="12" applyAlignment="1" pivotButton="0" quotePrefix="0" xfId="0">
      <alignment horizontal="center" vertical="center"/>
    </xf>
    <xf numFmtId="0" fontId="50" fillId="42" borderId="12" applyAlignment="1" pivotButton="0" quotePrefix="0" xfId="0">
      <alignment horizontal="left" vertical="center" wrapText="1"/>
    </xf>
    <xf numFmtId="0" fontId="50" fillId="42" borderId="12" applyAlignment="1" pivotButton="0" quotePrefix="0" xfId="0">
      <alignment horizontal="center" vertical="center" wrapText="1"/>
    </xf>
    <xf numFmtId="167" fontId="50" fillId="42" borderId="0" applyAlignment="1" pivotButton="0" quotePrefix="0" xfId="0">
      <alignment vertical="center"/>
    </xf>
    <xf numFmtId="0" fontId="50" fillId="43" borderId="0" applyAlignment="1" pivotButton="0" quotePrefix="0" xfId="0">
      <alignment horizontal="left" vertical="center"/>
    </xf>
    <xf numFmtId="0" fontId="50" fillId="43" borderId="0" pivotButton="0" quotePrefix="0" xfId="0"/>
    <xf numFmtId="0" fontId="52" fillId="44" borderId="0" pivotButton="0" quotePrefix="0" xfId="0"/>
    <xf numFmtId="0" fontId="50" fillId="43" borderId="15" applyAlignment="1" pivotButton="0" quotePrefix="0" xfId="0">
      <alignment horizontal="left" vertical="center"/>
    </xf>
    <xf numFmtId="0" fontId="51" fillId="24" borderId="19" applyAlignment="1" pivotButton="0" quotePrefix="0" xfId="0">
      <alignment horizontal="center" vertical="center"/>
    </xf>
    <xf numFmtId="0" fontId="51" fillId="24" borderId="19" applyAlignment="1" pivotButton="0" quotePrefix="0" xfId="0">
      <alignment horizontal="center" vertical="center" wrapText="1"/>
    </xf>
    <xf numFmtId="0" fontId="51" fillId="29" borderId="19" applyAlignment="1" pivotButton="0" quotePrefix="0" xfId="0">
      <alignment horizontal="left" vertical="center" wrapText="1"/>
    </xf>
    <xf numFmtId="0" fontId="51" fillId="29" borderId="19" applyAlignment="1" pivotButton="0" quotePrefix="0" xfId="0">
      <alignment horizontal="center" vertical="center"/>
    </xf>
    <xf numFmtId="0" fontId="51" fillId="29" borderId="19" applyAlignment="1" pivotButton="0" quotePrefix="0" xfId="0">
      <alignment horizontal="center" vertical="center" wrapText="1"/>
    </xf>
    <xf numFmtId="0" fontId="50" fillId="41" borderId="15" applyAlignment="1" pivotButton="0" quotePrefix="0" xfId="0">
      <alignment horizontal="left" vertical="center"/>
    </xf>
    <xf numFmtId="0" fontId="50" fillId="40" borderId="15" applyAlignment="1" pivotButton="0" quotePrefix="0" xfId="0">
      <alignment horizontal="left" vertical="center"/>
    </xf>
    <xf numFmtId="0" fontId="50" fillId="42" borderId="15" applyAlignment="1" pivotButton="0" quotePrefix="0" xfId="0">
      <alignment horizontal="left" vertical="center"/>
    </xf>
    <xf numFmtId="0" fontId="50" fillId="45" borderId="15" applyAlignment="1" pivotButton="0" quotePrefix="0" xfId="0">
      <alignment horizontal="left" vertical="center"/>
    </xf>
    <xf numFmtId="0" fontId="50" fillId="46" borderId="15" applyAlignment="1" pivotButton="0" quotePrefix="0" xfId="0">
      <alignment horizontal="left" vertical="center"/>
    </xf>
    <xf numFmtId="0" fontId="51" fillId="29" borderId="19" pivotButton="0" quotePrefix="0" xfId="0"/>
    <xf numFmtId="0" fontId="51" fillId="24" borderId="19" pivotButton="0" quotePrefix="0" xfId="0"/>
    <xf numFmtId="0" fontId="51" fillId="0" borderId="0" applyAlignment="1" pivotButton="0" quotePrefix="0" xfId="0">
      <alignment horizontal="center" vertical="center"/>
    </xf>
    <xf numFmtId="0" fontId="50" fillId="13" borderId="0" applyAlignment="1" pivotButton="0" quotePrefix="0" xfId="0">
      <alignment horizontal="center" vertical="center" wrapText="1"/>
    </xf>
    <xf numFmtId="0" fontId="50" fillId="13" borderId="12" applyAlignment="1" pivotButton="0" quotePrefix="0" xfId="0">
      <alignment horizontal="center" vertical="center" wrapText="1"/>
    </xf>
    <xf numFmtId="0" fontId="51" fillId="25" borderId="19" applyAlignment="1" pivotButton="0" quotePrefix="0" xfId="0">
      <alignment horizontal="center" vertical="center"/>
    </xf>
    <xf numFmtId="0" fontId="50" fillId="12" borderId="10" applyAlignment="1" pivotButton="0" quotePrefix="0" xfId="0">
      <alignment horizontal="center" vertical="center" wrapText="1"/>
    </xf>
    <xf numFmtId="0" fontId="50" fillId="12" borderId="11" applyAlignment="1" pivotButton="0" quotePrefix="0" xfId="0">
      <alignment horizontal="center" vertical="center" wrapText="1"/>
    </xf>
    <xf numFmtId="0" fontId="50" fillId="12" borderId="0" applyAlignment="1" pivotButton="0" quotePrefix="0" xfId="0">
      <alignment horizontal="center" vertical="center" wrapText="1"/>
    </xf>
    <xf numFmtId="3" fontId="51" fillId="10" borderId="9" applyAlignment="1" pivotButton="0" quotePrefix="0" xfId="0">
      <alignment horizontal="center" vertical="center"/>
    </xf>
    <xf numFmtId="3" fontId="51" fillId="10" borderId="11" applyAlignment="1" pivotButton="0" quotePrefix="0" xfId="0">
      <alignment horizontal="center" vertical="center"/>
    </xf>
    <xf numFmtId="0" fontId="51" fillId="10" borderId="0" applyAlignment="1" pivotButton="0" quotePrefix="0" xfId="0">
      <alignment horizontal="center" vertical="center"/>
    </xf>
    <xf numFmtId="0" fontId="1" fillId="0" borderId="12" pivotButton="0" quotePrefix="0" xfId="0"/>
    <xf numFmtId="0" fontId="7" fillId="31" borderId="12" pivotButton="0" quotePrefix="0" xfId="0"/>
    <xf numFmtId="164" fontId="1" fillId="0" borderId="12" pivotButton="0" quotePrefix="0" xfId="0"/>
    <xf numFmtId="168" fontId="1" fillId="0" borderId="12" pivotButton="0" quotePrefix="0" xfId="0"/>
    <xf numFmtId="3" fontId="1" fillId="0" borderId="12" pivotButton="0" quotePrefix="0" xfId="0"/>
    <xf numFmtId="169" fontId="1" fillId="0" borderId="12" pivotButton="0" quotePrefix="0" xfId="0"/>
    <xf numFmtId="10" fontId="1" fillId="0" borderId="12" pivotButton="0" quotePrefix="0" xfId="0"/>
    <xf numFmtId="0" fontId="9" fillId="0" borderId="14" pivotButton="0" quotePrefix="0" xfId="0"/>
    <xf numFmtId="164" fontId="9" fillId="0" borderId="14" pivotButton="0" quotePrefix="0" xfId="0"/>
    <xf numFmtId="0" fontId="1" fillId="5" borderId="12" pivotButton="0" quotePrefix="0" xfId="0"/>
    <xf numFmtId="0" fontId="7" fillId="5" borderId="12" pivotButton="0" quotePrefix="0" xfId="0"/>
    <xf numFmtId="164" fontId="1" fillId="5" borderId="12" pivotButton="0" quotePrefix="0" xfId="0"/>
    <xf numFmtId="3" fontId="1" fillId="5" borderId="12" pivotButton="0" quotePrefix="0" xfId="0"/>
    <xf numFmtId="0" fontId="9" fillId="5" borderId="14" pivotButton="0" quotePrefix="0" xfId="0"/>
    <xf numFmtId="0" fontId="8" fillId="4" borderId="12" pivotButton="0" quotePrefix="0" xfId="0"/>
    <xf numFmtId="0" fontId="8" fillId="5" borderId="12" pivotButton="0" quotePrefix="0" xfId="0"/>
    <xf numFmtId="0" fontId="8" fillId="0" borderId="12" pivotButton="0" quotePrefix="0" xfId="0"/>
    <xf numFmtId="164" fontId="51" fillId="24" borderId="19" applyAlignment="1" pivotButton="0" quotePrefix="0" xfId="0">
      <alignment horizontal="left" vertical="center" wrapText="1"/>
    </xf>
    <xf numFmtId="164" fontId="51" fillId="25" borderId="19" applyAlignment="1" pivotButton="0" quotePrefix="0" xfId="0">
      <alignment horizontal="left" vertical="center" wrapText="1"/>
    </xf>
    <xf numFmtId="164" fontId="51" fillId="9" borderId="8" applyAlignment="1" pivotButton="0" quotePrefix="0" xfId="0">
      <alignment horizontal="center" vertical="center"/>
    </xf>
    <xf numFmtId="164" fontId="51" fillId="15" borderId="2" applyAlignment="1" pivotButton="0" quotePrefix="0" xfId="0">
      <alignment horizontal="center" vertical="center"/>
    </xf>
    <xf numFmtId="164" fontId="51" fillId="0" borderId="2" applyAlignment="1" pivotButton="0" quotePrefix="0" xfId="0">
      <alignment horizontal="center" vertical="center"/>
    </xf>
    <xf numFmtId="164" fontId="51" fillId="18" borderId="2" applyAlignment="1" pivotButton="0" quotePrefix="0" xfId="0">
      <alignment horizontal="center" vertical="center"/>
    </xf>
    <xf numFmtId="164" fontId="51" fillId="0" borderId="0" applyAlignment="1" pivotButton="0" quotePrefix="0" xfId="0">
      <alignment horizontal="center" vertical="center"/>
    </xf>
    <xf numFmtId="0" fontId="0" fillId="0" borderId="17" pivotButton="0" quotePrefix="0" xfId="0"/>
    <xf numFmtId="0" fontId="0" fillId="0" borderId="18" pivotButton="0" quotePrefix="0" xfId="0"/>
    <xf numFmtId="0" fontId="58" fillId="33" borderId="16" applyAlignment="1" pivotButton="0" quotePrefix="0" xfId="0">
      <alignment horizontal="left" vertical="center"/>
    </xf>
    <xf numFmtId="0" fontId="59" fillId="33" borderId="16" applyAlignment="1" pivotButton="0" quotePrefix="0" xfId="0">
      <alignment horizontal="left" vertical="center"/>
    </xf>
    <xf numFmtId="0" fontId="60" fillId="33" borderId="16" applyAlignment="1" pivotButton="0" quotePrefix="0" xfId="0">
      <alignment horizontal="center" vertical="center"/>
    </xf>
    <xf numFmtId="0" fontId="61" fillId="32" borderId="16" applyAlignment="1" pivotButton="0" quotePrefix="0" xfId="0">
      <alignment horizontal="left" vertical="center"/>
    </xf>
    <xf numFmtId="0" fontId="62" fillId="33" borderId="16" applyAlignment="1" pivotButton="0" quotePrefix="0" xfId="0">
      <alignment horizontal="left" vertical="center"/>
    </xf>
    <xf numFmtId="164" fontId="58" fillId="33" borderId="16" applyAlignment="1" pivotButton="0" quotePrefix="0" xfId="0">
      <alignment horizontal="right" vertical="center"/>
    </xf>
    <xf numFmtId="3" fontId="60" fillId="33" borderId="16" applyAlignment="1" pivotButton="0" quotePrefix="0" xfId="0">
      <alignment horizontal="right" vertical="center"/>
    </xf>
    <xf numFmtId="169" fontId="60" fillId="33" borderId="16" applyAlignment="1" pivotButton="0" quotePrefix="0" xfId="0">
      <alignment horizontal="right" vertical="center"/>
    </xf>
    <xf numFmtId="168" fontId="60" fillId="33" borderId="16" applyAlignment="1" pivotButton="0" quotePrefix="0" xfId="0">
      <alignment horizontal="right" vertical="center"/>
    </xf>
    <xf numFmtId="3" fontId="31" fillId="33" borderId="16" applyAlignment="1" pivotButton="0" quotePrefix="0" xfId="0">
      <alignment horizontal="center" vertical="center"/>
    </xf>
    <xf numFmtId="0" fontId="31" fillId="0" borderId="0" applyAlignment="1" pivotButton="0" quotePrefix="0" xfId="0">
      <alignment horizontal="center" vertical="center"/>
    </xf>
    <xf numFmtId="164" fontId="31" fillId="0" borderId="19" applyAlignment="1" pivotButton="0" quotePrefix="0" xfId="0">
      <alignment horizontal="center" vertical="center"/>
    </xf>
    <xf numFmtId="0" fontId="58" fillId="33" borderId="16" applyAlignment="1" pivotButton="0" quotePrefix="0" xfId="0">
      <alignment horizontal="right" vertical="center"/>
    </xf>
    <xf numFmtId="0" fontId="60" fillId="33" borderId="16" applyAlignment="1" pivotButton="0" quotePrefix="0" xfId="0">
      <alignment horizontal="right" vertical="center"/>
    </xf>
    <xf numFmtId="0" fontId="31" fillId="33" borderId="16" applyAlignment="1" pivotButton="0" quotePrefix="0" xfId="0">
      <alignment horizontal="center" vertical="center"/>
    </xf>
    <xf numFmtId="0" fontId="58" fillId="34" borderId="16" applyAlignment="1" pivotButton="0" quotePrefix="0" xfId="0">
      <alignment horizontal="left" vertical="center"/>
    </xf>
    <xf numFmtId="0" fontId="59" fillId="34" borderId="16" applyAlignment="1" pivotButton="0" quotePrefix="0" xfId="0">
      <alignment horizontal="left" vertical="center"/>
    </xf>
    <xf numFmtId="0" fontId="60" fillId="34" borderId="16" applyAlignment="1" pivotButton="0" quotePrefix="0" xfId="0">
      <alignment horizontal="center" vertical="center"/>
    </xf>
    <xf numFmtId="0" fontId="62" fillId="34" borderId="16" applyAlignment="1" pivotButton="0" quotePrefix="0" xfId="0">
      <alignment horizontal="left" vertical="center"/>
    </xf>
    <xf numFmtId="164" fontId="58" fillId="34" borderId="16" applyAlignment="1" pivotButton="0" quotePrefix="0" xfId="0">
      <alignment horizontal="right" vertical="center"/>
    </xf>
    <xf numFmtId="3" fontId="60" fillId="34" borderId="16" applyAlignment="1" pivotButton="0" quotePrefix="0" xfId="0">
      <alignment horizontal="right" vertical="center"/>
    </xf>
    <xf numFmtId="169" fontId="60" fillId="34" borderId="16" applyAlignment="1" pivotButton="0" quotePrefix="0" xfId="0">
      <alignment horizontal="right" vertical="center"/>
    </xf>
    <xf numFmtId="168" fontId="60" fillId="34" borderId="16" applyAlignment="1" pivotButton="0" quotePrefix="0" xfId="0">
      <alignment horizontal="right" vertical="center"/>
    </xf>
    <xf numFmtId="3" fontId="31" fillId="34" borderId="16" applyAlignment="1" pivotButton="0" quotePrefix="0" xfId="0">
      <alignment horizontal="center" vertical="center"/>
    </xf>
    <xf numFmtId="0" fontId="58" fillId="35" borderId="16" applyAlignment="1" pivotButton="0" quotePrefix="0" xfId="0">
      <alignment horizontal="left" vertical="center"/>
    </xf>
    <xf numFmtId="0" fontId="59" fillId="35" borderId="16" applyAlignment="1" pivotButton="0" quotePrefix="0" xfId="0">
      <alignment horizontal="left" vertical="center"/>
    </xf>
    <xf numFmtId="0" fontId="60" fillId="35" borderId="16" applyAlignment="1" pivotButton="0" quotePrefix="0" xfId="0">
      <alignment horizontal="center" vertical="center"/>
    </xf>
    <xf numFmtId="0" fontId="62" fillId="35" borderId="16" applyAlignment="1" pivotButton="0" quotePrefix="0" xfId="0">
      <alignment horizontal="left" vertical="center"/>
    </xf>
    <xf numFmtId="164" fontId="58" fillId="35" borderId="16" applyAlignment="1" pivotButton="0" quotePrefix="0" xfId="0">
      <alignment horizontal="right" vertical="center"/>
    </xf>
    <xf numFmtId="3" fontId="60" fillId="35" borderId="16" applyAlignment="1" pivotButton="0" quotePrefix="0" xfId="0">
      <alignment horizontal="right" vertical="center"/>
    </xf>
    <xf numFmtId="169" fontId="60" fillId="35" borderId="16" applyAlignment="1" pivotButton="0" quotePrefix="0" xfId="0">
      <alignment horizontal="right" vertical="center"/>
    </xf>
    <xf numFmtId="168" fontId="60" fillId="35" borderId="16" applyAlignment="1" pivotButton="0" quotePrefix="0" xfId="0">
      <alignment horizontal="right" vertical="center"/>
    </xf>
    <xf numFmtId="3" fontId="31" fillId="35" borderId="16" applyAlignment="1" pivotButton="0" quotePrefix="0" xfId="0">
      <alignment horizontal="center" vertical="center"/>
    </xf>
    <xf numFmtId="0" fontId="53" fillId="0" borderId="0" pivotButton="0" quotePrefix="0" xfId="0"/>
    <xf numFmtId="0" fontId="53" fillId="36" borderId="0" pivotButton="0" quotePrefix="0" xfId="0"/>
    <xf numFmtId="0" fontId="53" fillId="0" borderId="14" pivotButton="0" quotePrefix="0" xfId="0"/>
    <xf numFmtId="0" fontId="60" fillId="35" borderId="16" applyAlignment="1" pivotButton="0" quotePrefix="0" xfId="0">
      <alignment horizontal="right" vertical="center"/>
    </xf>
    <xf numFmtId="0" fontId="31" fillId="35" borderId="16" applyAlignment="1" pivotButton="0" quotePrefix="0" xfId="0">
      <alignment horizontal="center" vertical="center"/>
    </xf>
    <xf numFmtId="0" fontId="31" fillId="0" borderId="14" applyAlignment="1" pivotButton="0" quotePrefix="0" xfId="0">
      <alignment horizontal="center" vertical="center"/>
    </xf>
    <xf numFmtId="0" fontId="4" fillId="6" borderId="12" applyAlignment="1" pivotButton="0" quotePrefix="0" xfId="0">
      <alignment horizontal="center" vertical="center" wrapText="1"/>
    </xf>
    <xf numFmtId="0" fontId="4" fillId="7" borderId="12" applyAlignment="1" pivotButton="0" quotePrefix="0" xfId="0">
      <alignment horizontal="center" vertical="center" wrapText="1"/>
    </xf>
    <xf numFmtId="0" fontId="4" fillId="7" borderId="6" applyAlignment="1" pivotButton="0" quotePrefix="0" xfId="0">
      <alignment horizontal="center" vertical="center" wrapText="1"/>
    </xf>
    <xf numFmtId="0" fontId="0" fillId="0" borderId="14" applyAlignment="1" pivotButton="0" quotePrefix="0" xfId="0">
      <alignment horizontal="center" vertical="center" wrapText="1"/>
    </xf>
    <xf numFmtId="0" fontId="4" fillId="11" borderId="10" applyAlignment="1" pivotButton="0" quotePrefix="0" xfId="0">
      <alignment horizontal="center" vertical="center" wrapText="1"/>
    </xf>
    <xf numFmtId="0" fontId="63" fillId="0" borderId="0" applyAlignment="1" pivotButton="0" quotePrefix="0" xfId="0">
      <alignment horizontal="center" vertical="center" wrapText="1"/>
    </xf>
    <xf numFmtId="0" fontId="29" fillId="23" borderId="14" applyAlignment="1" pivotButton="0" quotePrefix="0" xfId="0">
      <alignment horizontal="center" vertical="center"/>
    </xf>
    <xf numFmtId="0" fontId="0" fillId="0" borderId="0" pivotButton="0" quotePrefix="0" xfId="0"/>
    <xf numFmtId="0" fontId="34" fillId="18" borderId="14" applyAlignment="1" pivotButton="0" quotePrefix="0" xfId="0">
      <alignment horizontal="center" vertical="center"/>
    </xf>
    <xf numFmtId="0" fontId="33" fillId="18" borderId="14" applyAlignment="1" pivotButton="0" quotePrefix="0" xfId="0">
      <alignment horizontal="left" vertical="center" wrapText="1"/>
    </xf>
    <xf numFmtId="0" fontId="18" fillId="22" borderId="14" applyAlignment="1" pivotButton="0" quotePrefix="0" xfId="0">
      <alignment horizontal="center" vertical="center"/>
    </xf>
    <xf numFmtId="0" fontId="57" fillId="39" borderId="16" applyAlignment="1" pivotButton="0" quotePrefix="0" xfId="0">
      <alignment horizontal="left" vertical="center"/>
    </xf>
    <xf numFmtId="0" fontId="0" fillId="0" borderId="17" pivotButton="0" quotePrefix="0" xfId="0"/>
    <xf numFmtId="0" fontId="0" fillId="0" borderId="18" pivotButton="0" quotePrefix="0" xfId="0"/>
    <xf numFmtId="0" fontId="57" fillId="37" borderId="16" applyAlignment="1" pivotButton="0" quotePrefix="0" xfId="0">
      <alignment horizontal="left" vertical="center"/>
    </xf>
    <xf numFmtId="0" fontId="57" fillId="38" borderId="16" applyAlignment="1" pivotButton="0" quotePrefix="0" xfId="0">
      <alignment horizontal="left" vertical="center"/>
    </xf>
    <xf numFmtId="0" fontId="10" fillId="36" borderId="16" applyAlignment="1" pivotButton="0" quotePrefix="0" xfId="0">
      <alignment horizontal="left" vertical="center"/>
    </xf>
    <xf numFmtId="0" fontId="42" fillId="22" borderId="14" applyAlignment="1" pivotButton="0" quotePrefix="0" xfId="0">
      <alignment horizontal="center" vertical="center"/>
    </xf>
    <xf numFmtId="0" fontId="42" fillId="28" borderId="14" applyAlignment="1" pivotButton="0" quotePrefix="0" xfId="0">
      <alignment horizontal="center" vertical="center"/>
    </xf>
    <xf numFmtId="0" fontId="43" fillId="16" borderId="14" applyAlignment="1" pivotButton="0" quotePrefix="0" xfId="0">
      <alignment horizontal="left" vertical="center" wrapText="1"/>
    </xf>
    <xf numFmtId="0" fontId="18" fillId="20" borderId="14" applyAlignment="1" pivotButton="0" quotePrefix="0" xfId="0">
      <alignment horizontal="left" vertical="center"/>
    </xf>
    <xf numFmtId="0" fontId="17" fillId="19" borderId="14" applyAlignment="1" pivotButton="0" quotePrefix="0" xfId="0">
      <alignment horizontal="center" vertical="center"/>
    </xf>
    <xf numFmtId="0" fontId="20" fillId="21" borderId="14" applyAlignment="1" pivotButton="0" quotePrefix="0" xfId="0">
      <alignment horizontal="left" vertical="top" wrapText="1"/>
    </xf>
    <xf numFmtId="0" fontId="16" fillId="13" borderId="14" applyAlignment="1" pivotButton="0" quotePrefix="0" xfId="0">
      <alignment horizontal="center" vertical="center"/>
    </xf>
    <xf numFmtId="0" fontId="54" fillId="47" borderId="14" applyAlignment="1" pivotButton="0" quotePrefix="0" xfId="0">
      <alignment vertical="center"/>
    </xf>
    <xf numFmtId="0" fontId="55" fillId="47" borderId="16" applyAlignment="1" pivotButton="0" quotePrefix="0" xfId="0">
      <alignment horizontal="center" vertical="center" wrapText="1"/>
    </xf>
    <xf numFmtId="0" fontId="56" fillId="47" borderId="16" applyAlignment="1" pivotButton="0" quotePrefix="0" xfId="0">
      <alignment horizontal="center" vertical="center" wrapText="1"/>
    </xf>
    <xf numFmtId="0" fontId="56" fillId="47" borderId="0" applyAlignment="1" pivotButton="0" quotePrefix="0" xfId="0">
      <alignment horizontal="center" vertical="center" wrapText="1"/>
    </xf>
    <xf numFmtId="0" fontId="54" fillId="47" borderId="0" applyAlignment="1" pivotButton="0" quotePrefix="0" xfId="0">
      <alignment vertical="center"/>
    </xf>
    <xf numFmtId="164" fontId="60" fillId="33" borderId="16" applyAlignment="1" pivotButton="0" quotePrefix="0" xfId="0">
      <alignment horizontal="center" vertical="center"/>
    </xf>
    <xf numFmtId="164" fontId="60" fillId="34" borderId="16" applyAlignment="1" pivotButton="0" quotePrefix="0" xfId="0">
      <alignment horizontal="center" vertical="center"/>
    </xf>
    <xf numFmtId="164" fontId="60" fillId="35" borderId="16" applyAlignment="1" pivotButton="0" quotePrefix="0" xfId="0">
      <alignment horizontal="center" vertical="center"/>
    </xf>
    <xf numFmtId="0" fontId="0" fillId="0" borderId="17" applyAlignment="1" pivotButton="0" quotePrefix="0" xfId="0">
      <alignment horizontal="center"/>
    </xf>
    <xf numFmtId="0" fontId="53" fillId="0" borderId="0" applyAlignment="1" pivotButton="0" quotePrefix="0" xfId="0">
      <alignment horizontal="center"/>
    </xf>
    <xf numFmtId="0" fontId="0" fillId="0" borderId="0" applyAlignment="1" pivotButton="0" quotePrefix="0" xfId="0">
      <alignment horizontal="center"/>
    </xf>
    <xf numFmtId="9" fontId="60" fillId="33" borderId="16" applyAlignment="1" pivotButton="0" quotePrefix="0" xfId="1">
      <alignment horizontal="right" vertical="center"/>
    </xf>
    <xf numFmtId="9" fontId="60" fillId="34" borderId="16" applyAlignment="1" pivotButton="0" quotePrefix="0" xfId="1">
      <alignment horizontal="right" vertical="center"/>
    </xf>
    <xf numFmtId="9" fontId="60" fillId="35" borderId="16" applyAlignment="1" pivotButton="0" quotePrefix="0" xfId="1">
      <alignment horizontal="right" vertical="center"/>
    </xf>
    <xf numFmtId="9" fontId="0" fillId="0" borderId="18" pivotButton="0" quotePrefix="0" xfId="1"/>
    <xf numFmtId="0" fontId="65" fillId="48" borderId="20" applyAlignment="1" pivotButton="0" quotePrefix="0" xfId="0">
      <alignment horizontal="center" vertical="center" wrapText="1"/>
    </xf>
    <xf numFmtId="0" fontId="65" fillId="48" borderId="20" applyAlignment="1" pivotButton="0" quotePrefix="0" xfId="0">
      <alignment horizontal="left" vertical="center" wrapText="1"/>
    </xf>
    <xf numFmtId="0" fontId="65" fillId="48" borderId="20" applyAlignment="1" pivotButton="0" quotePrefix="0" xfId="0">
      <alignment horizontal="right" vertical="center" wrapText="1"/>
    </xf>
    <xf numFmtId="0" fontId="66" fillId="49" borderId="21" applyAlignment="1" pivotButton="0" quotePrefix="0" xfId="0">
      <alignment horizontal="left" vertical="center"/>
    </xf>
    <xf numFmtId="0" fontId="0" fillId="49" borderId="21" applyAlignment="1" pivotButton="0" quotePrefix="0" xfId="0">
      <alignment horizontal="left" vertical="center"/>
    </xf>
    <xf numFmtId="0" fontId="67" fillId="50" borderId="22" applyAlignment="1" pivotButton="0" quotePrefix="0" xfId="0">
      <alignment horizontal="center" vertical="center"/>
    </xf>
    <xf numFmtId="0" fontId="68" fillId="50" borderId="22" applyAlignment="1" pivotButton="0" quotePrefix="0" xfId="0">
      <alignment horizontal="left" vertical="center" wrapText="1"/>
    </xf>
    <xf numFmtId="0" fontId="69" fillId="50" borderId="22" applyAlignment="1" pivotButton="0" quotePrefix="0" xfId="0">
      <alignment horizontal="left" vertical="center" wrapText="1"/>
    </xf>
    <xf numFmtId="0" fontId="70" fillId="50" borderId="22" applyAlignment="1" pivotButton="0" quotePrefix="0" xfId="0">
      <alignment horizontal="left" vertical="center" wrapText="1"/>
    </xf>
    <xf numFmtId="0" fontId="71" fillId="50" borderId="22" applyAlignment="1" pivotButton="0" quotePrefix="0" xfId="0">
      <alignment horizontal="center" vertical="center"/>
    </xf>
    <xf numFmtId="170" fontId="71" fillId="50" borderId="22" applyAlignment="1" pivotButton="0" quotePrefix="0" xfId="0">
      <alignment horizontal="center" vertical="center"/>
    </xf>
    <xf numFmtId="0" fontId="72" fillId="50" borderId="22" applyAlignment="1" pivotButton="0" quotePrefix="0" xfId="0">
      <alignment horizontal="center" vertical="center"/>
    </xf>
    <xf numFmtId="0" fontId="71" fillId="50" borderId="22" applyAlignment="1" pivotButton="0" quotePrefix="0" xfId="0">
      <alignment horizontal="left" vertical="center" wrapText="1"/>
    </xf>
    <xf numFmtId="170" fontId="71" fillId="50" borderId="22" applyAlignment="1" pivotButton="0" quotePrefix="0" xfId="0">
      <alignment horizontal="right" vertical="center"/>
    </xf>
    <xf numFmtId="0" fontId="71" fillId="50" borderId="22" applyAlignment="1" pivotButton="0" quotePrefix="0" xfId="0">
      <alignment horizontal="right" vertical="center"/>
    </xf>
    <xf numFmtId="9" fontId="73" fillId="50" borderId="22" applyAlignment="1" pivotButton="0" quotePrefix="0" xfId="0">
      <alignment horizontal="center" vertical="center"/>
    </xf>
    <xf numFmtId="168" fontId="71" fillId="50" borderId="22" applyAlignment="1" pivotButton="0" quotePrefix="0" xfId="0">
      <alignment horizontal="center" vertical="center"/>
    </xf>
    <xf numFmtId="0" fontId="67" fillId="51" borderId="22" applyAlignment="1" pivotButton="0" quotePrefix="0" xfId="0">
      <alignment horizontal="center" vertical="center"/>
    </xf>
    <xf numFmtId="0" fontId="68" fillId="51" borderId="22" applyAlignment="1" pivotButton="0" quotePrefix="0" xfId="0">
      <alignment horizontal="left" vertical="center" wrapText="1"/>
    </xf>
    <xf numFmtId="0" fontId="69" fillId="51" borderId="22" applyAlignment="1" pivotButton="0" quotePrefix="0" xfId="0">
      <alignment horizontal="left" vertical="center" wrapText="1"/>
    </xf>
    <xf numFmtId="0" fontId="70" fillId="51" borderId="22" applyAlignment="1" pivotButton="0" quotePrefix="0" xfId="0">
      <alignment horizontal="left" vertical="center" wrapText="1"/>
    </xf>
    <xf numFmtId="0" fontId="71" fillId="51" borderId="22" applyAlignment="1" pivotButton="0" quotePrefix="0" xfId="0">
      <alignment horizontal="center" vertical="center"/>
    </xf>
    <xf numFmtId="170" fontId="71" fillId="51" borderId="22" applyAlignment="1" pivotButton="0" quotePrefix="0" xfId="0">
      <alignment horizontal="center" vertical="center"/>
    </xf>
    <xf numFmtId="0" fontId="72" fillId="51" borderId="22" applyAlignment="1" pivotButton="0" quotePrefix="0" xfId="0">
      <alignment horizontal="center" vertical="center"/>
    </xf>
    <xf numFmtId="0" fontId="71" fillId="51" borderId="22" applyAlignment="1" pivotButton="0" quotePrefix="0" xfId="0">
      <alignment horizontal="left" vertical="center" wrapText="1"/>
    </xf>
    <xf numFmtId="170" fontId="71" fillId="51" borderId="22" applyAlignment="1" pivotButton="0" quotePrefix="0" xfId="0">
      <alignment horizontal="right" vertical="center"/>
    </xf>
    <xf numFmtId="0" fontId="71" fillId="51" borderId="22" applyAlignment="1" pivotButton="0" quotePrefix="0" xfId="0">
      <alignment horizontal="right" vertical="center"/>
    </xf>
    <xf numFmtId="9" fontId="73" fillId="51" borderId="22" applyAlignment="1" pivotButton="0" quotePrefix="0" xfId="0">
      <alignment horizontal="center" vertical="center"/>
    </xf>
    <xf numFmtId="168" fontId="71" fillId="51" borderId="22" applyAlignment="1" pivotButton="0" quotePrefix="0" xfId="0">
      <alignment horizontal="center" vertical="center"/>
    </xf>
    <xf numFmtId="9" fontId="71" fillId="51" borderId="22" applyAlignment="1" pivotButton="0" quotePrefix="0" xfId="0">
      <alignment horizontal="center" vertical="center"/>
    </xf>
    <xf numFmtId="9" fontId="71" fillId="50" borderId="22" applyAlignment="1" pivotButton="0" quotePrefix="0" xfId="0">
      <alignment horizontal="center" vertical="center"/>
    </xf>
    <xf numFmtId="0" fontId="74" fillId="52" borderId="23" applyAlignment="1" pivotButton="0" quotePrefix="0" xfId="0">
      <alignment horizontal="left" vertical="center"/>
    </xf>
    <xf numFmtId="0" fontId="0" fillId="52" borderId="23" applyAlignment="1" pivotButton="0" quotePrefix="0" xfId="0">
      <alignment horizontal="left" vertical="center"/>
    </xf>
    <xf numFmtId="0" fontId="67" fillId="53" borderId="22" applyAlignment="1" pivotButton="0" quotePrefix="0" xfId="0">
      <alignment horizontal="center" vertical="center"/>
    </xf>
    <xf numFmtId="0" fontId="68" fillId="53" borderId="22" applyAlignment="1" pivotButton="0" quotePrefix="0" xfId="0">
      <alignment horizontal="left" vertical="center" wrapText="1"/>
    </xf>
    <xf numFmtId="0" fontId="69" fillId="53" borderId="22" applyAlignment="1" pivotButton="0" quotePrefix="0" xfId="0">
      <alignment horizontal="left" vertical="center" wrapText="1"/>
    </xf>
    <xf numFmtId="0" fontId="70" fillId="53" borderId="22" applyAlignment="1" pivotButton="0" quotePrefix="0" xfId="0">
      <alignment horizontal="left" vertical="center" wrapText="1"/>
    </xf>
    <xf numFmtId="0" fontId="71" fillId="53" borderId="22" applyAlignment="1" pivotButton="0" quotePrefix="0" xfId="0">
      <alignment horizontal="center" vertical="center"/>
    </xf>
    <xf numFmtId="170" fontId="71" fillId="53" borderId="22" applyAlignment="1" pivotButton="0" quotePrefix="0" xfId="0">
      <alignment horizontal="center" vertical="center"/>
    </xf>
    <xf numFmtId="0" fontId="72" fillId="53" borderId="22" applyAlignment="1" pivotButton="0" quotePrefix="0" xfId="0">
      <alignment horizontal="center" vertical="center"/>
    </xf>
    <xf numFmtId="0" fontId="71" fillId="53" borderId="22" applyAlignment="1" pivotButton="0" quotePrefix="0" xfId="0">
      <alignment horizontal="left" vertical="center" wrapText="1"/>
    </xf>
    <xf numFmtId="170" fontId="71" fillId="53" borderId="22" applyAlignment="1" pivotButton="0" quotePrefix="0" xfId="0">
      <alignment horizontal="right" vertical="center"/>
    </xf>
    <xf numFmtId="0" fontId="71" fillId="53" borderId="22" applyAlignment="1" pivotButton="0" quotePrefix="0" xfId="0">
      <alignment horizontal="right" vertical="center"/>
    </xf>
    <xf numFmtId="0" fontId="67" fillId="54" borderId="22" applyAlignment="1" pivotButton="0" quotePrefix="0" xfId="0">
      <alignment horizontal="center" vertical="center"/>
    </xf>
    <xf numFmtId="0" fontId="68" fillId="54" borderId="22" applyAlignment="1" pivotButton="0" quotePrefix="0" xfId="0">
      <alignment horizontal="left" vertical="center" wrapText="1"/>
    </xf>
    <xf numFmtId="0" fontId="69" fillId="54" borderId="22" applyAlignment="1" pivotButton="0" quotePrefix="0" xfId="0">
      <alignment horizontal="left" vertical="center" wrapText="1"/>
    </xf>
    <xf numFmtId="0" fontId="70" fillId="54" borderId="22" applyAlignment="1" pivotButton="0" quotePrefix="0" xfId="0">
      <alignment horizontal="left" vertical="center" wrapText="1"/>
    </xf>
    <xf numFmtId="0" fontId="71" fillId="54" borderId="22" applyAlignment="1" pivotButton="0" quotePrefix="0" xfId="0">
      <alignment horizontal="center" vertical="center"/>
    </xf>
    <xf numFmtId="170" fontId="71" fillId="54" borderId="22" applyAlignment="1" pivotButton="0" quotePrefix="0" xfId="0">
      <alignment horizontal="center" vertical="center"/>
    </xf>
    <xf numFmtId="0" fontId="72" fillId="54" borderId="22" applyAlignment="1" pivotButton="0" quotePrefix="0" xfId="0">
      <alignment horizontal="center" vertical="center"/>
    </xf>
    <xf numFmtId="0" fontId="71" fillId="54" borderId="22" applyAlignment="1" pivotButton="0" quotePrefix="0" xfId="0">
      <alignment horizontal="left" vertical="center" wrapText="1"/>
    </xf>
    <xf numFmtId="170" fontId="71" fillId="54" borderId="22" applyAlignment="1" pivotButton="0" quotePrefix="0" xfId="0">
      <alignment horizontal="right" vertical="center"/>
    </xf>
    <xf numFmtId="0" fontId="71" fillId="54" borderId="22" applyAlignment="1" pivotButton="0" quotePrefix="0" xfId="0">
      <alignment horizontal="right" vertical="center"/>
    </xf>
    <xf numFmtId="9" fontId="73" fillId="54" borderId="22" applyAlignment="1" pivotButton="0" quotePrefix="0" xfId="0">
      <alignment horizontal="center" vertical="center"/>
    </xf>
    <xf numFmtId="168" fontId="71" fillId="54" borderId="22" applyAlignment="1" pivotButton="0" quotePrefix="0" xfId="0">
      <alignment horizontal="center" vertical="center"/>
    </xf>
    <xf numFmtId="9" fontId="73" fillId="53" borderId="22" applyAlignment="1" pivotButton="0" quotePrefix="0" xfId="0">
      <alignment horizontal="center" vertical="center"/>
    </xf>
    <xf numFmtId="168" fontId="71" fillId="53" borderId="22" applyAlignment="1" pivotButton="0" quotePrefix="0" xfId="0">
      <alignment horizontal="center" vertical="center"/>
    </xf>
    <xf numFmtId="9" fontId="71" fillId="54" borderId="22" applyAlignment="1" pivotButton="0" quotePrefix="0" xfId="0">
      <alignment horizontal="center" vertical="center"/>
    </xf>
    <xf numFmtId="9" fontId="71" fillId="53" borderId="22" applyAlignment="1" pivotButton="0" quotePrefix="0" xfId="0">
      <alignment horizontal="center" vertical="center"/>
    </xf>
    <xf numFmtId="0" fontId="75" fillId="55" borderId="24" applyAlignment="1" pivotButton="0" quotePrefix="0" xfId="0">
      <alignment horizontal="left" vertical="center"/>
    </xf>
    <xf numFmtId="0" fontId="0" fillId="55" borderId="24" applyAlignment="1" pivotButton="0" quotePrefix="0" xfId="0">
      <alignment horizontal="left" vertical="center"/>
    </xf>
    <xf numFmtId="0" fontId="67" fillId="56" borderId="22" applyAlignment="1" pivotButton="0" quotePrefix="0" xfId="0">
      <alignment horizontal="center" vertical="center"/>
    </xf>
    <xf numFmtId="0" fontId="68" fillId="56" borderId="22" applyAlignment="1" pivotButton="0" quotePrefix="0" xfId="0">
      <alignment horizontal="left" vertical="center" wrapText="1"/>
    </xf>
    <xf numFmtId="0" fontId="69" fillId="56" borderId="22" applyAlignment="1" pivotButton="0" quotePrefix="0" xfId="0">
      <alignment horizontal="left" vertical="center" wrapText="1"/>
    </xf>
    <xf numFmtId="0" fontId="70" fillId="56" borderId="22" applyAlignment="1" pivotButton="0" quotePrefix="0" xfId="0">
      <alignment horizontal="left" vertical="center" wrapText="1"/>
    </xf>
    <xf numFmtId="0" fontId="71" fillId="56" borderId="22" applyAlignment="1" pivotButton="0" quotePrefix="0" xfId="0">
      <alignment horizontal="center" vertical="center"/>
    </xf>
    <xf numFmtId="170" fontId="71" fillId="56" borderId="22" applyAlignment="1" pivotButton="0" quotePrefix="0" xfId="0">
      <alignment horizontal="center" vertical="center"/>
    </xf>
    <xf numFmtId="0" fontId="72" fillId="56" borderId="22" applyAlignment="1" pivotButton="0" quotePrefix="0" xfId="0">
      <alignment horizontal="center" vertical="center"/>
    </xf>
    <xf numFmtId="0" fontId="71" fillId="56" borderId="22" applyAlignment="1" pivotButton="0" quotePrefix="0" xfId="0">
      <alignment horizontal="left" vertical="center" wrapText="1"/>
    </xf>
    <xf numFmtId="170" fontId="71" fillId="56" borderId="22" applyAlignment="1" pivotButton="0" quotePrefix="0" xfId="0">
      <alignment horizontal="right" vertical="center"/>
    </xf>
    <xf numFmtId="0" fontId="71" fillId="56" borderId="22" applyAlignment="1" pivotButton="0" quotePrefix="0" xfId="0">
      <alignment horizontal="right" vertical="center"/>
    </xf>
    <xf numFmtId="0" fontId="67" fillId="57" borderId="22" applyAlignment="1" pivotButton="0" quotePrefix="0" xfId="0">
      <alignment horizontal="center" vertical="center"/>
    </xf>
    <xf numFmtId="0" fontId="68" fillId="57" borderId="22" applyAlignment="1" pivotButton="0" quotePrefix="0" xfId="0">
      <alignment horizontal="left" vertical="center" wrapText="1"/>
    </xf>
    <xf numFmtId="0" fontId="69" fillId="57" borderId="22" applyAlignment="1" pivotButton="0" quotePrefix="0" xfId="0">
      <alignment horizontal="left" vertical="center" wrapText="1"/>
    </xf>
    <xf numFmtId="0" fontId="70" fillId="57" borderId="22" applyAlignment="1" pivotButton="0" quotePrefix="0" xfId="0">
      <alignment horizontal="left" vertical="center" wrapText="1"/>
    </xf>
    <xf numFmtId="0" fontId="71" fillId="57" borderId="22" applyAlignment="1" pivotButton="0" quotePrefix="0" xfId="0">
      <alignment horizontal="center" vertical="center"/>
    </xf>
    <xf numFmtId="170" fontId="71" fillId="57" borderId="22" applyAlignment="1" pivotButton="0" quotePrefix="0" xfId="0">
      <alignment horizontal="center" vertical="center"/>
    </xf>
    <xf numFmtId="0" fontId="72" fillId="57" borderId="22" applyAlignment="1" pivotButton="0" quotePrefix="0" xfId="0">
      <alignment horizontal="center" vertical="center"/>
    </xf>
    <xf numFmtId="0" fontId="71" fillId="57" borderId="22" applyAlignment="1" pivotButton="0" quotePrefix="0" xfId="0">
      <alignment horizontal="left" vertical="center" wrapText="1"/>
    </xf>
    <xf numFmtId="170" fontId="71" fillId="57" borderId="22" applyAlignment="1" pivotButton="0" quotePrefix="0" xfId="0">
      <alignment horizontal="right" vertical="center"/>
    </xf>
    <xf numFmtId="0" fontId="71" fillId="57" borderId="22" applyAlignment="1" pivotButton="0" quotePrefix="0" xfId="0">
      <alignment horizontal="right" vertical="center"/>
    </xf>
    <xf numFmtId="9" fontId="73" fillId="57" borderId="22" applyAlignment="1" pivotButton="0" quotePrefix="0" xfId="0">
      <alignment horizontal="center" vertical="center"/>
    </xf>
    <xf numFmtId="168" fontId="71" fillId="57" borderId="22" applyAlignment="1" pivotButton="0" quotePrefix="0" xfId="0">
      <alignment horizontal="center" vertical="center"/>
    </xf>
    <xf numFmtId="9" fontId="73" fillId="56" borderId="22" applyAlignment="1" pivotButton="0" quotePrefix="0" xfId="0">
      <alignment horizontal="center" vertical="center"/>
    </xf>
    <xf numFmtId="168" fontId="71" fillId="56" borderId="22" applyAlignment="1" pivotButton="0" quotePrefix="0" xfId="0">
      <alignment horizontal="center" vertical="center"/>
    </xf>
    <xf numFmtId="0" fontId="65" fillId="48" borderId="0" applyAlignment="1" pivotButton="0" quotePrefix="0" xfId="0">
      <alignment horizontal="left" vertical="center"/>
    </xf>
    <xf numFmtId="0" fontId="0" fillId="48" borderId="0" applyAlignment="1" pivotButton="0" quotePrefix="0" xfId="0">
      <alignment horizontal="left" vertical="center"/>
    </xf>
    <xf numFmtId="166" fontId="50" fillId="40" borderId="12" applyAlignment="1" pivotButton="0" quotePrefix="0" xfId="0">
      <alignment horizontal="center" vertical="center"/>
    </xf>
    <xf numFmtId="167" fontId="50" fillId="40" borderId="0" applyAlignment="1" pivotButton="0" quotePrefix="0" xfId="0">
      <alignment vertical="center"/>
    </xf>
    <xf numFmtId="167" fontId="51" fillId="24" borderId="19" applyAlignment="1" pivotButton="0" quotePrefix="0" xfId="0">
      <alignment horizontal="left" vertical="center" wrapText="1"/>
    </xf>
    <xf numFmtId="167" fontId="51" fillId="25" borderId="19" applyAlignment="1" pivotButton="0" quotePrefix="0" xfId="0">
      <alignment horizontal="left" vertical="center" wrapText="1"/>
    </xf>
    <xf numFmtId="167" fontId="50" fillId="41" borderId="0" applyAlignment="1" pivotButton="0" quotePrefix="0" xfId="0">
      <alignment vertical="center"/>
    </xf>
    <xf numFmtId="167" fontId="50" fillId="42" borderId="0" applyAlignment="1" pivotButton="0" quotePrefix="0" xfId="0">
      <alignment vertical="center"/>
    </xf>
    <xf numFmtId="168" fontId="1" fillId="0" borderId="12" pivotButton="0" quotePrefix="0" xfId="0"/>
    <xf numFmtId="169" fontId="1" fillId="0" borderId="12" pivotButton="0" quotePrefix="0" xfId="0"/>
    <xf numFmtId="0" fontId="65" fillId="48" borderId="25" applyAlignment="1" pivotButton="0" quotePrefix="0" xfId="0">
      <alignment horizontal="left" vertical="center" wrapText="1"/>
    </xf>
    <xf numFmtId="0" fontId="65" fillId="48" borderId="25" applyAlignment="1" pivotButton="0" quotePrefix="0" xfId="0">
      <alignment horizontal="center" vertical="center" wrapText="1"/>
    </xf>
    <xf numFmtId="0" fontId="65" fillId="48" borderId="25" applyAlignment="1" pivotButton="0" quotePrefix="0" xfId="0">
      <alignment horizontal="right" vertical="center" wrapText="1"/>
    </xf>
    <xf numFmtId="0" fontId="66" fillId="49" borderId="26" applyAlignment="1" pivotButton="0" quotePrefix="0" xfId="0">
      <alignment horizontal="left" vertical="center"/>
    </xf>
    <xf numFmtId="0" fontId="0" fillId="49" borderId="26" applyAlignment="1" pivotButton="0" quotePrefix="0" xfId="0">
      <alignment horizontal="left" vertical="center"/>
    </xf>
    <xf numFmtId="0" fontId="68" fillId="50" borderId="27" applyAlignment="1" pivotButton="0" quotePrefix="0" xfId="0">
      <alignment horizontal="left" vertical="center" wrapText="1"/>
    </xf>
    <xf numFmtId="0" fontId="70" fillId="50" borderId="27" applyAlignment="1" pivotButton="0" quotePrefix="0" xfId="0">
      <alignment horizontal="center" vertical="center"/>
    </xf>
    <xf numFmtId="0" fontId="76" fillId="58" borderId="27" applyAlignment="1" pivotButton="0" quotePrefix="0" xfId="0">
      <alignment horizontal="center" vertical="center"/>
    </xf>
    <xf numFmtId="0" fontId="71" fillId="50" borderId="27" applyAlignment="1" pivotButton="0" quotePrefix="0" xfId="0">
      <alignment horizontal="left" vertical="center" wrapText="1"/>
    </xf>
    <xf numFmtId="0" fontId="71" fillId="50" borderId="27" applyAlignment="1" pivotButton="0" quotePrefix="0" xfId="0">
      <alignment horizontal="center" vertical="center"/>
    </xf>
    <xf numFmtId="170" fontId="71" fillId="50" borderId="27" applyAlignment="1" pivotButton="0" quotePrefix="0" xfId="0">
      <alignment horizontal="right" vertical="center"/>
    </xf>
    <xf numFmtId="9" fontId="73" fillId="50" borderId="27" applyAlignment="1" pivotButton="0" quotePrefix="0" xfId="0">
      <alignment horizontal="center" vertical="center"/>
    </xf>
    <xf numFmtId="0" fontId="71" fillId="50" borderId="27" applyAlignment="1" pivotButton="0" quotePrefix="0" xfId="0">
      <alignment horizontal="right" vertical="center"/>
    </xf>
    <xf numFmtId="168" fontId="71" fillId="50" borderId="27" applyAlignment="1" pivotButton="0" quotePrefix="0" xfId="0">
      <alignment horizontal="center" vertical="center"/>
    </xf>
    <xf numFmtId="0" fontId="68" fillId="51" borderId="27" applyAlignment="1" pivotButton="0" quotePrefix="0" xfId="0">
      <alignment horizontal="left" vertical="center" wrapText="1"/>
    </xf>
    <xf numFmtId="0" fontId="70" fillId="51" borderId="27" applyAlignment="1" pivotButton="0" quotePrefix="0" xfId="0">
      <alignment horizontal="center" vertical="center"/>
    </xf>
    <xf numFmtId="0" fontId="71" fillId="51" borderId="27" applyAlignment="1" pivotButton="0" quotePrefix="0" xfId="0">
      <alignment horizontal="left" vertical="center" wrapText="1"/>
    </xf>
    <xf numFmtId="0" fontId="71" fillId="51" borderId="27" applyAlignment="1" pivotButton="0" quotePrefix="0" xfId="0">
      <alignment horizontal="center" vertical="center"/>
    </xf>
    <xf numFmtId="170" fontId="71" fillId="51" borderId="27" applyAlignment="1" pivotButton="0" quotePrefix="0" xfId="0">
      <alignment horizontal="right" vertical="center"/>
    </xf>
    <xf numFmtId="9" fontId="73" fillId="51" borderId="27" applyAlignment="1" pivotButton="0" quotePrefix="0" xfId="0">
      <alignment horizontal="center" vertical="center"/>
    </xf>
    <xf numFmtId="0" fontId="71" fillId="51" borderId="27" applyAlignment="1" pivotButton="0" quotePrefix="0" xfId="0">
      <alignment horizontal="right" vertical="center"/>
    </xf>
    <xf numFmtId="168" fontId="71" fillId="51" borderId="27" applyAlignment="1" pivotButton="0" quotePrefix="0" xfId="0">
      <alignment horizontal="center" vertical="center"/>
    </xf>
    <xf numFmtId="0" fontId="77" fillId="59" borderId="27" applyAlignment="1" pivotButton="0" quotePrefix="0" xfId="0">
      <alignment horizontal="center" vertical="center"/>
    </xf>
    <xf numFmtId="9" fontId="71" fillId="51" borderId="27" applyAlignment="1" pivotButton="0" quotePrefix="0" xfId="0">
      <alignment horizontal="center" vertical="center"/>
    </xf>
    <xf numFmtId="9" fontId="71" fillId="50" borderId="27" applyAlignment="1" pivotButton="0" quotePrefix="0" xfId="0">
      <alignment horizontal="center" vertical="center"/>
    </xf>
    <xf numFmtId="0" fontId="75" fillId="55" borderId="28" applyAlignment="1" pivotButton="0" quotePrefix="0" xfId="0">
      <alignment horizontal="left" vertical="center"/>
    </xf>
    <xf numFmtId="0" fontId="0" fillId="55" borderId="28" applyAlignment="1" pivotButton="0" quotePrefix="0" xfId="0">
      <alignment horizontal="left" vertical="center"/>
    </xf>
    <xf numFmtId="0" fontId="68" fillId="60" borderId="27" applyAlignment="1" pivotButton="0" quotePrefix="0" xfId="0">
      <alignment horizontal="left" vertical="center" wrapText="1"/>
    </xf>
    <xf numFmtId="0" fontId="70" fillId="60" borderId="27" applyAlignment="1" pivotButton="0" quotePrefix="0" xfId="0">
      <alignment horizontal="center" vertical="center"/>
    </xf>
    <xf numFmtId="0" fontId="71" fillId="60" borderId="27" applyAlignment="1" pivotButton="0" quotePrefix="0" xfId="0">
      <alignment horizontal="left" vertical="center" wrapText="1"/>
    </xf>
    <xf numFmtId="0" fontId="71" fillId="60" borderId="27" applyAlignment="1" pivotButton="0" quotePrefix="0" xfId="0">
      <alignment horizontal="center" vertical="center"/>
    </xf>
    <xf numFmtId="170" fontId="71" fillId="60" borderId="27" applyAlignment="1" pivotButton="0" quotePrefix="0" xfId="0">
      <alignment horizontal="right" vertical="center"/>
    </xf>
    <xf numFmtId="9" fontId="73" fillId="60" borderId="27" applyAlignment="1" pivotButton="0" quotePrefix="0" xfId="0">
      <alignment horizontal="center" vertical="center"/>
    </xf>
    <xf numFmtId="0" fontId="71" fillId="60" borderId="27" applyAlignment="1" pivotButton="0" quotePrefix="0" xfId="0">
      <alignment horizontal="right" vertical="center"/>
    </xf>
    <xf numFmtId="168" fontId="71" fillId="60" borderId="27" applyAlignment="1" pivotButton="0" quotePrefix="0" xfId="0">
      <alignment horizontal="center" vertical="center"/>
    </xf>
    <xf numFmtId="0" fontId="68" fillId="61" borderId="27" applyAlignment="1" pivotButton="0" quotePrefix="0" xfId="0">
      <alignment horizontal="left" vertical="center" wrapText="1"/>
    </xf>
    <xf numFmtId="0" fontId="70" fillId="61" borderId="27" applyAlignment="1" pivotButton="0" quotePrefix="0" xfId="0">
      <alignment horizontal="center" vertical="center"/>
    </xf>
    <xf numFmtId="0" fontId="71" fillId="61" borderId="27" applyAlignment="1" pivotButton="0" quotePrefix="0" xfId="0">
      <alignment horizontal="left" vertical="center" wrapText="1"/>
    </xf>
    <xf numFmtId="0" fontId="71" fillId="61" borderId="27" applyAlignment="1" pivotButton="0" quotePrefix="0" xfId="0">
      <alignment horizontal="center" vertical="center"/>
    </xf>
    <xf numFmtId="170" fontId="71" fillId="61" borderId="27" applyAlignment="1" pivotButton="0" quotePrefix="0" xfId="0">
      <alignment horizontal="right" vertical="center"/>
    </xf>
    <xf numFmtId="9" fontId="71" fillId="61" borderId="27" applyAlignment="1" pivotButton="0" quotePrefix="0" xfId="0">
      <alignment horizontal="center" vertical="center"/>
    </xf>
    <xf numFmtId="0" fontId="71" fillId="61" borderId="27" applyAlignment="1" pivotButton="0" quotePrefix="0" xfId="0">
      <alignment horizontal="right" vertical="center"/>
    </xf>
    <xf numFmtId="168" fontId="71" fillId="61" borderId="27" applyAlignment="1" pivotButton="0" quotePrefix="0" xfId="0">
      <alignment horizontal="center" vertical="center"/>
    </xf>
    <xf numFmtId="9" fontId="71" fillId="60" borderId="27" applyAlignment="1" pivotButton="0" quotePrefix="0" xfId="0">
      <alignment horizontal="center" vertical="center"/>
    </xf>
    <xf numFmtId="9" fontId="73" fillId="61" borderId="27" applyAlignment="1" pivotButton="0" quotePrefix="0" xfId="0">
      <alignment horizontal="center" vertical="center"/>
    </xf>
    <xf numFmtId="0" fontId="78" fillId="62" borderId="29" applyAlignment="1" pivotButton="0" quotePrefix="0" xfId="0">
      <alignment horizontal="left" vertical="center"/>
    </xf>
    <xf numFmtId="0" fontId="0" fillId="62" borderId="29" applyAlignment="1" pivotButton="0" quotePrefix="0" xfId="0">
      <alignment horizontal="left" vertical="center"/>
    </xf>
    <xf numFmtId="0" fontId="68" fillId="63" borderId="27" applyAlignment="1" pivotButton="0" quotePrefix="0" xfId="0">
      <alignment horizontal="left" vertical="center" wrapText="1"/>
    </xf>
    <xf numFmtId="0" fontId="70" fillId="63" borderId="27" applyAlignment="1" pivotButton="0" quotePrefix="0" xfId="0">
      <alignment horizontal="center" vertical="center"/>
    </xf>
    <xf numFmtId="0" fontId="71" fillId="63" borderId="27" applyAlignment="1" pivotButton="0" quotePrefix="0" xfId="0">
      <alignment horizontal="left" vertical="center" wrapText="1"/>
    </xf>
    <xf numFmtId="0" fontId="71" fillId="63" borderId="27" applyAlignment="1" pivotButton="0" quotePrefix="0" xfId="0">
      <alignment horizontal="center" vertical="center"/>
    </xf>
    <xf numFmtId="170" fontId="71" fillId="63" borderId="27" applyAlignment="1" pivotButton="0" quotePrefix="0" xfId="0">
      <alignment horizontal="right" vertical="center"/>
    </xf>
    <xf numFmtId="9" fontId="73" fillId="63" borderId="27" applyAlignment="1" pivotButton="0" quotePrefix="0" xfId="0">
      <alignment horizontal="center" vertical="center"/>
    </xf>
    <xf numFmtId="0" fontId="71" fillId="63" borderId="27" applyAlignment="1" pivotButton="0" quotePrefix="0" xfId="0">
      <alignment horizontal="right" vertical="center"/>
    </xf>
    <xf numFmtId="168" fontId="71" fillId="63" borderId="27" applyAlignment="1" pivotButton="0" quotePrefix="0" xfId="0">
      <alignment horizontal="center" vertical="center"/>
    </xf>
    <xf numFmtId="0" fontId="68" fillId="64" borderId="27" applyAlignment="1" pivotButton="0" quotePrefix="0" xfId="0">
      <alignment horizontal="left" vertical="center" wrapText="1"/>
    </xf>
    <xf numFmtId="0" fontId="70" fillId="64" borderId="27" applyAlignment="1" pivotButton="0" quotePrefix="0" xfId="0">
      <alignment horizontal="center" vertical="center"/>
    </xf>
    <xf numFmtId="0" fontId="71" fillId="64" borderId="27" applyAlignment="1" pivotButton="0" quotePrefix="0" xfId="0">
      <alignment horizontal="left" vertical="center" wrapText="1"/>
    </xf>
    <xf numFmtId="0" fontId="71" fillId="64" borderId="27" applyAlignment="1" pivotButton="0" quotePrefix="0" xfId="0">
      <alignment horizontal="center" vertical="center"/>
    </xf>
    <xf numFmtId="170" fontId="71" fillId="64" borderId="27" applyAlignment="1" pivotButton="0" quotePrefix="0" xfId="0">
      <alignment horizontal="right" vertical="center"/>
    </xf>
    <xf numFmtId="9" fontId="73" fillId="64" borderId="27" applyAlignment="1" pivotButton="0" quotePrefix="0" xfId="0">
      <alignment horizontal="center" vertical="center"/>
    </xf>
    <xf numFmtId="0" fontId="71" fillId="64" borderId="27" applyAlignment="1" pivotButton="0" quotePrefix="0" xfId="0">
      <alignment horizontal="right" vertical="center"/>
    </xf>
    <xf numFmtId="168" fontId="71" fillId="64" borderId="27" applyAlignment="1" pivotButton="0" quotePrefix="0" xfId="0">
      <alignment horizontal="center" vertical="center"/>
    </xf>
    <xf numFmtId="9" fontId="71" fillId="63" borderId="27" applyAlignment="1" pivotButton="0" quotePrefix="0" xfId="0">
      <alignment horizontal="center" vertical="center"/>
    </xf>
    <xf numFmtId="9" fontId="71" fillId="64" borderId="27" applyAlignment="1" pivotButton="0" quotePrefix="0" xfId="0">
      <alignment horizontal="center" vertical="center"/>
    </xf>
    <xf numFmtId="0" fontId="79" fillId="65" borderId="30" applyAlignment="1" pivotButton="0" quotePrefix="0" xfId="0">
      <alignment horizontal="left" vertical="center"/>
    </xf>
    <xf numFmtId="0" fontId="0" fillId="65" borderId="30" applyAlignment="1" pivotButton="0" quotePrefix="0" xfId="0">
      <alignment horizontal="left" vertical="center"/>
    </xf>
    <xf numFmtId="0" fontId="68" fillId="66" borderId="27" applyAlignment="1" pivotButton="0" quotePrefix="0" xfId="0">
      <alignment horizontal="left" vertical="center" wrapText="1"/>
    </xf>
    <xf numFmtId="0" fontId="70" fillId="66" borderId="27" applyAlignment="1" pivotButton="0" quotePrefix="0" xfId="0">
      <alignment horizontal="center" vertical="center"/>
    </xf>
    <xf numFmtId="0" fontId="71" fillId="66" borderId="27" applyAlignment="1" pivotButton="0" quotePrefix="0" xfId="0">
      <alignment horizontal="left" vertical="center" wrapText="1"/>
    </xf>
    <xf numFmtId="0" fontId="71" fillId="66" borderId="27" applyAlignment="1" pivotButton="0" quotePrefix="0" xfId="0">
      <alignment horizontal="center" vertical="center"/>
    </xf>
    <xf numFmtId="170" fontId="71" fillId="66" borderId="27" applyAlignment="1" pivotButton="0" quotePrefix="0" xfId="0">
      <alignment horizontal="right" vertical="center"/>
    </xf>
    <xf numFmtId="9" fontId="71" fillId="66" borderId="27" applyAlignment="1" pivotButton="0" quotePrefix="0" xfId="0">
      <alignment horizontal="center" vertical="center"/>
    </xf>
    <xf numFmtId="0" fontId="71" fillId="66" borderId="27" applyAlignment="1" pivotButton="0" quotePrefix="0" xfId="0">
      <alignment horizontal="right" vertical="center"/>
    </xf>
    <xf numFmtId="168" fontId="71" fillId="66" borderId="27" applyAlignment="1" pivotButton="0" quotePrefix="0" xfId="0">
      <alignment horizontal="center" vertical="center"/>
    </xf>
    <xf numFmtId="0" fontId="68" fillId="67" borderId="27" applyAlignment="1" pivotButton="0" quotePrefix="0" xfId="0">
      <alignment horizontal="left" vertical="center" wrapText="1"/>
    </xf>
    <xf numFmtId="0" fontId="70" fillId="67" borderId="27" applyAlignment="1" pivotButton="0" quotePrefix="0" xfId="0">
      <alignment horizontal="center" vertical="center"/>
    </xf>
    <xf numFmtId="0" fontId="71" fillId="67" borderId="27" applyAlignment="1" pivotButton="0" quotePrefix="0" xfId="0">
      <alignment horizontal="left" vertical="center" wrapText="1"/>
    </xf>
    <xf numFmtId="0" fontId="71" fillId="67" borderId="27" applyAlignment="1" pivotButton="0" quotePrefix="0" xfId="0">
      <alignment horizontal="center" vertical="center"/>
    </xf>
    <xf numFmtId="170" fontId="71" fillId="67" borderId="27" applyAlignment="1" pivotButton="0" quotePrefix="0" xfId="0">
      <alignment horizontal="right" vertical="center"/>
    </xf>
    <xf numFmtId="9" fontId="73" fillId="67" borderId="27" applyAlignment="1" pivotButton="0" quotePrefix="0" xfId="0">
      <alignment horizontal="center" vertical="center"/>
    </xf>
    <xf numFmtId="0" fontId="71" fillId="67" borderId="27" applyAlignment="1" pivotButton="0" quotePrefix="0" xfId="0">
      <alignment horizontal="right" vertical="center"/>
    </xf>
    <xf numFmtId="168" fontId="71" fillId="67" borderId="27" applyAlignment="1" pivotButton="0" quotePrefix="0" xfId="0">
      <alignment horizontal="center" vertical="center"/>
    </xf>
    <xf numFmtId="9" fontId="71" fillId="67" borderId="27" applyAlignment="1" pivotButton="0" quotePrefix="0" xfId="0">
      <alignment horizontal="center" vertical="center"/>
    </xf>
    <xf numFmtId="9" fontId="73" fillId="66" borderId="27" applyAlignment="1" pivotButton="0" quotePrefix="0" xfId="0">
      <alignment horizontal="center" vertical="center"/>
    </xf>
    <xf numFmtId="0" fontId="80" fillId="68" borderId="31" applyAlignment="1" pivotButton="0" quotePrefix="0" xfId="0">
      <alignment horizontal="left" vertical="center"/>
    </xf>
    <xf numFmtId="0" fontId="0" fillId="68" borderId="31" applyAlignment="1" pivotButton="0" quotePrefix="0" xfId="0">
      <alignment horizontal="left" vertical="center"/>
    </xf>
    <xf numFmtId="0" fontId="68" fillId="69" borderId="27" applyAlignment="1" pivotButton="0" quotePrefix="0" xfId="0">
      <alignment horizontal="left" vertical="center" wrapText="1"/>
    </xf>
    <xf numFmtId="0" fontId="70" fillId="69" borderId="27" applyAlignment="1" pivotButton="0" quotePrefix="0" xfId="0">
      <alignment horizontal="center" vertical="center"/>
    </xf>
    <xf numFmtId="0" fontId="71" fillId="69" borderId="27" applyAlignment="1" pivotButton="0" quotePrefix="0" xfId="0">
      <alignment horizontal="left" vertical="center" wrapText="1"/>
    </xf>
    <xf numFmtId="0" fontId="71" fillId="69" borderId="27" applyAlignment="1" pivotButton="0" quotePrefix="0" xfId="0">
      <alignment horizontal="center" vertical="center"/>
    </xf>
    <xf numFmtId="170" fontId="71" fillId="69" borderId="27" applyAlignment="1" pivotButton="0" quotePrefix="0" xfId="0">
      <alignment horizontal="right" vertical="center"/>
    </xf>
    <xf numFmtId="9" fontId="71" fillId="69" borderId="27" applyAlignment="1" pivotButton="0" quotePrefix="0" xfId="0">
      <alignment horizontal="center" vertical="center"/>
    </xf>
    <xf numFmtId="0" fontId="71" fillId="69" borderId="27" applyAlignment="1" pivotButton="0" quotePrefix="0" xfId="0">
      <alignment horizontal="right" vertical="center"/>
    </xf>
    <xf numFmtId="168" fontId="71" fillId="69" borderId="27" applyAlignment="1" pivotButton="0" quotePrefix="0" xfId="0">
      <alignment horizontal="center" vertical="center"/>
    </xf>
    <xf numFmtId="9" fontId="73" fillId="69" borderId="27" applyAlignment="1" pivotButton="0" quotePrefix="0" xfId="0">
      <alignment horizontal="center" vertical="center"/>
    </xf>
    <xf numFmtId="0" fontId="68" fillId="70" borderId="27" applyAlignment="1" pivotButton="0" quotePrefix="0" xfId="0">
      <alignment horizontal="left" vertical="center" wrapText="1"/>
    </xf>
    <xf numFmtId="0" fontId="70" fillId="70" borderId="27" applyAlignment="1" pivotButton="0" quotePrefix="0" xfId="0">
      <alignment horizontal="center" vertical="center"/>
    </xf>
    <xf numFmtId="0" fontId="71" fillId="70" borderId="27" applyAlignment="1" pivotButton="0" quotePrefix="0" xfId="0">
      <alignment horizontal="left" vertical="center" wrapText="1"/>
    </xf>
    <xf numFmtId="0" fontId="71" fillId="70" borderId="27" applyAlignment="1" pivotButton="0" quotePrefix="0" xfId="0">
      <alignment horizontal="center" vertical="center"/>
    </xf>
    <xf numFmtId="170" fontId="71" fillId="70" borderId="27" applyAlignment="1" pivotButton="0" quotePrefix="0" xfId="0">
      <alignment horizontal="right" vertical="center"/>
    </xf>
    <xf numFmtId="9" fontId="71" fillId="70" borderId="27" applyAlignment="1" pivotButton="0" quotePrefix="0" xfId="0">
      <alignment horizontal="center" vertical="center"/>
    </xf>
    <xf numFmtId="0" fontId="71" fillId="70" borderId="27" applyAlignment="1" pivotButton="0" quotePrefix="0" xfId="0">
      <alignment horizontal="right" vertical="center"/>
    </xf>
    <xf numFmtId="168" fontId="71" fillId="70" borderId="27" applyAlignment="1" pivotButton="0" quotePrefix="0" xfId="0">
      <alignment horizontal="center" vertical="center"/>
    </xf>
    <xf numFmtId="9" fontId="73" fillId="70" borderId="27" applyAlignment="1" pivotButton="0" quotePrefix="0" xfId="0">
      <alignment horizontal="center" vertical="center"/>
    </xf>
    <xf numFmtId="0" fontId="81" fillId="71" borderId="32" applyAlignment="1" pivotButton="0" quotePrefix="0" xfId="0">
      <alignment horizontal="left" vertical="center"/>
    </xf>
    <xf numFmtId="0" fontId="0" fillId="71" borderId="32" applyAlignment="1" pivotButton="0" quotePrefix="0" xfId="0">
      <alignment horizontal="left" vertical="center"/>
    </xf>
    <xf numFmtId="0" fontId="68" fillId="72" borderId="27" applyAlignment="1" pivotButton="0" quotePrefix="0" xfId="0">
      <alignment horizontal="left" vertical="center" wrapText="1"/>
    </xf>
    <xf numFmtId="0" fontId="70" fillId="72" borderId="27" applyAlignment="1" pivotButton="0" quotePrefix="0" xfId="0">
      <alignment horizontal="center" vertical="center"/>
    </xf>
    <xf numFmtId="0" fontId="71" fillId="72" borderId="27" applyAlignment="1" pivotButton="0" quotePrefix="0" xfId="0">
      <alignment horizontal="left" vertical="center" wrapText="1"/>
    </xf>
    <xf numFmtId="0" fontId="71" fillId="72" borderId="27" applyAlignment="1" pivotButton="0" quotePrefix="0" xfId="0">
      <alignment horizontal="center" vertical="center"/>
    </xf>
    <xf numFmtId="170" fontId="71" fillId="72" borderId="27" applyAlignment="1" pivotButton="0" quotePrefix="0" xfId="0">
      <alignment horizontal="right" vertical="center"/>
    </xf>
    <xf numFmtId="9" fontId="71" fillId="72" borderId="27" applyAlignment="1" pivotButton="0" quotePrefix="0" xfId="0">
      <alignment horizontal="center" vertical="center"/>
    </xf>
    <xf numFmtId="0" fontId="71" fillId="72" borderId="27" applyAlignment="1" pivotButton="0" quotePrefix="0" xfId="0">
      <alignment horizontal="right" vertical="center"/>
    </xf>
    <xf numFmtId="168" fontId="71" fillId="72" borderId="27" applyAlignment="1" pivotButton="0" quotePrefix="0" xfId="0">
      <alignment horizontal="center" vertical="center"/>
    </xf>
    <xf numFmtId="0" fontId="68" fillId="73" borderId="27" applyAlignment="1" pivotButton="0" quotePrefix="0" xfId="0">
      <alignment horizontal="left" vertical="center" wrapText="1"/>
    </xf>
    <xf numFmtId="0" fontId="70" fillId="73" borderId="27" applyAlignment="1" pivotButton="0" quotePrefix="0" xfId="0">
      <alignment horizontal="center" vertical="center"/>
    </xf>
    <xf numFmtId="0" fontId="71" fillId="73" borderId="27" applyAlignment="1" pivotButton="0" quotePrefix="0" xfId="0">
      <alignment horizontal="left" vertical="center" wrapText="1"/>
    </xf>
    <xf numFmtId="0" fontId="71" fillId="73" borderId="27" applyAlignment="1" pivotButton="0" quotePrefix="0" xfId="0">
      <alignment horizontal="center" vertical="center"/>
    </xf>
    <xf numFmtId="170" fontId="71" fillId="73" borderId="27" applyAlignment="1" pivotButton="0" quotePrefix="0" xfId="0">
      <alignment horizontal="right" vertical="center"/>
    </xf>
    <xf numFmtId="0" fontId="71" fillId="73" borderId="27" applyAlignment="1" pivotButton="0" quotePrefix="0" xfId="0">
      <alignment horizontal="right" vertical="center"/>
    </xf>
    <xf numFmtId="168" fontId="71" fillId="73" borderId="27" applyAlignment="1" pivotButton="0" quotePrefix="0" xfId="0">
      <alignment horizontal="center" vertical="center"/>
    </xf>
    <xf numFmtId="9" fontId="73" fillId="72" borderId="27" applyAlignment="1" pivotButton="0" quotePrefix="0" xfId="0">
      <alignment horizontal="center" vertical="center"/>
    </xf>
    <xf numFmtId="9" fontId="73" fillId="73" borderId="27" applyAlignment="1" pivotButton="0" quotePrefix="0" xfId="0">
      <alignment horizontal="center" vertical="center"/>
    </xf>
    <xf numFmtId="0" fontId="82" fillId="48" borderId="0" applyAlignment="1" pivotButton="0" quotePrefix="0" xfId="0">
      <alignment horizontal="left" vertical="center"/>
    </xf>
    <xf numFmtId="0" fontId="0" fillId="48" borderId="0" applyAlignment="1" pivotButton="0" quotePrefix="0" xfId="0">
      <alignment horizontal="left" vertical="center"/>
    </xf>
    <xf numFmtId="0" fontId="83" fillId="74" borderId="0" applyAlignment="1" pivotButton="0" quotePrefix="0" xfId="0">
      <alignment horizontal="left" vertical="center"/>
    </xf>
    <xf numFmtId="0" fontId="0" fillId="74" borderId="0" applyAlignment="1" pivotButton="0" quotePrefix="0" xfId="0">
      <alignment horizontal="left" vertical="center"/>
    </xf>
    <xf numFmtId="0" fontId="71" fillId="66" borderId="27" applyAlignment="1" pivotButton="0" quotePrefix="0" xfId="0">
      <alignment horizontal="left" vertical="center"/>
    </xf>
    <xf numFmtId="0" fontId="70" fillId="66" borderId="27" applyAlignment="1" pivotButton="0" quotePrefix="0" xfId="0">
      <alignment horizontal="right" vertical="center"/>
    </xf>
    <xf numFmtId="3" fontId="70" fillId="66" borderId="27" applyAlignment="1" pivotButton="0" quotePrefix="0" xfId="0">
      <alignment horizontal="right" vertical="center"/>
    </xf>
    <xf numFmtId="0" fontId="71" fillId="63" borderId="27" applyAlignment="1" pivotButton="0" quotePrefix="0" xfId="0">
      <alignment horizontal="left" vertical="center"/>
    </xf>
    <xf numFmtId="0" fontId="70" fillId="63" borderId="27" applyAlignment="1" pivotButton="0" quotePrefix="0" xfId="0">
      <alignment horizontal="right" vertical="center"/>
    </xf>
    <xf numFmtId="3" fontId="70" fillId="63" borderId="27" applyAlignment="1" pivotButton="0" quotePrefix="0" xfId="0">
      <alignment horizontal="right" vertical="center"/>
    </xf>
    <xf numFmtId="0" fontId="71" fillId="50" borderId="27" applyAlignment="1" pivotButton="0" quotePrefix="0" xfId="0">
      <alignment horizontal="left" vertical="center"/>
    </xf>
    <xf numFmtId="0" fontId="70" fillId="50" borderId="27" applyAlignment="1" pivotButton="0" quotePrefix="0" xfId="0">
      <alignment horizontal="right" vertical="center"/>
    </xf>
    <xf numFmtId="3" fontId="70" fillId="50" borderId="27" applyAlignment="1" pivotButton="0" quotePrefix="0" xfId="0">
      <alignment horizontal="right" vertical="center"/>
    </xf>
    <xf numFmtId="0" fontId="71" fillId="60" borderId="27" applyAlignment="1" pivotButton="0" quotePrefix="0" xfId="0">
      <alignment horizontal="left" vertical="center"/>
    </xf>
    <xf numFmtId="0" fontId="70" fillId="60" borderId="27" applyAlignment="1" pivotButton="0" quotePrefix="0" xfId="0">
      <alignment horizontal="right" vertical="center"/>
    </xf>
    <xf numFmtId="3" fontId="70" fillId="60" borderId="27" applyAlignment="1" pivotButton="0" quotePrefix="0" xfId="0">
      <alignment horizontal="right" vertical="center"/>
    </xf>
    <xf numFmtId="0" fontId="71" fillId="72" borderId="27" applyAlignment="1" pivotButton="0" quotePrefix="0" xfId="0">
      <alignment horizontal="left" vertical="center"/>
    </xf>
    <xf numFmtId="0" fontId="70" fillId="72" borderId="27" applyAlignment="1" pivotButton="0" quotePrefix="0" xfId="0">
      <alignment horizontal="right" vertical="center"/>
    </xf>
    <xf numFmtId="3" fontId="70" fillId="72" borderId="27" applyAlignment="1" pivotButton="0" quotePrefix="0" xfId="0">
      <alignment horizontal="right" vertical="center"/>
    </xf>
    <xf numFmtId="0" fontId="71" fillId="69" borderId="27" applyAlignment="1" pivotButton="0" quotePrefix="0" xfId="0">
      <alignment horizontal="left" vertical="center"/>
    </xf>
    <xf numFmtId="0" fontId="70" fillId="69" borderId="27" applyAlignment="1" pivotButton="0" quotePrefix="0" xfId="0">
      <alignment horizontal="right" vertical="center"/>
    </xf>
    <xf numFmtId="3" fontId="70" fillId="69" borderId="27" applyAlignment="1" pivotButton="0" quotePrefix="0" xfId="0">
      <alignment horizontal="right" vertical="center"/>
    </xf>
    <xf numFmtId="0" fontId="65" fillId="48" borderId="27" applyAlignment="1" pivotButton="0" quotePrefix="0" xfId="0">
      <alignment horizontal="left" vertical="center"/>
    </xf>
    <xf numFmtId="0" fontId="65" fillId="48" borderId="27" applyAlignment="1" pivotButton="0" quotePrefix="0" xfId="0">
      <alignment horizontal="right" vertical="center"/>
    </xf>
    <xf numFmtId="3" fontId="65" fillId="48" borderId="27" applyAlignment="1" pivotButton="0" quotePrefix="0" xfId="0">
      <alignment horizontal="right" vertical="center"/>
    </xf>
    <xf numFmtId="0" fontId="84" fillId="66" borderId="27" applyAlignment="1" pivotButton="0" quotePrefix="0" xfId="0">
      <alignment horizontal="left" vertical="center" wrapText="1"/>
    </xf>
    <xf numFmtId="0" fontId="84" fillId="67" borderId="27" applyAlignment="1" pivotButton="0" quotePrefix="0" xfId="0">
      <alignment horizontal="left" vertical="center" wrapText="1"/>
    </xf>
    <xf numFmtId="171" fontId="71" fillId="67" borderId="27" applyAlignment="1" pivotButton="0" quotePrefix="0" xfId="0">
      <alignment horizontal="right" vertical="center"/>
    </xf>
    <xf numFmtId="0" fontId="84" fillId="63" borderId="27" applyAlignment="1" pivotButton="0" quotePrefix="0" xfId="0">
      <alignment horizontal="left" vertical="center" wrapText="1"/>
    </xf>
    <xf numFmtId="0" fontId="84" fillId="64" borderId="27" applyAlignment="1" pivotButton="0" quotePrefix="0" xfId="0">
      <alignment horizontal="left" vertical="center" wrapText="1"/>
    </xf>
    <xf numFmtId="171" fontId="71" fillId="63" borderId="27" applyAlignment="1" pivotButton="0" quotePrefix="0" xfId="0">
      <alignment horizontal="right" vertical="center"/>
    </xf>
    <xf numFmtId="171" fontId="71" fillId="64" borderId="27" applyAlignment="1" pivotButton="0" quotePrefix="0" xfId="0">
      <alignment horizontal="right" vertical="center"/>
    </xf>
    <xf numFmtId="171" fontId="71" fillId="50" borderId="27" applyAlignment="1" pivotButton="0" quotePrefix="0" xfId="0">
      <alignment horizontal="right" vertical="center"/>
    </xf>
    <xf numFmtId="0" fontId="84" fillId="50" borderId="27" applyAlignment="1" pivotButton="0" quotePrefix="0" xfId="0">
      <alignment horizontal="left" vertical="center" wrapText="1"/>
    </xf>
    <xf numFmtId="0" fontId="84" fillId="51" borderId="27" applyAlignment="1" pivotButton="0" quotePrefix="0" xfId="0">
      <alignment horizontal="left" vertical="center" wrapText="1"/>
    </xf>
    <xf numFmtId="171" fontId="71" fillId="51" borderId="27" applyAlignment="1" pivotButton="0" quotePrefix="0" xfId="0">
      <alignment horizontal="right" vertical="center"/>
    </xf>
    <xf numFmtId="0" fontId="84" fillId="60" borderId="27" applyAlignment="1" pivotButton="0" quotePrefix="0" xfId="0">
      <alignment horizontal="left" vertical="center" wrapText="1"/>
    </xf>
    <xf numFmtId="0" fontId="84" fillId="61" borderId="27" applyAlignment="1" pivotButton="0" quotePrefix="0" xfId="0">
      <alignment horizontal="left" vertical="center" wrapText="1"/>
    </xf>
    <xf numFmtId="171" fontId="71" fillId="60" borderId="27" applyAlignment="1" pivotButton="0" quotePrefix="0" xfId="0">
      <alignment horizontal="right" vertical="center"/>
    </xf>
    <xf numFmtId="171" fontId="71" fillId="61" borderId="27" applyAlignment="1" pivotButton="0" quotePrefix="0" xfId="0">
      <alignment horizontal="right" vertical="center"/>
    </xf>
    <xf numFmtId="0" fontId="84" fillId="72" borderId="27" applyAlignment="1" pivotButton="0" quotePrefix="0" xfId="0">
      <alignment horizontal="left" vertical="center" wrapText="1"/>
    </xf>
    <xf numFmtId="0" fontId="84" fillId="69" borderId="27" applyAlignment="1" pivotButton="0" quotePrefix="0" xfId="0">
      <alignment horizontal="left" vertical="center" wrapText="1"/>
    </xf>
    <xf numFmtId="0" fontId="84" fillId="70" borderId="27" applyAlignment="1" pivotButton="0" quotePrefix="0" xfId="0">
      <alignment horizontal="left" vertical="center" wrapText="1"/>
    </xf>
    <xf numFmtId="0" fontId="0" fillId="48" borderId="33" pivotButton="0" quotePrefix="0" xfId="0"/>
    <xf numFmtId="0" fontId="100" fillId="48" borderId="33" applyAlignment="1" pivotButton="0" quotePrefix="0" xfId="0">
      <alignment horizontal="left" vertical="center"/>
    </xf>
    <xf numFmtId="0" fontId="0" fillId="75" borderId="33" pivotButton="0" quotePrefix="0" xfId="0"/>
    <xf numFmtId="0" fontId="101" fillId="75" borderId="33" applyAlignment="1" pivotButton="0" quotePrefix="0" xfId="0">
      <alignment horizontal="left" vertical="center"/>
    </xf>
    <xf numFmtId="0" fontId="32" fillId="48" borderId="33" pivotButton="0" quotePrefix="0" xfId="0"/>
    <xf numFmtId="0" fontId="102" fillId="48" borderId="33" applyAlignment="1" pivotButton="0" quotePrefix="0" xfId="0">
      <alignment horizontal="left" vertical="center"/>
    </xf>
    <xf numFmtId="0" fontId="71" fillId="0" borderId="13" pivotButton="0" quotePrefix="0" xfId="0"/>
    <xf numFmtId="0" fontId="71" fillId="18" borderId="14" applyAlignment="1" pivotButton="0" quotePrefix="0" xfId="0">
      <alignment horizontal="left" vertical="center" wrapText="1"/>
    </xf>
    <xf numFmtId="0" fontId="71" fillId="0" borderId="0" pivotButton="0" quotePrefix="0" xfId="0"/>
    <xf numFmtId="0" fontId="34" fillId="48" borderId="33" applyAlignment="1" pivotButton="0" quotePrefix="0" xfId="0">
      <alignment horizontal="center" vertical="center"/>
    </xf>
    <xf numFmtId="0" fontId="71" fillId="26" borderId="13" applyAlignment="1" pivotButton="0" quotePrefix="0" xfId="0">
      <alignment horizontal="center" vertical="center"/>
    </xf>
    <xf numFmtId="0" fontId="71" fillId="15" borderId="13" applyAlignment="1" pivotButton="0" quotePrefix="0" xfId="0">
      <alignment horizontal="center" vertical="center"/>
    </xf>
    <xf numFmtId="0" fontId="71" fillId="21" borderId="13" applyAlignment="1" pivotButton="0" quotePrefix="0" xfId="0">
      <alignment horizontal="center" vertical="center"/>
    </xf>
    <xf numFmtId="0" fontId="71" fillId="27" borderId="13" applyAlignment="1" pivotButton="0" quotePrefix="0" xfId="0">
      <alignment horizontal="center" vertical="center"/>
    </xf>
    <xf numFmtId="0" fontId="71" fillId="0" borderId="13" applyAlignment="1" pivotButton="0" quotePrefix="0" xfId="0">
      <alignment horizontal="right"/>
    </xf>
    <xf numFmtId="164" fontId="71" fillId="0" borderId="13" applyAlignment="1" pivotButton="0" quotePrefix="0" xfId="0">
      <alignment horizontal="right"/>
    </xf>
    <xf numFmtId="10" fontId="71" fillId="0" borderId="13" applyAlignment="1" pivotButton="0" quotePrefix="0" xfId="0">
      <alignment horizontal="right"/>
    </xf>
    <xf numFmtId="165" fontId="71" fillId="0" borderId="13" applyAlignment="1" pivotButton="0" quotePrefix="0" xfId="0">
      <alignment horizontal="right"/>
    </xf>
    <xf numFmtId="0" fontId="71" fillId="2" borderId="13" pivotButton="0" quotePrefix="0" xfId="0"/>
    <xf numFmtId="0" fontId="71" fillId="2" borderId="13" applyAlignment="1" pivotButton="0" quotePrefix="0" xfId="0">
      <alignment horizontal="right"/>
    </xf>
    <xf numFmtId="164" fontId="71" fillId="2" borderId="13" pivotButton="0" quotePrefix="0" xfId="0"/>
    <xf numFmtId="3" fontId="71" fillId="2" borderId="13" pivotButton="0" quotePrefix="0" xfId="0"/>
    <xf numFmtId="164" fontId="71" fillId="0" borderId="13" pivotButton="0" quotePrefix="0" xfId="0"/>
    <xf numFmtId="3" fontId="71" fillId="0" borderId="13" pivotButton="0" quotePrefix="0" xfId="0"/>
    <xf numFmtId="0" fontId="71" fillId="0" borderId="13" applyAlignment="1" pivotButton="0" quotePrefix="0" xfId="0">
      <alignment horizontal="center"/>
    </xf>
    <xf numFmtId="3" fontId="71" fillId="0" borderId="13" applyAlignment="1" pivotButton="0" quotePrefix="0" xfId="0">
      <alignment horizontal="center"/>
    </xf>
    <xf numFmtId="0" fontId="82" fillId="48" borderId="33" applyAlignment="1" pivotButton="0" quotePrefix="0" xfId="0">
      <alignment horizontal="left" vertical="center"/>
    </xf>
    <xf numFmtId="0" fontId="65" fillId="48" borderId="33" applyAlignment="1" pivotButton="0" quotePrefix="0" xfId="0">
      <alignment horizontal="left" vertical="center" wrapText="1"/>
    </xf>
    <xf numFmtId="0" fontId="86" fillId="75" borderId="33" applyAlignment="1" pivotButton="0" quotePrefix="0" xfId="0">
      <alignment horizontal="left" vertical="center"/>
    </xf>
    <xf numFmtId="0" fontId="85" fillId="75" borderId="33" applyAlignment="1" pivotButton="0" quotePrefix="0" xfId="0">
      <alignment horizontal="left" vertical="center"/>
    </xf>
    <xf numFmtId="0" fontId="65" fillId="48" borderId="33" applyAlignment="1" pivotButton="0" quotePrefix="0" xfId="0">
      <alignment horizontal="center" vertical="center" wrapText="1"/>
    </xf>
    <xf numFmtId="0" fontId="66" fillId="49" borderId="21" applyAlignment="1" pivotButton="0" quotePrefix="0" xfId="0">
      <alignment horizontal="left" vertical="center"/>
    </xf>
    <xf numFmtId="0" fontId="87" fillId="49" borderId="21" applyAlignment="1" pivotButton="0" quotePrefix="0" xfId="0">
      <alignment horizontal="left" vertical="center"/>
    </xf>
    <xf numFmtId="166" fontId="87" fillId="49" borderId="21" applyAlignment="1" pivotButton="0" quotePrefix="0" xfId="0">
      <alignment horizontal="left" vertical="center"/>
    </xf>
    <xf numFmtId="167" fontId="87" fillId="49" borderId="21" applyAlignment="1" pivotButton="0" quotePrefix="0" xfId="0">
      <alignment horizontal="left" vertical="center"/>
    </xf>
    <xf numFmtId="0" fontId="88" fillId="62" borderId="34" applyAlignment="1" pivotButton="0" quotePrefix="0" xfId="0">
      <alignment horizontal="left" vertical="center"/>
    </xf>
    <xf numFmtId="0" fontId="89" fillId="62" borderId="34" applyAlignment="1" pivotButton="0" quotePrefix="0" xfId="0">
      <alignment horizontal="left" vertical="center"/>
    </xf>
    <xf numFmtId="167" fontId="89" fillId="62" borderId="34" applyAlignment="1" pivotButton="0" quotePrefix="0" xfId="0">
      <alignment horizontal="left" vertical="center"/>
    </xf>
    <xf numFmtId="0" fontId="75" fillId="55" borderId="24" applyAlignment="1" pivotButton="0" quotePrefix="0" xfId="0">
      <alignment horizontal="left" vertical="center"/>
    </xf>
    <xf numFmtId="0" fontId="90" fillId="55" borderId="24" applyAlignment="1" pivotButton="0" quotePrefix="0" xfId="0">
      <alignment horizontal="left" vertical="center"/>
    </xf>
    <xf numFmtId="167" fontId="90" fillId="55" borderId="24" applyAlignment="1" pivotButton="0" quotePrefix="0" xfId="0">
      <alignment horizontal="left" vertical="center"/>
    </xf>
    <xf numFmtId="0" fontId="91" fillId="76" borderId="35" applyAlignment="1" pivotButton="0" quotePrefix="0" xfId="0">
      <alignment horizontal="left" vertical="center"/>
    </xf>
    <xf numFmtId="0" fontId="92" fillId="76" borderId="35" applyAlignment="1" pivotButton="0" quotePrefix="0" xfId="0">
      <alignment horizontal="left" vertical="center"/>
    </xf>
    <xf numFmtId="0" fontId="65" fillId="48" borderId="33" applyAlignment="1" pivotButton="0" quotePrefix="0" xfId="0">
      <alignment horizontal="right" vertical="center" wrapText="1"/>
    </xf>
    <xf numFmtId="0" fontId="66" fillId="77" borderId="27" applyAlignment="1" pivotButton="0" quotePrefix="0" xfId="0">
      <alignment horizontal="left" vertical="center"/>
    </xf>
    <xf numFmtId="0" fontId="0" fillId="77" borderId="27" applyAlignment="1" pivotButton="0" quotePrefix="0" xfId="0">
      <alignment horizontal="left" vertical="center"/>
    </xf>
    <xf numFmtId="0" fontId="68" fillId="78" borderId="27" applyAlignment="1" pivotButton="0" quotePrefix="0" xfId="0">
      <alignment horizontal="left" vertical="center" wrapText="1"/>
    </xf>
    <xf numFmtId="0" fontId="70" fillId="78" borderId="27" applyAlignment="1" pivotButton="0" quotePrefix="0" xfId="0">
      <alignment horizontal="center" vertical="center"/>
    </xf>
    <xf numFmtId="0" fontId="93" fillId="78" borderId="27" applyAlignment="1" pivotButton="0" quotePrefix="0" xfId="0">
      <alignment horizontal="center" vertical="center"/>
    </xf>
    <xf numFmtId="0" fontId="71" fillId="78" borderId="27" applyAlignment="1" pivotButton="0" quotePrefix="0" xfId="0">
      <alignment horizontal="left" vertical="center" wrapText="1"/>
    </xf>
    <xf numFmtId="0" fontId="71" fillId="78" borderId="27" applyAlignment="1" pivotButton="0" quotePrefix="0" xfId="0">
      <alignment horizontal="center" vertical="center"/>
    </xf>
    <xf numFmtId="170" fontId="71" fillId="78" borderId="27" applyAlignment="1" pivotButton="0" quotePrefix="0" xfId="0">
      <alignment horizontal="right" vertical="center"/>
    </xf>
    <xf numFmtId="9" fontId="73" fillId="78" borderId="27" applyAlignment="1" pivotButton="0" quotePrefix="0" xfId="0">
      <alignment horizontal="center" vertical="center"/>
    </xf>
    <xf numFmtId="0" fontId="71" fillId="78" borderId="27" applyAlignment="1" pivotButton="0" quotePrefix="0" xfId="0">
      <alignment horizontal="right" vertical="center"/>
    </xf>
    <xf numFmtId="168" fontId="71" fillId="78" borderId="27" applyAlignment="1" pivotButton="0" quotePrefix="0" xfId="0">
      <alignment horizontal="center" vertical="center"/>
    </xf>
    <xf numFmtId="0" fontId="68" fillId="56" borderId="27" applyAlignment="1" pivotButton="0" quotePrefix="0" xfId="0">
      <alignment horizontal="left" vertical="center" wrapText="1"/>
    </xf>
    <xf numFmtId="0" fontId="70" fillId="56" borderId="27" applyAlignment="1" pivotButton="0" quotePrefix="0" xfId="0">
      <alignment horizontal="center" vertical="center"/>
    </xf>
    <xf numFmtId="0" fontId="93" fillId="56" borderId="27" applyAlignment="1" pivotButton="0" quotePrefix="0" xfId="0">
      <alignment horizontal="center" vertical="center"/>
    </xf>
    <xf numFmtId="0" fontId="71" fillId="56" borderId="27" applyAlignment="1" pivotButton="0" quotePrefix="0" xfId="0">
      <alignment horizontal="left" vertical="center" wrapText="1"/>
    </xf>
    <xf numFmtId="0" fontId="71" fillId="56" borderId="27" applyAlignment="1" pivotButton="0" quotePrefix="0" xfId="0">
      <alignment horizontal="center" vertical="center"/>
    </xf>
    <xf numFmtId="170" fontId="71" fillId="56" borderId="27" applyAlignment="1" pivotButton="0" quotePrefix="0" xfId="0">
      <alignment horizontal="right" vertical="center"/>
    </xf>
    <xf numFmtId="9" fontId="73" fillId="56" borderId="27" applyAlignment="1" pivotButton="0" quotePrefix="0" xfId="0">
      <alignment horizontal="center" vertical="center"/>
    </xf>
    <xf numFmtId="0" fontId="71" fillId="56" borderId="27" applyAlignment="1" pivotButton="0" quotePrefix="0" xfId="0">
      <alignment horizontal="right" vertical="center"/>
    </xf>
    <xf numFmtId="168" fontId="71" fillId="56" borderId="27" applyAlignment="1" pivotButton="0" quotePrefix="0" xfId="0">
      <alignment horizontal="center" vertical="center"/>
    </xf>
    <xf numFmtId="0" fontId="94" fillId="56" borderId="27" applyAlignment="1" pivotButton="0" quotePrefix="0" xfId="0">
      <alignment horizontal="center" vertical="center"/>
    </xf>
    <xf numFmtId="0" fontId="94" fillId="78" borderId="27" applyAlignment="1" pivotButton="0" quotePrefix="0" xfId="0">
      <alignment horizontal="center" vertical="center"/>
    </xf>
    <xf numFmtId="0" fontId="95" fillId="50" borderId="27" applyAlignment="1" pivotButton="0" quotePrefix="0" xfId="0">
      <alignment horizontal="center" vertical="center"/>
    </xf>
    <xf numFmtId="0" fontId="68" fillId="79" borderId="27" applyAlignment="1" pivotButton="0" quotePrefix="0" xfId="0">
      <alignment horizontal="left" vertical="center" wrapText="1"/>
    </xf>
    <xf numFmtId="0" fontId="70" fillId="79" borderId="27" applyAlignment="1" pivotButton="0" quotePrefix="0" xfId="0">
      <alignment horizontal="center" vertical="center"/>
    </xf>
    <xf numFmtId="0" fontId="95" fillId="79" borderId="27" applyAlignment="1" pivotButton="0" quotePrefix="0" xfId="0">
      <alignment horizontal="center" vertical="center"/>
    </xf>
    <xf numFmtId="0" fontId="71" fillId="79" borderId="27" applyAlignment="1" pivotButton="0" quotePrefix="0" xfId="0">
      <alignment horizontal="left" vertical="center" wrapText="1"/>
    </xf>
    <xf numFmtId="0" fontId="71" fillId="79" borderId="27" applyAlignment="1" pivotButton="0" quotePrefix="0" xfId="0">
      <alignment horizontal="center" vertical="center"/>
    </xf>
    <xf numFmtId="170" fontId="71" fillId="79" borderId="27" applyAlignment="1" pivotButton="0" quotePrefix="0" xfId="0">
      <alignment horizontal="right" vertical="center"/>
    </xf>
    <xf numFmtId="9" fontId="71" fillId="79" borderId="27" applyAlignment="1" pivotButton="0" quotePrefix="0" xfId="0">
      <alignment horizontal="center" vertical="center"/>
    </xf>
    <xf numFmtId="0" fontId="71" fillId="79" borderId="27" applyAlignment="1" pivotButton="0" quotePrefix="0" xfId="0">
      <alignment horizontal="right" vertical="center"/>
    </xf>
    <xf numFmtId="168" fontId="71" fillId="79" borderId="27" applyAlignment="1" pivotButton="0" quotePrefix="0" xfId="0">
      <alignment horizontal="center" vertical="center"/>
    </xf>
    <xf numFmtId="9" fontId="71" fillId="56" borderId="27" applyAlignment="1" pivotButton="0" quotePrefix="0" xfId="0">
      <alignment horizontal="center" vertical="center"/>
    </xf>
    <xf numFmtId="9" fontId="73" fillId="79" borderId="27" applyAlignment="1" pivotButton="0" quotePrefix="0" xfId="0">
      <alignment horizontal="center" vertical="center"/>
    </xf>
    <xf numFmtId="9" fontId="71" fillId="78" borderId="27" applyAlignment="1" pivotButton="0" quotePrefix="0" xfId="0">
      <alignment horizontal="center" vertical="center"/>
    </xf>
    <xf numFmtId="0" fontId="75" fillId="80" borderId="27" applyAlignment="1" pivotButton="0" quotePrefix="0" xfId="0">
      <alignment horizontal="left" vertical="center"/>
    </xf>
    <xf numFmtId="0" fontId="0" fillId="80" borderId="27" applyAlignment="1" pivotButton="0" quotePrefix="0" xfId="0">
      <alignment horizontal="left" vertical="center"/>
    </xf>
    <xf numFmtId="0" fontId="78" fillId="80" borderId="27" applyAlignment="1" pivotButton="0" quotePrefix="0" xfId="0">
      <alignment horizontal="left" vertical="center"/>
    </xf>
    <xf numFmtId="0" fontId="79" fillId="77" borderId="27" applyAlignment="1" pivotButton="0" quotePrefix="0" xfId="0">
      <alignment horizontal="left" vertical="center"/>
    </xf>
    <xf numFmtId="0" fontId="80" fillId="77" borderId="27" applyAlignment="1" pivotButton="0" quotePrefix="0" xfId="0">
      <alignment horizontal="left" vertical="center"/>
    </xf>
    <xf numFmtId="0" fontId="81" fillId="80" borderId="27" applyAlignment="1" pivotButton="0" quotePrefix="0" xfId="0">
      <alignment horizontal="left" vertical="center"/>
    </xf>
    <xf numFmtId="0" fontId="81" fillId="77" borderId="27" applyAlignment="1" pivotButton="0" quotePrefix="0" xfId="0">
      <alignment horizontal="left" vertical="center"/>
    </xf>
    <xf numFmtId="0" fontId="71" fillId="66" borderId="36" applyAlignment="1" pivotButton="0" quotePrefix="0" xfId="0">
      <alignment horizontal="left" vertical="center"/>
    </xf>
    <xf numFmtId="0" fontId="70" fillId="66" borderId="36" applyAlignment="1" pivotButton="0" quotePrefix="0" xfId="0">
      <alignment horizontal="right" vertical="center"/>
    </xf>
    <xf numFmtId="3" fontId="70" fillId="66" borderId="36" applyAlignment="1" pivotButton="0" quotePrefix="0" xfId="0">
      <alignment horizontal="right" vertical="center"/>
    </xf>
    <xf numFmtId="0" fontId="0" fillId="0" borderId="36" pivotButton="0" quotePrefix="0" xfId="0"/>
    <xf numFmtId="0" fontId="71" fillId="63" borderId="36" applyAlignment="1" pivotButton="0" quotePrefix="0" xfId="0">
      <alignment horizontal="left" vertical="center"/>
    </xf>
    <xf numFmtId="0" fontId="70" fillId="63" borderId="36" applyAlignment="1" pivotButton="0" quotePrefix="0" xfId="0">
      <alignment horizontal="right" vertical="center"/>
    </xf>
    <xf numFmtId="3" fontId="70" fillId="63" borderId="36" applyAlignment="1" pivotButton="0" quotePrefix="0" xfId="0">
      <alignment horizontal="right" vertical="center"/>
    </xf>
    <xf numFmtId="0" fontId="71" fillId="50" borderId="36" applyAlignment="1" pivotButton="0" quotePrefix="0" xfId="0">
      <alignment horizontal="left" vertical="center"/>
    </xf>
    <xf numFmtId="0" fontId="70" fillId="50" borderId="36" applyAlignment="1" pivotButton="0" quotePrefix="0" xfId="0">
      <alignment horizontal="right" vertical="center"/>
    </xf>
    <xf numFmtId="3" fontId="70" fillId="50" borderId="36" applyAlignment="1" pivotButton="0" quotePrefix="0" xfId="0">
      <alignment horizontal="right" vertical="center"/>
    </xf>
    <xf numFmtId="0" fontId="71" fillId="60" borderId="36" applyAlignment="1" pivotButton="0" quotePrefix="0" xfId="0">
      <alignment horizontal="left" vertical="center"/>
    </xf>
    <xf numFmtId="0" fontId="70" fillId="60" borderId="36" applyAlignment="1" pivotButton="0" quotePrefix="0" xfId="0">
      <alignment horizontal="right" vertical="center"/>
    </xf>
    <xf numFmtId="3" fontId="70" fillId="60" borderId="36" applyAlignment="1" pivotButton="0" quotePrefix="0" xfId="0">
      <alignment horizontal="right" vertical="center"/>
    </xf>
    <xf numFmtId="0" fontId="71" fillId="72" borderId="36" applyAlignment="1" pivotButton="0" quotePrefix="0" xfId="0">
      <alignment horizontal="left" vertical="center"/>
    </xf>
    <xf numFmtId="0" fontId="70" fillId="72" borderId="36" applyAlignment="1" pivotButton="0" quotePrefix="0" xfId="0">
      <alignment horizontal="right" vertical="center"/>
    </xf>
    <xf numFmtId="3" fontId="70" fillId="72" borderId="36" applyAlignment="1" pivotButton="0" quotePrefix="0" xfId="0">
      <alignment horizontal="right" vertical="center"/>
    </xf>
    <xf numFmtId="0" fontId="71" fillId="69" borderId="36" applyAlignment="1" pivotButton="0" quotePrefix="0" xfId="0">
      <alignment horizontal="left" vertical="center"/>
    </xf>
    <xf numFmtId="0" fontId="70" fillId="69" borderId="36" applyAlignment="1" pivotButton="0" quotePrefix="0" xfId="0">
      <alignment horizontal="right" vertical="center"/>
    </xf>
    <xf numFmtId="3" fontId="70" fillId="69" borderId="36" applyAlignment="1" pivotButton="0" quotePrefix="0" xfId="0">
      <alignment horizontal="right" vertical="center"/>
    </xf>
    <xf numFmtId="0" fontId="65" fillId="48" borderId="33" applyAlignment="1" pivotButton="0" quotePrefix="0" xfId="0">
      <alignment horizontal="left" vertical="center"/>
    </xf>
    <xf numFmtId="0" fontId="65" fillId="48" borderId="33" applyAlignment="1" pivotButton="0" quotePrefix="0" xfId="0">
      <alignment horizontal="right" vertical="center"/>
    </xf>
    <xf numFmtId="3" fontId="65" fillId="48" borderId="33" applyAlignment="1" pivotButton="0" quotePrefix="0" xfId="0">
      <alignment horizontal="right" vertical="center"/>
    </xf>
    <xf numFmtId="0" fontId="65" fillId="48" borderId="33" pivotButton="0" quotePrefix="0" xfId="0"/>
    <xf numFmtId="0" fontId="98" fillId="48" borderId="33" applyAlignment="1" pivotButton="0" quotePrefix="0" xfId="0">
      <alignment horizontal="left" vertical="center"/>
    </xf>
    <xf numFmtId="0" fontId="65" fillId="48" borderId="33" applyAlignment="1" pivotButton="0" quotePrefix="0" xfId="0">
      <alignment horizontal="left" vertical="center"/>
    </xf>
    <xf numFmtId="0" fontId="68" fillId="86" borderId="37" applyAlignment="1" pivotButton="0" quotePrefix="0" xfId="0">
      <alignment horizontal="left" vertical="center" wrapText="1"/>
    </xf>
    <xf numFmtId="0" fontId="71" fillId="86" borderId="37" applyAlignment="1" pivotButton="0" quotePrefix="0" xfId="0">
      <alignment horizontal="center" vertical="center" wrapText="1"/>
    </xf>
    <xf numFmtId="0" fontId="71" fillId="86" borderId="37" applyAlignment="1" pivotButton="0" quotePrefix="0" xfId="0">
      <alignment horizontal="left" vertical="center" wrapText="1"/>
    </xf>
    <xf numFmtId="0" fontId="68" fillId="87" borderId="37" applyAlignment="1" pivotButton="0" quotePrefix="0" xfId="0">
      <alignment horizontal="left" vertical="center" wrapText="1"/>
    </xf>
    <xf numFmtId="0" fontId="71" fillId="87" borderId="37" applyAlignment="1" pivotButton="0" quotePrefix="0" xfId="0">
      <alignment horizontal="center" vertical="center" wrapText="1"/>
    </xf>
    <xf numFmtId="0" fontId="71" fillId="87" borderId="37" applyAlignment="1" pivotButton="0" quotePrefix="0" xfId="0">
      <alignment horizontal="left" vertical="center" wrapText="1"/>
    </xf>
    <xf numFmtId="0" fontId="68" fillId="88" borderId="37" applyAlignment="1" pivotButton="0" quotePrefix="0" xfId="0">
      <alignment horizontal="left" vertical="center" wrapText="1"/>
    </xf>
    <xf numFmtId="0" fontId="71" fillId="88" borderId="37" applyAlignment="1" pivotButton="0" quotePrefix="0" xfId="0">
      <alignment horizontal="center" vertical="center" wrapText="1"/>
    </xf>
    <xf numFmtId="0" fontId="71" fillId="88" borderId="37" applyAlignment="1" pivotButton="0" quotePrefix="0" xfId="0">
      <alignment horizontal="left" vertical="center" wrapText="1"/>
    </xf>
    <xf numFmtId="0" fontId="68" fillId="89" borderId="37" applyAlignment="1" pivotButton="0" quotePrefix="0" xfId="0">
      <alignment horizontal="left" vertical="center" wrapText="1"/>
    </xf>
    <xf numFmtId="0" fontId="71" fillId="89" borderId="37" applyAlignment="1" pivotButton="0" quotePrefix="0" xfId="0">
      <alignment horizontal="center" vertical="center" wrapText="1"/>
    </xf>
    <xf numFmtId="0" fontId="71" fillId="89" borderId="37" applyAlignment="1" pivotButton="0" quotePrefix="0" xfId="0">
      <alignment horizontal="left" vertical="center" wrapText="1"/>
    </xf>
    <xf numFmtId="0" fontId="68" fillId="90" borderId="37" applyAlignment="1" pivotButton="0" quotePrefix="0" xfId="0">
      <alignment horizontal="left" vertical="center" wrapText="1"/>
    </xf>
    <xf numFmtId="0" fontId="71" fillId="90" borderId="37" applyAlignment="1" pivotButton="0" quotePrefix="0" xfId="0">
      <alignment horizontal="center" vertical="center" wrapText="1"/>
    </xf>
    <xf numFmtId="0" fontId="71" fillId="90" borderId="37" applyAlignment="1" pivotButton="0" quotePrefix="0" xfId="0">
      <alignment horizontal="left" vertical="center" wrapText="1"/>
    </xf>
    <xf numFmtId="0" fontId="65" fillId="48" borderId="33" applyAlignment="1" pivotButton="0" quotePrefix="0" xfId="0">
      <alignment horizontal="center" vertical="center"/>
    </xf>
    <xf numFmtId="0" fontId="99" fillId="91" borderId="33" applyAlignment="1" pivotButton="0" quotePrefix="0" xfId="0">
      <alignment horizontal="left" vertical="center" wrapText="1"/>
    </xf>
    <xf numFmtId="0" fontId="1" fillId="50" borderId="27" pivotButton="0" quotePrefix="0" xfId="0"/>
    <xf numFmtId="0" fontId="71" fillId="50" borderId="27" pivotButton="0" quotePrefix="0" xfId="0"/>
    <xf numFmtId="164" fontId="1" fillId="50" borderId="27" pivotButton="0" quotePrefix="0" xfId="0"/>
    <xf numFmtId="3" fontId="1" fillId="50" borderId="27" pivotButton="0" quotePrefix="0" xfId="0"/>
    <xf numFmtId="3" fontId="51" fillId="50" borderId="27" applyAlignment="1" pivotButton="0" quotePrefix="0" xfId="0">
      <alignment horizontal="center" vertical="center"/>
    </xf>
    <xf numFmtId="0" fontId="51" fillId="50" borderId="27" applyAlignment="1" pivotButton="0" quotePrefix="0" xfId="0">
      <alignment horizontal="center" vertical="center"/>
    </xf>
    <xf numFmtId="0" fontId="11" fillId="50" borderId="27" applyAlignment="1" pivotButton="0" quotePrefix="0" xfId="0">
      <alignment horizontal="center" vertical="center" wrapText="1"/>
    </xf>
    <xf numFmtId="0" fontId="1" fillId="51" borderId="27" pivotButton="0" quotePrefix="0" xfId="0"/>
    <xf numFmtId="0" fontId="96" fillId="51" borderId="27" pivotButton="0" quotePrefix="0" xfId="0"/>
    <xf numFmtId="164" fontId="1" fillId="51" borderId="27" pivotButton="0" quotePrefix="0" xfId="0"/>
    <xf numFmtId="3" fontId="1" fillId="51" borderId="27" pivotButton="0" quotePrefix="0" xfId="0"/>
    <xf numFmtId="3" fontId="51" fillId="51" borderId="27" applyAlignment="1" pivotButton="0" quotePrefix="0" xfId="0">
      <alignment horizontal="center" vertical="center"/>
    </xf>
    <xf numFmtId="0" fontId="51" fillId="51" borderId="27" applyAlignment="1" pivotButton="0" quotePrefix="0" xfId="0">
      <alignment horizontal="center" vertical="center"/>
    </xf>
    <xf numFmtId="0" fontId="11" fillId="51" borderId="27" applyAlignment="1" pivotButton="0" quotePrefix="0" xfId="0">
      <alignment horizontal="center" vertical="center" wrapText="1"/>
    </xf>
    <xf numFmtId="0" fontId="97" fillId="51" borderId="27" pivotButton="0" quotePrefix="0" xfId="0"/>
    <xf numFmtId="164" fontId="51" fillId="50" borderId="27" applyAlignment="1" pivotButton="0" quotePrefix="0" xfId="0">
      <alignment horizontal="center" vertical="center"/>
    </xf>
    <xf numFmtId="0" fontId="12" fillId="50" borderId="27" applyAlignment="1" pivotButton="0" quotePrefix="0" xfId="0">
      <alignment horizontal="center" vertical="center" wrapText="1"/>
    </xf>
    <xf numFmtId="0" fontId="71" fillId="51" borderId="27" pivotButton="0" quotePrefix="0" xfId="0"/>
    <xf numFmtId="164" fontId="51" fillId="51" borderId="27" applyAlignment="1" pivotButton="0" quotePrefix="0" xfId="0">
      <alignment horizontal="center" vertical="center"/>
    </xf>
    <xf numFmtId="0" fontId="12" fillId="51" borderId="27" applyAlignment="1" pivotButton="0" quotePrefix="0" xfId="0">
      <alignment horizontal="center" vertical="center" wrapText="1"/>
    </xf>
    <xf numFmtId="0" fontId="1" fillId="77" borderId="27" pivotButton="0" quotePrefix="0" xfId="0"/>
    <xf numFmtId="0" fontId="97" fillId="77" borderId="27" pivotButton="0" quotePrefix="0" xfId="0"/>
    <xf numFmtId="164" fontId="1" fillId="77" borderId="27" pivotButton="0" quotePrefix="0" xfId="0"/>
    <xf numFmtId="3" fontId="1" fillId="77" borderId="27" pivotButton="0" quotePrefix="0" xfId="0"/>
    <xf numFmtId="3" fontId="51" fillId="77" borderId="27" applyAlignment="1" pivotButton="0" quotePrefix="0" xfId="0">
      <alignment horizontal="center" vertical="center"/>
    </xf>
    <xf numFmtId="0" fontId="51" fillId="77" borderId="27" applyAlignment="1" pivotButton="0" quotePrefix="0" xfId="0">
      <alignment horizontal="center" vertical="center"/>
    </xf>
    <xf numFmtId="164" fontId="51" fillId="77" borderId="27" applyAlignment="1" pivotButton="0" quotePrefix="0" xfId="0">
      <alignment horizontal="center" vertical="center"/>
    </xf>
    <xf numFmtId="0" fontId="13" fillId="77" borderId="27" applyAlignment="1" pivotButton="0" quotePrefix="0" xfId="0">
      <alignment horizontal="center" vertical="center" wrapText="1"/>
    </xf>
    <xf numFmtId="0" fontId="97" fillId="50" borderId="27" pivotButton="0" quotePrefix="0" xfId="0"/>
    <xf numFmtId="0" fontId="13" fillId="50" borderId="27" applyAlignment="1" pivotButton="0" quotePrefix="0" xfId="0">
      <alignment horizontal="center" vertical="center" wrapText="1"/>
    </xf>
    <xf numFmtId="0" fontId="13" fillId="51" borderId="27" applyAlignment="1" pivotButton="0" quotePrefix="0" xfId="0">
      <alignment horizontal="center" vertical="center" wrapText="1"/>
    </xf>
    <xf numFmtId="0" fontId="1" fillId="56" borderId="27" pivotButton="0" quotePrefix="0" xfId="0"/>
    <xf numFmtId="0" fontId="96" fillId="56" borderId="27" pivotButton="0" quotePrefix="0" xfId="0"/>
    <xf numFmtId="164" fontId="1" fillId="56" borderId="27" pivotButton="0" quotePrefix="0" xfId="0"/>
    <xf numFmtId="3" fontId="1" fillId="56" borderId="27" pivotButton="0" quotePrefix="0" xfId="0"/>
    <xf numFmtId="3" fontId="51" fillId="56" borderId="27" applyAlignment="1" pivotButton="0" quotePrefix="0" xfId="0">
      <alignment horizontal="center" vertical="center"/>
    </xf>
    <xf numFmtId="0" fontId="51" fillId="56" borderId="27" applyAlignment="1" pivotButton="0" quotePrefix="0" xfId="0">
      <alignment horizontal="center" vertical="center"/>
    </xf>
    <xf numFmtId="164" fontId="51" fillId="56" borderId="27" applyAlignment="1" pivotButton="0" quotePrefix="0" xfId="0">
      <alignment horizontal="center" vertical="center"/>
    </xf>
    <xf numFmtId="0" fontId="13" fillId="56" borderId="27" applyAlignment="1" pivotButton="0" quotePrefix="0" xfId="0">
      <alignment horizontal="center" vertical="center" wrapText="1"/>
    </xf>
    <xf numFmtId="0" fontId="1" fillId="81" borderId="27" pivotButton="0" quotePrefix="0" xfId="0"/>
    <xf numFmtId="0" fontId="71" fillId="81" borderId="27" pivotButton="0" quotePrefix="0" xfId="0"/>
    <xf numFmtId="164" fontId="1" fillId="81" borderId="27" pivotButton="0" quotePrefix="0" xfId="0"/>
    <xf numFmtId="3" fontId="1" fillId="81" borderId="27" pivotButton="0" quotePrefix="0" xfId="0"/>
    <xf numFmtId="3" fontId="51" fillId="81" borderId="27" applyAlignment="1" pivotButton="0" quotePrefix="0" xfId="0">
      <alignment horizontal="center" vertical="center"/>
    </xf>
    <xf numFmtId="0" fontId="51" fillId="81" borderId="27" applyAlignment="1" pivotButton="0" quotePrefix="0" xfId="0">
      <alignment horizontal="center" vertical="center"/>
    </xf>
    <xf numFmtId="164" fontId="51" fillId="81" borderId="27" applyAlignment="1" pivotButton="0" quotePrefix="0" xfId="0">
      <alignment horizontal="center" vertical="center"/>
    </xf>
    <xf numFmtId="0" fontId="13" fillId="81" borderId="27" applyAlignment="1" pivotButton="0" quotePrefix="0" xfId="0">
      <alignment horizontal="center" vertical="center" wrapText="1"/>
    </xf>
    <xf numFmtId="0" fontId="96" fillId="50" borderId="27" pivotButton="0" quotePrefix="0" xfId="0"/>
    <xf numFmtId="0" fontId="1" fillId="72" borderId="27" pivotButton="0" quotePrefix="0" xfId="0"/>
    <xf numFmtId="0" fontId="71" fillId="72" borderId="27" pivotButton="0" quotePrefix="0" xfId="0"/>
    <xf numFmtId="164" fontId="1" fillId="72" borderId="27" pivotButton="0" quotePrefix="0" xfId="0"/>
    <xf numFmtId="3" fontId="1" fillId="72" borderId="27" pivotButton="0" quotePrefix="0" xfId="0"/>
    <xf numFmtId="3" fontId="51" fillId="72" borderId="27" applyAlignment="1" pivotButton="0" quotePrefix="0" xfId="0">
      <alignment horizontal="center" vertical="center"/>
    </xf>
    <xf numFmtId="0" fontId="51" fillId="72" borderId="27" applyAlignment="1" pivotButton="0" quotePrefix="0" xfId="0">
      <alignment horizontal="center" vertical="center"/>
    </xf>
    <xf numFmtId="164" fontId="51" fillId="72" borderId="27" applyAlignment="1" pivotButton="0" quotePrefix="0" xfId="0">
      <alignment horizontal="center" vertical="center"/>
    </xf>
    <xf numFmtId="0" fontId="13" fillId="72" borderId="27" applyAlignment="1" pivotButton="0" quotePrefix="0" xfId="0">
      <alignment horizontal="center" vertical="center" wrapText="1"/>
    </xf>
    <xf numFmtId="0" fontId="1" fillId="64" borderId="27" pivotButton="0" quotePrefix="0" xfId="0"/>
    <xf numFmtId="0" fontId="71" fillId="64" borderId="27" pivotButton="0" quotePrefix="0" xfId="0"/>
    <xf numFmtId="164" fontId="1" fillId="64" borderId="27" pivotButton="0" quotePrefix="0" xfId="0"/>
    <xf numFmtId="3" fontId="1" fillId="64" borderId="27" pivotButton="0" quotePrefix="0" xfId="0"/>
    <xf numFmtId="3" fontId="51" fillId="64" borderId="27" applyAlignment="1" pivotButton="0" quotePrefix="0" xfId="0">
      <alignment horizontal="center" vertical="center"/>
    </xf>
    <xf numFmtId="0" fontId="51" fillId="64" borderId="27" applyAlignment="1" pivotButton="0" quotePrefix="0" xfId="0">
      <alignment horizontal="center" vertical="center"/>
    </xf>
    <xf numFmtId="164" fontId="51" fillId="64" borderId="27" applyAlignment="1" pivotButton="0" quotePrefix="0" xfId="0">
      <alignment horizontal="center" vertical="center"/>
    </xf>
    <xf numFmtId="0" fontId="13" fillId="64" borderId="27" applyAlignment="1" pivotButton="0" quotePrefix="0" xfId="0">
      <alignment horizontal="center" vertical="center" wrapText="1"/>
    </xf>
    <xf numFmtId="0" fontId="1" fillId="57" borderId="27" pivotButton="0" quotePrefix="0" xfId="0"/>
    <xf numFmtId="0" fontId="96" fillId="57" borderId="27" pivotButton="0" quotePrefix="0" xfId="0"/>
    <xf numFmtId="164" fontId="1" fillId="57" borderId="27" pivotButton="0" quotePrefix="0" xfId="0"/>
    <xf numFmtId="3" fontId="1" fillId="57" borderId="27" pivotButton="0" quotePrefix="0" xfId="0"/>
    <xf numFmtId="3" fontId="51" fillId="57" borderId="27" applyAlignment="1" pivotButton="0" quotePrefix="0" xfId="0">
      <alignment horizontal="center" vertical="center"/>
    </xf>
    <xf numFmtId="0" fontId="51" fillId="57" borderId="27" applyAlignment="1" pivotButton="0" quotePrefix="0" xfId="0">
      <alignment horizontal="center" vertical="center"/>
    </xf>
    <xf numFmtId="164" fontId="51" fillId="57" borderId="27" applyAlignment="1" pivotButton="0" quotePrefix="0" xfId="0">
      <alignment horizontal="center" vertical="center"/>
    </xf>
    <xf numFmtId="0" fontId="13" fillId="57" borderId="27" applyAlignment="1" pivotButton="0" quotePrefix="0" xfId="0">
      <alignment horizontal="center" vertical="center" wrapText="1"/>
    </xf>
    <xf numFmtId="0" fontId="1" fillId="82" borderId="27" pivotButton="0" quotePrefix="0" xfId="0"/>
    <xf numFmtId="0" fontId="71" fillId="82" borderId="27" pivotButton="0" quotePrefix="0" xfId="0"/>
    <xf numFmtId="164" fontId="1" fillId="82" borderId="27" pivotButton="0" quotePrefix="0" xfId="0"/>
    <xf numFmtId="3" fontId="1" fillId="82" borderId="27" pivotButton="0" quotePrefix="0" xfId="0"/>
    <xf numFmtId="3" fontId="51" fillId="82" borderId="27" applyAlignment="1" pivotButton="0" quotePrefix="0" xfId="0">
      <alignment horizontal="center" vertical="center"/>
    </xf>
    <xf numFmtId="0" fontId="51" fillId="82" borderId="27" applyAlignment="1" pivotButton="0" quotePrefix="0" xfId="0">
      <alignment horizontal="center" vertical="center"/>
    </xf>
    <xf numFmtId="164" fontId="51" fillId="82" borderId="27" applyAlignment="1" pivotButton="0" quotePrefix="0" xfId="0">
      <alignment horizontal="center" vertical="center"/>
    </xf>
    <xf numFmtId="0" fontId="13" fillId="82" borderId="27" applyAlignment="1" pivotButton="0" quotePrefix="0" xfId="0">
      <alignment horizontal="center" vertical="center" wrapText="1"/>
    </xf>
    <xf numFmtId="0" fontId="14" fillId="50" borderId="27" applyAlignment="1" pivotButton="0" quotePrefix="0" xfId="0">
      <alignment horizontal="center" vertical="center" wrapText="1"/>
    </xf>
    <xf numFmtId="0" fontId="71" fillId="57" borderId="27" pivotButton="0" quotePrefix="0" xfId="0"/>
    <xf numFmtId="0" fontId="71" fillId="56" borderId="27" pivotButton="0" quotePrefix="0" xfId="0"/>
    <xf numFmtId="0" fontId="96" fillId="81" borderId="27" pivotButton="0" quotePrefix="0" xfId="0"/>
    <xf numFmtId="0" fontId="96" fillId="64" borderId="27" pivotButton="0" quotePrefix="0" xfId="0"/>
    <xf numFmtId="0" fontId="12" fillId="57" borderId="27" applyAlignment="1" pivotButton="0" quotePrefix="0" xfId="0">
      <alignment horizontal="center" vertical="center" wrapText="1"/>
    </xf>
    <xf numFmtId="0" fontId="12" fillId="81" borderId="27" applyAlignment="1" pivotButton="0" quotePrefix="0" xfId="0">
      <alignment horizontal="center" vertical="center" wrapText="1"/>
    </xf>
    <xf numFmtId="0" fontId="12" fillId="56" borderId="27" applyAlignment="1" pivotButton="0" quotePrefix="0" xfId="0">
      <alignment horizontal="center" vertical="center" wrapText="1"/>
    </xf>
    <xf numFmtId="0" fontId="1" fillId="83" borderId="27" pivotButton="0" quotePrefix="0" xfId="0"/>
    <xf numFmtId="0" fontId="96" fillId="83" borderId="27" pivotButton="0" quotePrefix="0" xfId="0"/>
    <xf numFmtId="164" fontId="1" fillId="83" borderId="27" pivotButton="0" quotePrefix="0" xfId="0"/>
    <xf numFmtId="3" fontId="1" fillId="83" borderId="27" pivotButton="0" quotePrefix="0" xfId="0"/>
    <xf numFmtId="3" fontId="51" fillId="83" borderId="27" applyAlignment="1" pivotButton="0" quotePrefix="0" xfId="0">
      <alignment horizontal="center" vertical="center"/>
    </xf>
    <xf numFmtId="0" fontId="51" fillId="83" borderId="27" applyAlignment="1" pivotButton="0" quotePrefix="0" xfId="0">
      <alignment horizontal="center" vertical="center"/>
    </xf>
    <xf numFmtId="164" fontId="51" fillId="83" borderId="27" applyAlignment="1" pivotButton="0" quotePrefix="0" xfId="0">
      <alignment horizontal="center" vertical="center"/>
    </xf>
    <xf numFmtId="0" fontId="13" fillId="83" borderId="27" applyAlignment="1" pivotButton="0" quotePrefix="0" xfId="0">
      <alignment horizontal="center" vertical="center" wrapText="1"/>
    </xf>
    <xf numFmtId="0" fontId="96" fillId="82" borderId="27" pivotButton="0" quotePrefix="0" xfId="0"/>
    <xf numFmtId="0" fontId="14" fillId="51" borderId="27" applyAlignment="1" pivotButton="0" quotePrefix="0" xfId="0">
      <alignment horizontal="center" vertical="center" wrapText="1"/>
    </xf>
    <xf numFmtId="0" fontId="12" fillId="64" borderId="27" applyAlignment="1" pivotButton="0" quotePrefix="0" xfId="0">
      <alignment horizontal="center" vertical="center" wrapText="1"/>
    </xf>
    <xf numFmtId="0" fontId="12" fillId="82" borderId="27" applyAlignment="1" pivotButton="0" quotePrefix="0" xfId="0">
      <alignment horizontal="center" vertical="center" wrapText="1"/>
    </xf>
    <xf numFmtId="0" fontId="1" fillId="84" borderId="27" pivotButton="0" quotePrefix="0" xfId="0"/>
    <xf numFmtId="0" fontId="71" fillId="84" borderId="27" pivotButton="0" quotePrefix="0" xfId="0"/>
    <xf numFmtId="164" fontId="1" fillId="84" borderId="27" pivotButton="0" quotePrefix="0" xfId="0"/>
    <xf numFmtId="3" fontId="1" fillId="84" borderId="27" pivotButton="0" quotePrefix="0" xfId="0"/>
    <xf numFmtId="3" fontId="51" fillId="84" borderId="27" applyAlignment="1" pivotButton="0" quotePrefix="0" xfId="0">
      <alignment horizontal="center" vertical="center"/>
    </xf>
    <xf numFmtId="0" fontId="51" fillId="84" borderId="27" applyAlignment="1" pivotButton="0" quotePrefix="0" xfId="0">
      <alignment horizontal="center" vertical="center"/>
    </xf>
    <xf numFmtId="164" fontId="51" fillId="84" borderId="27" applyAlignment="1" pivotButton="0" quotePrefix="0" xfId="0">
      <alignment horizontal="center" vertical="center"/>
    </xf>
    <xf numFmtId="0" fontId="13" fillId="84" borderId="27" applyAlignment="1" pivotButton="0" quotePrefix="0" xfId="0">
      <alignment horizontal="center" vertical="center" wrapText="1"/>
    </xf>
    <xf numFmtId="0" fontId="15" fillId="51" borderId="27" applyAlignment="1" pivotButton="0" quotePrefix="0" xfId="0">
      <alignment horizontal="center" vertical="center" wrapText="1"/>
    </xf>
    <xf numFmtId="0" fontId="71" fillId="83" borderId="27" pivotButton="0" quotePrefix="0" xfId="0"/>
    <xf numFmtId="0" fontId="15" fillId="81" borderId="27" applyAlignment="1" pivotButton="0" quotePrefix="0" xfId="0">
      <alignment horizontal="center" vertical="center" wrapText="1"/>
    </xf>
    <xf numFmtId="0" fontId="15" fillId="50" borderId="27" applyAlignment="1" pivotButton="0" quotePrefix="0" xfId="0">
      <alignment horizontal="center" vertical="center" wrapText="1"/>
    </xf>
    <xf numFmtId="0" fontId="15" fillId="56" borderId="27" applyAlignment="1" pivotButton="0" quotePrefix="0" xfId="0">
      <alignment horizontal="center" vertical="center" wrapText="1"/>
    </xf>
    <xf numFmtId="0" fontId="96" fillId="77" borderId="27" pivotButton="0" quotePrefix="0" xfId="0"/>
    <xf numFmtId="0" fontId="14" fillId="77" borderId="27" applyAlignment="1" pivotButton="0" quotePrefix="0" xfId="0">
      <alignment horizontal="center" vertical="center" wrapText="1"/>
    </xf>
    <xf numFmtId="0" fontId="1" fillId="85" borderId="27" pivotButton="0" quotePrefix="0" xfId="0"/>
    <xf numFmtId="0" fontId="96" fillId="85" borderId="27" pivotButton="0" quotePrefix="0" xfId="0"/>
    <xf numFmtId="164" fontId="1" fillId="85" borderId="27" pivotButton="0" quotePrefix="0" xfId="0"/>
    <xf numFmtId="3" fontId="1" fillId="85" borderId="27" pivotButton="0" quotePrefix="0" xfId="0"/>
    <xf numFmtId="3" fontId="51" fillId="85" borderId="27" applyAlignment="1" pivotButton="0" quotePrefix="0" xfId="0">
      <alignment horizontal="center" vertical="center"/>
    </xf>
    <xf numFmtId="0" fontId="51" fillId="85" borderId="27" applyAlignment="1" pivotButton="0" quotePrefix="0" xfId="0">
      <alignment horizontal="center" vertical="center"/>
    </xf>
    <xf numFmtId="164" fontId="51" fillId="85" borderId="27" applyAlignment="1" pivotButton="0" quotePrefix="0" xfId="0">
      <alignment horizontal="center" vertical="center"/>
    </xf>
    <xf numFmtId="0" fontId="14" fillId="85" borderId="27" applyAlignment="1" pivotButton="0" quotePrefix="0" xfId="0">
      <alignment horizontal="center" vertical="center" wrapText="1"/>
    </xf>
    <xf numFmtId="0" fontId="14" fillId="64" borderId="27" applyAlignment="1" pivotButton="0" quotePrefix="0" xfId="0">
      <alignment horizontal="center" vertical="center" wrapText="1"/>
    </xf>
    <xf numFmtId="0" fontId="14" fillId="81" borderId="27" applyAlignment="1" pivotButton="0" quotePrefix="0" xfId="0">
      <alignment horizontal="center" vertical="center" wrapText="1"/>
    </xf>
    <xf numFmtId="0" fontId="14" fillId="57" borderId="27" applyAlignment="1" pivotButton="0" quotePrefix="0" xfId="0">
      <alignment horizontal="center" vertical="center" wrapText="1"/>
    </xf>
    <xf numFmtId="0" fontId="14" fillId="83" borderId="27" applyAlignment="1" pivotButton="0" quotePrefix="0" xfId="0">
      <alignment horizontal="center" vertical="center" wrapText="1"/>
    </xf>
    <xf numFmtId="0" fontId="14" fillId="56" borderId="27" applyAlignment="1" pivotButton="0" quotePrefix="0" xfId="0">
      <alignment horizontal="center" vertical="center" wrapText="1"/>
    </xf>
    <xf numFmtId="0" fontId="15" fillId="64" borderId="27" applyAlignment="1" pivotButton="0" quotePrefix="0" xfId="0">
      <alignment horizontal="center" vertical="center" wrapText="1"/>
    </xf>
    <xf numFmtId="0" fontId="14" fillId="84" borderId="27" applyAlignment="1" pivotButton="0" quotePrefix="0" xfId="0">
      <alignment horizontal="center" vertical="center" wrapText="1"/>
    </xf>
    <xf numFmtId="0" fontId="71" fillId="77" borderId="27" pivotButton="0" quotePrefix="0" xfId="0"/>
    <xf numFmtId="0" fontId="71" fillId="85" borderId="27" pivotButton="0" quotePrefix="0" xfId="0"/>
    <xf numFmtId="0" fontId="48" fillId="51" borderId="27" pivotButton="0" quotePrefix="0" xfId="0"/>
    <xf numFmtId="0" fontId="49" fillId="51" borderId="27" applyAlignment="1" pivotButton="0" quotePrefix="0" xfId="0">
      <alignment horizontal="center" vertical="center" wrapText="1"/>
    </xf>
    <xf numFmtId="0" fontId="48" fillId="50" borderId="27" pivotButton="0" quotePrefix="0" xfId="0"/>
    <xf numFmtId="0" fontId="49" fillId="50" borderId="27" applyAlignment="1" pivotButton="0" quotePrefix="0" xfId="0">
      <alignment horizontal="center" vertical="center" wrapText="1"/>
    </xf>
    <xf numFmtId="0" fontId="0" fillId="48" borderId="0" pivotButton="0" quotePrefix="0" xfId="0"/>
    <xf numFmtId="0" fontId="98" fillId="48" borderId="0" applyAlignment="1" pivotButton="0" quotePrefix="0" xfId="0">
      <alignment horizontal="left" vertical="center"/>
    </xf>
    <xf numFmtId="0" fontId="0" fillId="74" borderId="0" pivotButton="0" quotePrefix="0" xfId="0"/>
    <xf numFmtId="0" fontId="83" fillId="74" borderId="0" applyAlignment="1" pivotButton="0" quotePrefix="0" xfId="0">
      <alignment horizontal="left" vertical="center"/>
    </xf>
    <xf numFmtId="0" fontId="65" fillId="74" borderId="0" applyAlignment="1" pivotButton="0" quotePrefix="0" xfId="0">
      <alignment horizontal="left" vertical="center"/>
    </xf>
    <xf numFmtId="0" fontId="65" fillId="74" borderId="27" applyAlignment="1" pivotButton="0" quotePrefix="0" xfId="0">
      <alignment horizontal="center" vertical="center"/>
    </xf>
    <xf numFmtId="0" fontId="71" fillId="50" borderId="27" applyAlignment="1" pivotButton="0" quotePrefix="0" xfId="0">
      <alignment horizontal="left" vertical="center"/>
    </xf>
    <xf numFmtId="0" fontId="70" fillId="50" borderId="27" applyAlignment="1" pivotButton="0" quotePrefix="0" xfId="0">
      <alignment horizontal="right" vertical="center"/>
    </xf>
    <xf numFmtId="0" fontId="71" fillId="63" borderId="27" applyAlignment="1" pivotButton="0" quotePrefix="0" xfId="0">
      <alignment horizontal="left" vertical="center"/>
    </xf>
    <xf numFmtId="0" fontId="70" fillId="63" borderId="27" applyAlignment="1" pivotButton="0" quotePrefix="0" xfId="0">
      <alignment horizontal="right" vertical="center"/>
    </xf>
    <xf numFmtId="0" fontId="71" fillId="60" borderId="27" applyAlignment="1" pivotButton="0" quotePrefix="0" xfId="0">
      <alignment horizontal="left" vertical="center"/>
    </xf>
    <xf numFmtId="0" fontId="70" fillId="60" borderId="27" applyAlignment="1" pivotButton="0" quotePrefix="0" xfId="0">
      <alignment horizontal="right" vertical="center"/>
    </xf>
    <xf numFmtId="0" fontId="71" fillId="66" borderId="27" applyAlignment="1" pivotButton="0" quotePrefix="0" xfId="0">
      <alignment horizontal="left" vertical="center"/>
    </xf>
    <xf numFmtId="0" fontId="70" fillId="66" borderId="27" applyAlignment="1" pivotButton="0" quotePrefix="0" xfId="0">
      <alignment horizontal="right" vertical="center"/>
    </xf>
    <xf numFmtId="0" fontId="65" fillId="48" borderId="38" applyAlignment="1" pivotButton="0" quotePrefix="0" xfId="0">
      <alignment horizontal="left" vertical="center"/>
    </xf>
    <xf numFmtId="0" fontId="65" fillId="48" borderId="38" applyAlignment="1" pivotButton="0" quotePrefix="0" xfId="0">
      <alignment horizontal="right" vertical="center"/>
    </xf>
    <xf numFmtId="0" fontId="68" fillId="72" borderId="27" applyAlignment="1" pivotButton="0" quotePrefix="0" xfId="0">
      <alignment horizontal="left" vertical="center"/>
    </xf>
    <xf numFmtId="0" fontId="104" fillId="58" borderId="27" applyAlignment="1" pivotButton="0" quotePrefix="0" xfId="0">
      <alignment horizontal="center" vertical="center"/>
    </xf>
    <xf numFmtId="0" fontId="105" fillId="59" borderId="27" applyAlignment="1" pivotButton="0" quotePrefix="0" xfId="0">
      <alignment horizontal="center" vertical="center"/>
    </xf>
    <xf numFmtId="170" fontId="104" fillId="58" borderId="27" applyAlignment="1" pivotButton="0" quotePrefix="0" xfId="0">
      <alignment horizontal="center" vertical="center"/>
    </xf>
    <xf numFmtId="170" fontId="105" fillId="59" borderId="27" applyAlignment="1" pivotButton="0" quotePrefix="0" xfId="0">
      <alignment horizontal="center" vertical="center"/>
    </xf>
    <xf numFmtId="168" fontId="104" fillId="58" borderId="27" applyAlignment="1" pivotButton="0" quotePrefix="0" xfId="0">
      <alignment horizontal="center" vertical="center"/>
    </xf>
    <xf numFmtId="168" fontId="105" fillId="59" borderId="27" applyAlignment="1" pivotButton="0" quotePrefix="0" xfId="0">
      <alignment horizontal="center" vertical="center"/>
    </xf>
    <xf numFmtId="0" fontId="82" fillId="48" borderId="0" applyAlignment="1" pivotButton="0" quotePrefix="0" xfId="0">
      <alignment horizontal="left" vertical="center"/>
    </xf>
    <xf numFmtId="0" fontId="0" fillId="48" borderId="0" applyAlignment="1" pivotButton="0" quotePrefix="0" xfId="0">
      <alignment horizontal="left" vertical="center"/>
    </xf>
    <xf numFmtId="0" fontId="0" fillId="74" borderId="0" applyAlignment="1" pivotButton="0" quotePrefix="0" xfId="0">
      <alignment horizontal="left" vertical="center"/>
    </xf>
    <xf numFmtId="0" fontId="65" fillId="74" borderId="27" applyAlignment="1" pivotButton="0" quotePrefix="0" xfId="0">
      <alignment horizontal="left" vertical="center"/>
    </xf>
    <xf numFmtId="0" fontId="0" fillId="74" borderId="27" applyAlignment="1" pivotButton="0" quotePrefix="0" xfId="0">
      <alignment horizontal="left" vertical="center"/>
    </xf>
    <xf numFmtId="0" fontId="68" fillId="86" borderId="27" applyAlignment="1" pivotButton="0" quotePrefix="0" xfId="0">
      <alignment horizontal="left" vertical="center" wrapText="1"/>
    </xf>
    <xf numFmtId="3" fontId="71" fillId="86" borderId="27" applyAlignment="1" pivotButton="0" quotePrefix="0" xfId="0">
      <alignment horizontal="right" vertical="center"/>
    </xf>
    <xf numFmtId="0" fontId="71" fillId="86" borderId="27" applyAlignment="1" pivotButton="0" quotePrefix="0" xfId="0">
      <alignment horizontal="right" vertical="center"/>
    </xf>
    <xf numFmtId="0" fontId="71" fillId="86" borderId="27" applyAlignment="1" pivotButton="0" quotePrefix="0" xfId="0">
      <alignment horizontal="left" vertical="center" wrapText="1"/>
    </xf>
    <xf numFmtId="0" fontId="81" fillId="86" borderId="27" applyAlignment="1" pivotButton="0" quotePrefix="0" xfId="0">
      <alignment horizontal="center" vertical="center"/>
    </xf>
    <xf numFmtId="0" fontId="68" fillId="92" borderId="27" applyAlignment="1" pivotButton="0" quotePrefix="0" xfId="0">
      <alignment horizontal="left" vertical="center" wrapText="1"/>
    </xf>
    <xf numFmtId="3" fontId="71" fillId="92" borderId="27" applyAlignment="1" pivotButton="0" quotePrefix="0" xfId="0">
      <alignment horizontal="right" vertical="center"/>
    </xf>
    <xf numFmtId="0" fontId="71" fillId="92" borderId="27" applyAlignment="1" pivotButton="0" quotePrefix="0" xfId="0">
      <alignment horizontal="right" vertical="center"/>
    </xf>
    <xf numFmtId="0" fontId="71" fillId="92" borderId="27" applyAlignment="1" pivotButton="0" quotePrefix="0" xfId="0">
      <alignment horizontal="left" vertical="center" wrapText="1"/>
    </xf>
    <xf numFmtId="0" fontId="81" fillId="92" borderId="27" applyAlignment="1" pivotButton="0" quotePrefix="0" xfId="0">
      <alignment horizontal="center" vertical="center"/>
    </xf>
    <xf numFmtId="3" fontId="71" fillId="72" borderId="27" applyAlignment="1" pivotButton="0" quotePrefix="0" xfId="0">
      <alignment horizontal="right" vertical="center"/>
    </xf>
    <xf numFmtId="0" fontId="71" fillId="72" borderId="27" applyAlignment="1" pivotButton="0" quotePrefix="0" xfId="0">
      <alignment horizontal="right" vertical="center"/>
    </xf>
    <xf numFmtId="0" fontId="81" fillId="72" borderId="27" applyAlignment="1" pivotButton="0" quotePrefix="0" xfId="0">
      <alignment horizontal="center" vertical="center"/>
    </xf>
    <xf numFmtId="0" fontId="68" fillId="82" borderId="27" applyAlignment="1" pivotButton="0" quotePrefix="0" xfId="0">
      <alignment horizontal="left" vertical="center" wrapText="1"/>
    </xf>
    <xf numFmtId="3" fontId="71" fillId="82" borderId="27" applyAlignment="1" pivotButton="0" quotePrefix="0" xfId="0">
      <alignment horizontal="right" vertical="center"/>
    </xf>
    <xf numFmtId="0" fontId="71" fillId="82" borderId="27" applyAlignment="1" pivotButton="0" quotePrefix="0" xfId="0">
      <alignment horizontal="right" vertical="center"/>
    </xf>
    <xf numFmtId="0" fontId="71" fillId="82" borderId="27" applyAlignment="1" pivotButton="0" quotePrefix="0" xfId="0">
      <alignment horizontal="left" vertical="center" wrapText="1"/>
    </xf>
    <xf numFmtId="0" fontId="81" fillId="82" borderId="27" applyAlignment="1" pivotButton="0" quotePrefix="0" xfId="0">
      <alignment horizontal="center" vertical="center"/>
    </xf>
    <xf numFmtId="0" fontId="68" fillId="90" borderId="27" applyAlignment="1" pivotButton="0" quotePrefix="0" xfId="0">
      <alignment horizontal="left" vertical="center" wrapText="1"/>
    </xf>
    <xf numFmtId="3" fontId="71" fillId="90" borderId="27" applyAlignment="1" pivotButton="0" quotePrefix="0" xfId="0">
      <alignment horizontal="right" vertical="center"/>
    </xf>
    <xf numFmtId="0" fontId="71" fillId="90" borderId="27" applyAlignment="1" pivotButton="0" quotePrefix="0" xfId="0">
      <alignment horizontal="right" vertical="center"/>
    </xf>
    <xf numFmtId="0" fontId="71" fillId="90" borderId="27" applyAlignment="1" pivotButton="0" quotePrefix="0" xfId="0">
      <alignment horizontal="left" vertical="center" wrapText="1"/>
    </xf>
    <xf numFmtId="0" fontId="81" fillId="90" borderId="27" applyAlignment="1" pivotButton="0" quotePrefix="0" xfId="0">
      <alignment horizontal="center" vertical="center"/>
    </xf>
    <xf numFmtId="0" fontId="65" fillId="48" borderId="38" applyAlignment="1" pivotButton="0" quotePrefix="0" xfId="0">
      <alignment horizontal="left" vertical="center" wrapText="1"/>
    </xf>
    <xf numFmtId="3" fontId="65" fillId="48" borderId="38" applyAlignment="1" pivotButton="0" quotePrefix="0" xfId="0">
      <alignment horizontal="right" vertical="center"/>
    </xf>
    <xf numFmtId="0" fontId="65" fillId="48" borderId="38" applyAlignment="1" pivotButton="0" quotePrefix="0" xfId="0">
      <alignment horizontal="center" vertical="center"/>
    </xf>
    <xf numFmtId="0" fontId="103" fillId="93" borderId="27" applyAlignment="1" pivotButton="0" quotePrefix="0" xfId="0">
      <alignment horizontal="left" vertical="center" wrapText="1"/>
    </xf>
    <xf numFmtId="0" fontId="0" fillId="93" borderId="27" applyAlignment="1" pivotButton="0" quotePrefix="0" xfId="0">
      <alignment horizontal="left" vertical="center" wrapText="1"/>
    </xf>
    <xf numFmtId="0" fontId="71" fillId="48" borderId="33" pivotButton="0" quotePrefix="0" xfId="0"/>
    <xf numFmtId="0" fontId="102" fillId="48" borderId="33" applyAlignment="1" pivotButton="0" quotePrefix="0" xfId="0">
      <alignment horizontal="left" vertical="center"/>
    </xf>
    <xf numFmtId="0" fontId="102" fillId="48" borderId="39" applyAlignment="1" pivotButton="0" quotePrefix="0" xfId="0">
      <alignment horizontal="left" vertical="center"/>
    </xf>
    <xf numFmtId="0" fontId="106" fillId="48" borderId="39" applyAlignment="1" pivotButton="0" quotePrefix="0" xfId="0">
      <alignment horizontal="left" vertical="center"/>
    </xf>
    <xf numFmtId="0" fontId="83" fillId="74" borderId="39" applyAlignment="1" pivotButton="0" quotePrefix="0" xfId="0">
      <alignment horizontal="left" vertical="center"/>
    </xf>
    <xf numFmtId="0" fontId="106" fillId="74" borderId="39" applyAlignment="1" pivotButton="0" quotePrefix="0" xfId="0">
      <alignment horizontal="left" vertical="center"/>
    </xf>
    <xf numFmtId="0" fontId="65" fillId="74" borderId="39" applyAlignment="1" pivotButton="0" quotePrefix="0" xfId="0">
      <alignment horizontal="left" vertical="center"/>
    </xf>
    <xf numFmtId="0" fontId="65" fillId="48" borderId="39" applyAlignment="1" pivotButton="0" quotePrefix="0" xfId="0">
      <alignment horizontal="left" vertical="center" wrapText="1"/>
    </xf>
    <xf numFmtId="0" fontId="65" fillId="48" borderId="39" applyAlignment="1" pivotButton="0" quotePrefix="0" xfId="0">
      <alignment horizontal="right" vertical="center" wrapText="1"/>
    </xf>
    <xf numFmtId="0" fontId="65" fillId="48" borderId="39" applyAlignment="1" pivotButton="0" quotePrefix="0" xfId="0">
      <alignment horizontal="center" vertical="center" wrapText="1"/>
    </xf>
    <xf numFmtId="0" fontId="68" fillId="86" borderId="39" applyAlignment="1" pivotButton="0" quotePrefix="0" xfId="0">
      <alignment horizontal="left" vertical="center" wrapText="1"/>
    </xf>
    <xf numFmtId="0" fontId="71" fillId="86" borderId="39" applyAlignment="1" pivotButton="0" quotePrefix="0" xfId="0">
      <alignment horizontal="right" vertical="center"/>
    </xf>
    <xf numFmtId="0" fontId="71" fillId="86" borderId="39" applyAlignment="1" pivotButton="0" quotePrefix="0" xfId="0">
      <alignment horizontal="left" vertical="center" wrapText="1"/>
    </xf>
    <xf numFmtId="0" fontId="81" fillId="86" borderId="39" applyAlignment="1" pivotButton="0" quotePrefix="0" xfId="0">
      <alignment horizontal="center" vertical="center"/>
    </xf>
    <xf numFmtId="0" fontId="68" fillId="92" borderId="39" applyAlignment="1" pivotButton="0" quotePrefix="0" xfId="0">
      <alignment horizontal="left" vertical="center" wrapText="1"/>
    </xf>
    <xf numFmtId="0" fontId="71" fillId="92" borderId="39" applyAlignment="1" pivotButton="0" quotePrefix="0" xfId="0">
      <alignment horizontal="right" vertical="center"/>
    </xf>
    <xf numFmtId="0" fontId="71" fillId="92" borderId="39" applyAlignment="1" pivotButton="0" quotePrefix="0" xfId="0">
      <alignment horizontal="left" vertical="center" wrapText="1"/>
    </xf>
    <xf numFmtId="0" fontId="81" fillId="92" borderId="39" applyAlignment="1" pivotButton="0" quotePrefix="0" xfId="0">
      <alignment horizontal="center" vertical="center"/>
    </xf>
    <xf numFmtId="0" fontId="68" fillId="72" borderId="39" applyAlignment="1" pivotButton="0" quotePrefix="0" xfId="0">
      <alignment horizontal="left" vertical="center" wrapText="1"/>
    </xf>
    <xf numFmtId="0" fontId="71" fillId="72" borderId="39" applyAlignment="1" pivotButton="0" quotePrefix="0" xfId="0">
      <alignment horizontal="right" vertical="center"/>
    </xf>
    <xf numFmtId="0" fontId="71" fillId="72" borderId="39" applyAlignment="1" pivotButton="0" quotePrefix="0" xfId="0">
      <alignment horizontal="left" vertical="center" wrapText="1"/>
    </xf>
    <xf numFmtId="0" fontId="81" fillId="72" borderId="39" applyAlignment="1" pivotButton="0" quotePrefix="0" xfId="0">
      <alignment horizontal="center" vertical="center"/>
    </xf>
    <xf numFmtId="0" fontId="68" fillId="82" borderId="39" applyAlignment="1" pivotButton="0" quotePrefix="0" xfId="0">
      <alignment horizontal="left" vertical="center" wrapText="1"/>
    </xf>
    <xf numFmtId="0" fontId="71" fillId="82" borderId="39" applyAlignment="1" pivotButton="0" quotePrefix="0" xfId="0">
      <alignment horizontal="right" vertical="center"/>
    </xf>
    <xf numFmtId="0" fontId="71" fillId="82" borderId="39" applyAlignment="1" pivotButton="0" quotePrefix="0" xfId="0">
      <alignment horizontal="left" vertical="center" wrapText="1"/>
    </xf>
    <xf numFmtId="0" fontId="81" fillId="82" borderId="39" applyAlignment="1" pivotButton="0" quotePrefix="0" xfId="0">
      <alignment horizontal="center" vertical="center"/>
    </xf>
    <xf numFmtId="0" fontId="68" fillId="90" borderId="39" applyAlignment="1" pivotButton="0" quotePrefix="0" xfId="0">
      <alignment horizontal="left" vertical="center" wrapText="1"/>
    </xf>
    <xf numFmtId="0" fontId="71" fillId="90" borderId="39" applyAlignment="1" pivotButton="0" quotePrefix="0" xfId="0">
      <alignment horizontal="right" vertical="center"/>
    </xf>
    <xf numFmtId="0" fontId="71" fillId="90" borderId="39" applyAlignment="1" pivotButton="0" quotePrefix="0" xfId="0">
      <alignment horizontal="left" vertical="center" wrapText="1"/>
    </xf>
    <xf numFmtId="0" fontId="81" fillId="90" borderId="39" applyAlignment="1" pivotButton="0" quotePrefix="0" xfId="0">
      <alignment horizontal="center" vertical="center"/>
    </xf>
    <xf numFmtId="0" fontId="65" fillId="48" borderId="39" applyAlignment="1" pivotButton="0" quotePrefix="0" xfId="0">
      <alignment horizontal="right" vertical="center"/>
    </xf>
    <xf numFmtId="0" fontId="65" fillId="48" borderId="39" applyAlignment="1" pivotButton="0" quotePrefix="0" xfId="0">
      <alignment horizontal="center" vertical="center"/>
    </xf>
    <xf numFmtId="0" fontId="103" fillId="93" borderId="39" applyAlignment="1" pivotButton="0" quotePrefix="0" xfId="0">
      <alignment horizontal="left" vertical="center" wrapText="1"/>
    </xf>
    <xf numFmtId="0" fontId="106" fillId="93" borderId="39" applyAlignment="1" pivotButton="0" quotePrefix="0" xfId="0">
      <alignment horizontal="left" vertical="center" wrapText="1"/>
    </xf>
    <xf numFmtId="0" fontId="82" fillId="48" borderId="33" applyAlignment="1" pivotButton="0" quotePrefix="0" xfId="0">
      <alignment horizontal="left" vertical="center"/>
    </xf>
    <xf numFmtId="0" fontId="86" fillId="75" borderId="33" applyAlignment="1" pivotButton="0" quotePrefix="0" xfId="0">
      <alignment horizontal="left" vertical="center"/>
    </xf>
    <xf numFmtId="0" fontId="86" fillId="75" borderId="33" pivotButton="0" quotePrefix="0" xfId="0"/>
    <xf numFmtId="0" fontId="68" fillId="50" borderId="22" applyAlignment="1" pivotButton="0" quotePrefix="0" xfId="0">
      <alignment horizontal="left" vertical="center"/>
    </xf>
    <xf numFmtId="0" fontId="71" fillId="50" borderId="22" applyAlignment="1" pivotButton="0" quotePrefix="0" xfId="0">
      <alignment horizontal="center" vertical="center"/>
    </xf>
    <xf numFmtId="170" fontId="71" fillId="50" borderId="22" applyAlignment="1" pivotButton="0" quotePrefix="0" xfId="0">
      <alignment horizontal="center" vertical="center"/>
    </xf>
    <xf numFmtId="0" fontId="107" fillId="50" borderId="22" applyAlignment="1" pivotButton="0" quotePrefix="0" xfId="0">
      <alignment horizontal="left" vertical="top" wrapText="1"/>
    </xf>
    <xf numFmtId="0" fontId="108" fillId="50" borderId="22" applyAlignment="1" pivotButton="0" quotePrefix="0" xfId="0">
      <alignment horizontal="left" vertical="top" wrapText="1"/>
    </xf>
    <xf numFmtId="0" fontId="109" fillId="50" borderId="22" applyAlignment="1" pivotButton="0" quotePrefix="0" xfId="0">
      <alignment horizontal="left" vertical="top" wrapText="1"/>
    </xf>
    <xf numFmtId="0" fontId="71" fillId="50" borderId="22" applyAlignment="1" pivotButton="0" quotePrefix="0" xfId="0">
      <alignment horizontal="left" vertical="top" wrapText="1"/>
    </xf>
    <xf numFmtId="0" fontId="69" fillId="50" borderId="22" applyAlignment="1" pivotButton="0" quotePrefix="0" xfId="0">
      <alignment horizontal="left" vertical="center"/>
    </xf>
    <xf numFmtId="0" fontId="68" fillId="51" borderId="22" applyAlignment="1" pivotButton="0" quotePrefix="0" xfId="0">
      <alignment horizontal="left" vertical="center"/>
    </xf>
    <xf numFmtId="0" fontId="71" fillId="51" borderId="22" applyAlignment="1" pivotButton="0" quotePrefix="0" xfId="0">
      <alignment horizontal="center" vertical="center"/>
    </xf>
    <xf numFmtId="170" fontId="71" fillId="51" borderId="22" applyAlignment="1" pivotButton="0" quotePrefix="0" xfId="0">
      <alignment horizontal="center" vertical="center"/>
    </xf>
    <xf numFmtId="0" fontId="107" fillId="51" borderId="22" applyAlignment="1" pivotButton="0" quotePrefix="0" xfId="0">
      <alignment horizontal="left" vertical="top" wrapText="1"/>
    </xf>
    <xf numFmtId="0" fontId="108" fillId="51" borderId="22" applyAlignment="1" pivotButton="0" quotePrefix="0" xfId="0">
      <alignment horizontal="left" vertical="top" wrapText="1"/>
    </xf>
    <xf numFmtId="0" fontId="109" fillId="51" borderId="22" applyAlignment="1" pivotButton="0" quotePrefix="0" xfId="0">
      <alignment horizontal="left" vertical="top" wrapText="1"/>
    </xf>
    <xf numFmtId="0" fontId="71" fillId="51" borderId="22" applyAlignment="1" pivotButton="0" quotePrefix="0" xfId="0">
      <alignment horizontal="left" vertical="top" wrapText="1"/>
    </xf>
    <xf numFmtId="0" fontId="69" fillId="51" borderId="22" applyAlignment="1" pivotButton="0" quotePrefix="0" xfId="0">
      <alignment horizontal="left" vertical="center"/>
    </xf>
    <xf numFmtId="0" fontId="68" fillId="81" borderId="22" applyAlignment="1" pivotButton="0" quotePrefix="0" xfId="0">
      <alignment horizontal="left" vertical="center"/>
    </xf>
    <xf numFmtId="0" fontId="71" fillId="81" borderId="22" applyAlignment="1" pivotButton="0" quotePrefix="0" xfId="0">
      <alignment horizontal="center" vertical="center"/>
    </xf>
    <xf numFmtId="170" fontId="71" fillId="81" borderId="22" applyAlignment="1" pivotButton="0" quotePrefix="0" xfId="0">
      <alignment horizontal="center" vertical="center"/>
    </xf>
    <xf numFmtId="0" fontId="107" fillId="81" borderId="22" applyAlignment="1" pivotButton="0" quotePrefix="0" xfId="0">
      <alignment horizontal="left" vertical="top" wrapText="1"/>
    </xf>
    <xf numFmtId="0" fontId="108" fillId="81" borderId="22" applyAlignment="1" pivotButton="0" quotePrefix="0" xfId="0">
      <alignment horizontal="left" vertical="top" wrapText="1"/>
    </xf>
    <xf numFmtId="0" fontId="109" fillId="81" borderId="22" applyAlignment="1" pivotButton="0" quotePrefix="0" xfId="0">
      <alignment horizontal="left" vertical="top" wrapText="1"/>
    </xf>
    <xf numFmtId="0" fontId="71" fillId="81" borderId="22" applyAlignment="1" pivotButton="0" quotePrefix="0" xfId="0">
      <alignment horizontal="left" vertical="top" wrapText="1"/>
    </xf>
    <xf numFmtId="0" fontId="69" fillId="81" borderId="22" applyAlignment="1" pivotButton="0" quotePrefix="0" xfId="0">
      <alignment horizontal="left" vertical="center"/>
    </xf>
    <xf numFmtId="0" fontId="68" fillId="56" borderId="22" applyAlignment="1" pivotButton="0" quotePrefix="0" xfId="0">
      <alignment horizontal="left" vertical="center"/>
    </xf>
    <xf numFmtId="0" fontId="71" fillId="56" borderId="22" applyAlignment="1" pivotButton="0" quotePrefix="0" xfId="0">
      <alignment horizontal="center" vertical="center"/>
    </xf>
    <xf numFmtId="170" fontId="71" fillId="56" borderId="22" applyAlignment="1" pivotButton="0" quotePrefix="0" xfId="0">
      <alignment horizontal="center" vertical="center"/>
    </xf>
    <xf numFmtId="0" fontId="107" fillId="56" borderId="22" applyAlignment="1" pivotButton="0" quotePrefix="0" xfId="0">
      <alignment horizontal="left" vertical="top" wrapText="1"/>
    </xf>
    <xf numFmtId="0" fontId="108" fillId="56" borderId="22" applyAlignment="1" pivotButton="0" quotePrefix="0" xfId="0">
      <alignment horizontal="left" vertical="top" wrapText="1"/>
    </xf>
    <xf numFmtId="0" fontId="109" fillId="56" borderId="22" applyAlignment="1" pivotButton="0" quotePrefix="0" xfId="0">
      <alignment horizontal="left" vertical="top" wrapText="1"/>
    </xf>
    <xf numFmtId="0" fontId="71" fillId="56" borderId="22" applyAlignment="1" pivotButton="0" quotePrefix="0" xfId="0">
      <alignment horizontal="left" vertical="top" wrapText="1"/>
    </xf>
    <xf numFmtId="0" fontId="69" fillId="56" borderId="22" applyAlignment="1" pivotButton="0" quotePrefix="0" xfId="0">
      <alignment horizontal="left" vertical="center"/>
    </xf>
    <xf numFmtId="0" fontId="68" fillId="57" borderId="22" applyAlignment="1" pivotButton="0" quotePrefix="0" xfId="0">
      <alignment horizontal="left" vertical="center"/>
    </xf>
    <xf numFmtId="0" fontId="71" fillId="57" borderId="22" applyAlignment="1" pivotButton="0" quotePrefix="0" xfId="0">
      <alignment horizontal="center" vertical="center"/>
    </xf>
    <xf numFmtId="170" fontId="71" fillId="57" borderId="22" applyAlignment="1" pivotButton="0" quotePrefix="0" xfId="0">
      <alignment horizontal="center" vertical="center"/>
    </xf>
    <xf numFmtId="0" fontId="107" fillId="57" borderId="22" applyAlignment="1" pivotButton="0" quotePrefix="0" xfId="0">
      <alignment horizontal="left" vertical="top" wrapText="1"/>
    </xf>
    <xf numFmtId="0" fontId="108" fillId="57" borderId="22" applyAlignment="1" pivotButton="0" quotePrefix="0" xfId="0">
      <alignment horizontal="left" vertical="top" wrapText="1"/>
    </xf>
    <xf numFmtId="0" fontId="109" fillId="57" borderId="22" applyAlignment="1" pivotButton="0" quotePrefix="0" xfId="0">
      <alignment horizontal="left" vertical="top" wrapText="1"/>
    </xf>
    <xf numFmtId="0" fontId="71" fillId="57" borderId="22" applyAlignment="1" pivotButton="0" quotePrefix="0" xfId="0">
      <alignment horizontal="left" vertical="top" wrapText="1"/>
    </xf>
    <xf numFmtId="0" fontId="69" fillId="57" borderId="22" applyAlignment="1" pivotButton="0" quotePrefix="0" xfId="0">
      <alignment horizontal="left" vertical="center"/>
    </xf>
    <xf numFmtId="0" fontId="68" fillId="83" borderId="22" applyAlignment="1" pivotButton="0" quotePrefix="0" xfId="0">
      <alignment horizontal="left" vertical="center"/>
    </xf>
    <xf numFmtId="0" fontId="71" fillId="83" borderId="22" applyAlignment="1" pivotButton="0" quotePrefix="0" xfId="0">
      <alignment horizontal="center" vertical="center"/>
    </xf>
    <xf numFmtId="170" fontId="71" fillId="83" borderId="22" applyAlignment="1" pivotButton="0" quotePrefix="0" xfId="0">
      <alignment horizontal="center" vertical="center"/>
    </xf>
    <xf numFmtId="0" fontId="107" fillId="83" borderId="22" applyAlignment="1" pivotButton="0" quotePrefix="0" xfId="0">
      <alignment horizontal="left" vertical="top" wrapText="1"/>
    </xf>
    <xf numFmtId="0" fontId="108" fillId="83" borderId="22" applyAlignment="1" pivotButton="0" quotePrefix="0" xfId="0">
      <alignment horizontal="left" vertical="top" wrapText="1"/>
    </xf>
    <xf numFmtId="0" fontId="109" fillId="83" borderId="22" applyAlignment="1" pivotButton="0" quotePrefix="0" xfId="0">
      <alignment horizontal="left" vertical="top" wrapText="1"/>
    </xf>
    <xf numFmtId="0" fontId="71" fillId="83" borderId="22" applyAlignment="1" pivotButton="0" quotePrefix="0" xfId="0">
      <alignment horizontal="left" vertical="top" wrapText="1"/>
    </xf>
    <xf numFmtId="0" fontId="69" fillId="83" borderId="22" applyAlignment="1" pivotButton="0" quotePrefix="0" xfId="0">
      <alignment horizontal="left" vertical="center"/>
    </xf>
    <xf numFmtId="0" fontId="68" fillId="64" borderId="22" applyAlignment="1" pivotButton="0" quotePrefix="0" xfId="0">
      <alignment horizontal="left" vertical="center"/>
    </xf>
    <xf numFmtId="0" fontId="71" fillId="64" borderId="22" applyAlignment="1" pivotButton="0" quotePrefix="0" xfId="0">
      <alignment horizontal="center" vertical="center"/>
    </xf>
    <xf numFmtId="170" fontId="71" fillId="64" borderId="22" applyAlignment="1" pivotButton="0" quotePrefix="0" xfId="0">
      <alignment horizontal="center" vertical="center"/>
    </xf>
    <xf numFmtId="0" fontId="107" fillId="64" borderId="22" applyAlignment="1" pivotButton="0" quotePrefix="0" xfId="0">
      <alignment horizontal="left" vertical="top" wrapText="1"/>
    </xf>
    <xf numFmtId="0" fontId="108" fillId="64" borderId="22" applyAlignment="1" pivotButton="0" quotePrefix="0" xfId="0">
      <alignment horizontal="left" vertical="top" wrapText="1"/>
    </xf>
    <xf numFmtId="0" fontId="109" fillId="64" borderId="22" applyAlignment="1" pivotButton="0" quotePrefix="0" xfId="0">
      <alignment horizontal="left" vertical="top" wrapText="1"/>
    </xf>
    <xf numFmtId="0" fontId="71" fillId="64" borderId="22" applyAlignment="1" pivotButton="0" quotePrefix="0" xfId="0">
      <alignment horizontal="left" vertical="top" wrapText="1"/>
    </xf>
    <xf numFmtId="0" fontId="69" fillId="64" borderId="22" applyAlignment="1" pivotButton="0" quotePrefix="0" xfId="0">
      <alignment horizontal="left" vertical="center"/>
    </xf>
    <xf numFmtId="0" fontId="110" fillId="64" borderId="22" applyAlignment="1" pivotButton="0" quotePrefix="0" xfId="0">
      <alignment horizontal="center" vertical="center"/>
    </xf>
    <xf numFmtId="0" fontId="110" fillId="50" borderId="22" applyAlignment="1" pivotButton="0" quotePrefix="0" xfId="0">
      <alignment horizontal="center" vertical="center"/>
    </xf>
    <xf numFmtId="0" fontId="68" fillId="72" borderId="22" applyAlignment="1" pivotButton="0" quotePrefix="0" xfId="0">
      <alignment horizontal="left" vertical="center"/>
    </xf>
    <xf numFmtId="0" fontId="71" fillId="72" borderId="22" applyAlignment="1" pivotButton="0" quotePrefix="0" xfId="0">
      <alignment horizontal="center" vertical="center"/>
    </xf>
    <xf numFmtId="170" fontId="71" fillId="72" borderId="22" applyAlignment="1" pivotButton="0" quotePrefix="0" xfId="0">
      <alignment horizontal="center" vertical="center"/>
    </xf>
    <xf numFmtId="0" fontId="110" fillId="72" borderId="22" applyAlignment="1" pivotButton="0" quotePrefix="0" xfId="0">
      <alignment horizontal="center" vertical="center"/>
    </xf>
    <xf numFmtId="0" fontId="107" fillId="72" borderId="22" applyAlignment="1" pivotButton="0" quotePrefix="0" xfId="0">
      <alignment horizontal="left" vertical="top" wrapText="1"/>
    </xf>
    <xf numFmtId="0" fontId="108" fillId="72" borderId="22" applyAlignment="1" pivotButton="0" quotePrefix="0" xfId="0">
      <alignment horizontal="left" vertical="top" wrapText="1"/>
    </xf>
    <xf numFmtId="0" fontId="109" fillId="72" borderId="22" applyAlignment="1" pivotButton="0" quotePrefix="0" xfId="0">
      <alignment horizontal="left" vertical="top" wrapText="1"/>
    </xf>
    <xf numFmtId="0" fontId="71" fillId="72" borderId="22" applyAlignment="1" pivotButton="0" quotePrefix="0" xfId="0">
      <alignment horizontal="left" vertical="top" wrapText="1"/>
    </xf>
    <xf numFmtId="0" fontId="69" fillId="72" borderId="22" applyAlignment="1" pivotButton="0" quotePrefix="0" xfId="0">
      <alignment horizontal="left" vertical="center"/>
    </xf>
    <xf numFmtId="0" fontId="68" fillId="84" borderId="22" applyAlignment="1" pivotButton="0" quotePrefix="0" xfId="0">
      <alignment horizontal="left" vertical="center"/>
    </xf>
    <xf numFmtId="0" fontId="71" fillId="84" borderId="22" applyAlignment="1" pivotButton="0" quotePrefix="0" xfId="0">
      <alignment horizontal="center" vertical="center"/>
    </xf>
    <xf numFmtId="170" fontId="71" fillId="84" borderId="22" applyAlignment="1" pivotButton="0" quotePrefix="0" xfId="0">
      <alignment horizontal="center" vertical="center"/>
    </xf>
    <xf numFmtId="0" fontId="107" fillId="84" borderId="22" applyAlignment="1" pivotButton="0" quotePrefix="0" xfId="0">
      <alignment horizontal="left" vertical="top" wrapText="1"/>
    </xf>
    <xf numFmtId="0" fontId="108" fillId="84" borderId="22" applyAlignment="1" pivotButton="0" quotePrefix="0" xfId="0">
      <alignment horizontal="left" vertical="top" wrapText="1"/>
    </xf>
    <xf numFmtId="0" fontId="109" fillId="84" borderId="22" applyAlignment="1" pivotButton="0" quotePrefix="0" xfId="0">
      <alignment horizontal="left" vertical="top" wrapText="1"/>
    </xf>
    <xf numFmtId="0" fontId="71" fillId="84" borderId="22" applyAlignment="1" pivotButton="0" quotePrefix="0" xfId="0">
      <alignment horizontal="left" vertical="top" wrapText="1"/>
    </xf>
    <xf numFmtId="0" fontId="69" fillId="84" borderId="22" applyAlignment="1" pivotButton="0" quotePrefix="0" xfId="0">
      <alignment horizontal="left" vertical="center"/>
    </xf>
    <xf numFmtId="0" fontId="110" fillId="57" borderId="22" applyAlignment="1" pivotButton="0" quotePrefix="0" xfId="0">
      <alignment horizontal="center" vertical="center"/>
    </xf>
    <xf numFmtId="0" fontId="110" fillId="56" borderId="22" applyAlignment="1" pivotButton="0" quotePrefix="0" xfId="0">
      <alignment horizontal="center" vertical="center"/>
    </xf>
    <xf numFmtId="0" fontId="110" fillId="81" borderId="22" applyAlignment="1" pivotButton="0" quotePrefix="0" xfId="0">
      <alignment horizontal="center" vertical="center"/>
    </xf>
    <xf numFmtId="0" fontId="68" fillId="82" borderId="22" applyAlignment="1" pivotButton="0" quotePrefix="0" xfId="0">
      <alignment horizontal="left" vertical="center"/>
    </xf>
    <xf numFmtId="0" fontId="71" fillId="82" borderId="22" applyAlignment="1" pivotButton="0" quotePrefix="0" xfId="0">
      <alignment horizontal="center" vertical="center"/>
    </xf>
    <xf numFmtId="170" fontId="71" fillId="82" borderId="22" applyAlignment="1" pivotButton="0" quotePrefix="0" xfId="0">
      <alignment horizontal="center" vertical="center"/>
    </xf>
    <xf numFmtId="0" fontId="107" fillId="82" borderId="22" applyAlignment="1" pivotButton="0" quotePrefix="0" xfId="0">
      <alignment horizontal="left" vertical="top" wrapText="1"/>
    </xf>
    <xf numFmtId="0" fontId="108" fillId="82" borderId="22" applyAlignment="1" pivotButton="0" quotePrefix="0" xfId="0">
      <alignment horizontal="left" vertical="top" wrapText="1"/>
    </xf>
    <xf numFmtId="0" fontId="109" fillId="82" borderId="22" applyAlignment="1" pivotButton="0" quotePrefix="0" xfId="0">
      <alignment horizontal="left" vertical="top" wrapText="1"/>
    </xf>
    <xf numFmtId="0" fontId="71" fillId="82" borderId="22" applyAlignment="1" pivotButton="0" quotePrefix="0" xfId="0">
      <alignment horizontal="left" vertical="top" wrapText="1"/>
    </xf>
    <xf numFmtId="0" fontId="69" fillId="82" borderId="22" applyAlignment="1" pivotButton="0" quotePrefix="0" xfId="0">
      <alignment horizontal="left" vertical="center"/>
    </xf>
    <xf numFmtId="0" fontId="68" fillId="77" borderId="22" applyAlignment="1" pivotButton="0" quotePrefix="0" xfId="0">
      <alignment horizontal="left" vertical="center"/>
    </xf>
    <xf numFmtId="0" fontId="71" fillId="77" borderId="22" applyAlignment="1" pivotButton="0" quotePrefix="0" xfId="0">
      <alignment horizontal="center" vertical="center"/>
    </xf>
    <xf numFmtId="170" fontId="71" fillId="77" borderId="22" applyAlignment="1" pivotButton="0" quotePrefix="0" xfId="0">
      <alignment horizontal="center" vertical="center"/>
    </xf>
    <xf numFmtId="0" fontId="110" fillId="77" borderId="22" applyAlignment="1" pivotButton="0" quotePrefix="0" xfId="0">
      <alignment horizontal="center" vertical="center"/>
    </xf>
    <xf numFmtId="0" fontId="107" fillId="77" borderId="22" applyAlignment="1" pivotButton="0" quotePrefix="0" xfId="0">
      <alignment horizontal="left" vertical="top" wrapText="1"/>
    </xf>
    <xf numFmtId="0" fontId="108" fillId="77" borderId="22" applyAlignment="1" pivotButton="0" quotePrefix="0" xfId="0">
      <alignment horizontal="left" vertical="top" wrapText="1"/>
    </xf>
    <xf numFmtId="0" fontId="109" fillId="77" borderId="22" applyAlignment="1" pivotButton="0" quotePrefix="0" xfId="0">
      <alignment horizontal="left" vertical="top" wrapText="1"/>
    </xf>
    <xf numFmtId="0" fontId="71" fillId="77" borderId="22" applyAlignment="1" pivotButton="0" quotePrefix="0" xfId="0">
      <alignment horizontal="left" vertical="top" wrapText="1"/>
    </xf>
    <xf numFmtId="0" fontId="69" fillId="77" borderId="22" applyAlignment="1" pivotButton="0" quotePrefix="0" xfId="0">
      <alignment horizontal="left" vertical="center"/>
    </xf>
    <xf numFmtId="0" fontId="68" fillId="85" borderId="22" applyAlignment="1" pivotButton="0" quotePrefix="0" xfId="0">
      <alignment horizontal="left" vertical="center"/>
    </xf>
    <xf numFmtId="0" fontId="71" fillId="85" borderId="22" applyAlignment="1" pivotButton="0" quotePrefix="0" xfId="0">
      <alignment horizontal="center" vertical="center"/>
    </xf>
    <xf numFmtId="170" fontId="71" fillId="85" borderId="22" applyAlignment="1" pivotButton="0" quotePrefix="0" xfId="0">
      <alignment horizontal="center" vertical="center"/>
    </xf>
    <xf numFmtId="0" fontId="110" fillId="85" borderId="22" applyAlignment="1" pivotButton="0" quotePrefix="0" xfId="0">
      <alignment horizontal="center" vertical="center"/>
    </xf>
    <xf numFmtId="0" fontId="107" fillId="85" borderId="22" applyAlignment="1" pivotButton="0" quotePrefix="0" xfId="0">
      <alignment horizontal="left" vertical="top" wrapText="1"/>
    </xf>
    <xf numFmtId="0" fontId="108" fillId="85" borderId="22" applyAlignment="1" pivotButton="0" quotePrefix="0" xfId="0">
      <alignment horizontal="left" vertical="top" wrapText="1"/>
    </xf>
    <xf numFmtId="0" fontId="109" fillId="85" borderId="22" applyAlignment="1" pivotButton="0" quotePrefix="0" xfId="0">
      <alignment horizontal="left" vertical="top" wrapText="1"/>
    </xf>
    <xf numFmtId="0" fontId="71" fillId="85" borderId="22" applyAlignment="1" pivotButton="0" quotePrefix="0" xfId="0">
      <alignment horizontal="left" vertical="top" wrapText="1"/>
    </xf>
    <xf numFmtId="0" fontId="69" fillId="85" borderId="22" applyAlignment="1" pivotButton="0" quotePrefix="0" xfId="0">
      <alignment horizontal="left" vertical="center"/>
    </xf>
    <xf numFmtId="0" fontId="110" fillId="82" borderId="22" applyAlignment="1" pivotButton="0" quotePrefix="0" xfId="0">
      <alignment horizontal="center" vertical="center"/>
    </xf>
    <xf numFmtId="0" fontId="110" fillId="51" borderId="22" applyAlignment="1" pivotButton="0" quotePrefix="0" xfId="0">
      <alignment horizontal="center" vertical="center"/>
    </xf>
    <xf numFmtId="0" fontId="110" fillId="84" borderId="22" applyAlignment="1" pivotButton="0" quotePrefix="0" xfId="0">
      <alignment horizontal="center" vertical="center"/>
    </xf>
    <xf numFmtId="0" fontId="110" fillId="83" borderId="22" applyAlignment="1" pivotButton="0" quotePrefix="0" xfId="0">
      <alignment horizontal="center" vertical="center"/>
    </xf>
    <xf numFmtId="0" fontId="100" fillId="48" borderId="33" applyAlignment="1" pivotButton="0" quotePrefix="0" xfId="0">
      <alignment horizontal="left" vertical="center"/>
    </xf>
    <xf numFmtId="0" fontId="84" fillId="48" borderId="33" pivotButton="0" quotePrefix="0" xfId="0"/>
    <xf numFmtId="0" fontId="86" fillId="75" borderId="33" applyAlignment="1" pivotButton="0" quotePrefix="0" xfId="0">
      <alignment horizontal="left" vertical="center"/>
    </xf>
    <xf numFmtId="0" fontId="111" fillId="94" borderId="33" pivotButton="0" quotePrefix="0" xfId="0"/>
    <xf numFmtId="0" fontId="112" fillId="95" borderId="33" applyAlignment="1" pivotButton="0" quotePrefix="0" xfId="0">
      <alignment horizontal="left" vertical="center"/>
    </xf>
    <xf numFmtId="0" fontId="113" fillId="95" borderId="33" pivotButton="0" quotePrefix="0" xfId="0"/>
    <xf numFmtId="0" fontId="112" fillId="96" borderId="33" applyAlignment="1" pivotButton="0" quotePrefix="0" xfId="0">
      <alignment horizontal="left" vertical="center"/>
    </xf>
    <xf numFmtId="0" fontId="114" fillId="96" borderId="33" pivotButton="0" quotePrefix="0" xfId="0"/>
    <xf numFmtId="0" fontId="115" fillId="48" borderId="33" applyAlignment="1" pivotButton="0" quotePrefix="0" xfId="0">
      <alignment horizontal="center" vertical="center" wrapText="1"/>
    </xf>
    <xf numFmtId="0" fontId="115" fillId="97" borderId="33" applyAlignment="1" pivotButton="0" quotePrefix="0" xfId="0">
      <alignment horizontal="center" vertical="center" wrapText="1"/>
    </xf>
    <xf numFmtId="0" fontId="115" fillId="98" borderId="33" applyAlignment="1" pivotButton="0" quotePrefix="0" xfId="0">
      <alignment horizontal="center" vertical="center" wrapText="1"/>
    </xf>
    <xf numFmtId="0" fontId="65" fillId="99" borderId="33" applyAlignment="1" pivotButton="0" quotePrefix="0" xfId="0">
      <alignment horizontal="left" vertical="center"/>
    </xf>
    <xf numFmtId="0" fontId="116" fillId="99" borderId="33" pivotButton="0" quotePrefix="0" xfId="0"/>
    <xf numFmtId="0" fontId="117" fillId="50" borderId="39" applyAlignment="1" pivotButton="0" quotePrefix="0" xfId="0">
      <alignment horizontal="center" vertical="center"/>
    </xf>
    <xf numFmtId="0" fontId="68" fillId="50" borderId="39" applyAlignment="1" pivotButton="0" quotePrefix="0" xfId="0">
      <alignment horizontal="left" vertical="top" wrapText="1"/>
    </xf>
    <xf numFmtId="0" fontId="118" fillId="50" borderId="39" applyAlignment="1" pivotButton="0" quotePrefix="0" xfId="0">
      <alignment horizontal="center" vertical="center"/>
    </xf>
    <xf numFmtId="0" fontId="93" fillId="50" borderId="39" applyAlignment="1" pivotButton="0" quotePrefix="0" xfId="0">
      <alignment horizontal="center" vertical="center"/>
    </xf>
    <xf numFmtId="0" fontId="119" fillId="100" borderId="39" applyAlignment="1" pivotButton="0" quotePrefix="0" xfId="0">
      <alignment horizontal="left" vertical="top" wrapText="1"/>
    </xf>
    <xf numFmtId="0" fontId="120" fillId="100" borderId="39" applyAlignment="1" pivotButton="0" quotePrefix="0" xfId="0">
      <alignment horizontal="left" vertical="top" wrapText="1"/>
    </xf>
    <xf numFmtId="0" fontId="117" fillId="101" borderId="39" applyAlignment="1" pivotButton="0" quotePrefix="0" xfId="0">
      <alignment horizontal="left" vertical="top" wrapText="1"/>
    </xf>
    <xf numFmtId="0" fontId="71" fillId="101" borderId="39" applyAlignment="1" pivotButton="0" quotePrefix="0" xfId="0">
      <alignment horizontal="left" vertical="top" wrapText="1"/>
    </xf>
    <xf numFmtId="0" fontId="121" fillId="101" borderId="39" applyAlignment="1" pivotButton="0" quotePrefix="0" xfId="0">
      <alignment horizontal="left" vertical="top" wrapText="1"/>
    </xf>
    <xf numFmtId="0" fontId="109" fillId="101" borderId="39" applyAlignment="1" pivotButton="0" quotePrefix="0" xfId="0">
      <alignment horizontal="left" vertical="top" wrapText="1"/>
    </xf>
    <xf numFmtId="0" fontId="117" fillId="51" borderId="39" applyAlignment="1" pivotButton="0" quotePrefix="0" xfId="0">
      <alignment horizontal="center" vertical="center"/>
    </xf>
    <xf numFmtId="0" fontId="68" fillId="51" borderId="39" applyAlignment="1" pivotButton="0" quotePrefix="0" xfId="0">
      <alignment horizontal="left" vertical="top" wrapText="1"/>
    </xf>
    <xf numFmtId="0" fontId="118" fillId="51" borderId="39" applyAlignment="1" pivotButton="0" quotePrefix="0" xfId="0">
      <alignment horizontal="center" vertical="center"/>
    </xf>
    <xf numFmtId="0" fontId="93" fillId="51" borderId="39" applyAlignment="1" pivotButton="0" quotePrefix="0" xfId="0">
      <alignment horizontal="center" vertical="center"/>
    </xf>
    <xf numFmtId="0" fontId="117" fillId="102" borderId="39" applyAlignment="1" pivotButton="0" quotePrefix="0" xfId="0">
      <alignment horizontal="left" vertical="top" wrapText="1"/>
    </xf>
    <xf numFmtId="0" fontId="71" fillId="102" borderId="39" applyAlignment="1" pivotButton="0" quotePrefix="0" xfId="0">
      <alignment horizontal="left" vertical="top" wrapText="1"/>
    </xf>
    <xf numFmtId="0" fontId="121" fillId="102" borderId="39" applyAlignment="1" pivotButton="0" quotePrefix="0" xfId="0">
      <alignment horizontal="left" vertical="top" wrapText="1"/>
    </xf>
    <xf numFmtId="0" fontId="109" fillId="102" borderId="39" applyAlignment="1" pivotButton="0" quotePrefix="0" xfId="0">
      <alignment horizontal="left" vertical="top" wrapText="1"/>
    </xf>
    <xf numFmtId="0" fontId="65" fillId="103" borderId="33" applyAlignment="1" pivotButton="0" quotePrefix="0" xfId="0">
      <alignment horizontal="left" vertical="center"/>
    </xf>
    <xf numFmtId="0" fontId="122" fillId="103" borderId="33" pivotButton="0" quotePrefix="0" xfId="0"/>
    <xf numFmtId="0" fontId="123" fillId="54" borderId="39" applyAlignment="1" pivotButton="0" quotePrefix="0" xfId="0">
      <alignment horizontal="center" vertical="center"/>
    </xf>
    <xf numFmtId="0" fontId="68" fillId="54" borderId="39" applyAlignment="1" pivotButton="0" quotePrefix="0" xfId="0">
      <alignment horizontal="left" vertical="top" wrapText="1"/>
    </xf>
    <xf numFmtId="0" fontId="118" fillId="54" borderId="39" applyAlignment="1" pivotButton="0" quotePrefix="0" xfId="0">
      <alignment horizontal="center" vertical="center"/>
    </xf>
    <xf numFmtId="0" fontId="124" fillId="54" borderId="39" applyAlignment="1" pivotButton="0" quotePrefix="0" xfId="0">
      <alignment horizontal="center" vertical="center"/>
    </xf>
    <xf numFmtId="0" fontId="119" fillId="104" borderId="39" applyAlignment="1" pivotButton="0" quotePrefix="0" xfId="0">
      <alignment horizontal="left" vertical="top" wrapText="1"/>
    </xf>
    <xf numFmtId="0" fontId="120" fillId="104" borderId="39" applyAlignment="1" pivotButton="0" quotePrefix="0" xfId="0">
      <alignment horizontal="left" vertical="top" wrapText="1"/>
    </xf>
    <xf numFmtId="0" fontId="123" fillId="102" borderId="39" applyAlignment="1" pivotButton="0" quotePrefix="0" xfId="0">
      <alignment horizontal="left" vertical="top" wrapText="1"/>
    </xf>
    <xf numFmtId="0" fontId="123" fillId="53" borderId="39" applyAlignment="1" pivotButton="0" quotePrefix="0" xfId="0">
      <alignment horizontal="center" vertical="center"/>
    </xf>
    <xf numFmtId="0" fontId="68" fillId="53" borderId="39" applyAlignment="1" pivotButton="0" quotePrefix="0" xfId="0">
      <alignment horizontal="left" vertical="top" wrapText="1"/>
    </xf>
    <xf numFmtId="0" fontId="118" fillId="53" borderId="39" applyAlignment="1" pivotButton="0" quotePrefix="0" xfId="0">
      <alignment horizontal="center" vertical="center"/>
    </xf>
    <xf numFmtId="0" fontId="93" fillId="53" borderId="39" applyAlignment="1" pivotButton="0" quotePrefix="0" xfId="0">
      <alignment horizontal="center" vertical="center"/>
    </xf>
    <xf numFmtId="0" fontId="123" fillId="101" borderId="39" applyAlignment="1" pivotButton="0" quotePrefix="0" xfId="0">
      <alignment horizontal="left" vertical="top" wrapText="1"/>
    </xf>
    <xf numFmtId="0" fontId="93" fillId="54" borderId="39" applyAlignment="1" pivotButton="0" quotePrefix="0" xfId="0">
      <alignment horizontal="center" vertical="center"/>
    </xf>
    <xf numFmtId="0" fontId="65" fillId="105" borderId="33" applyAlignment="1" pivotButton="0" quotePrefix="0" xfId="0">
      <alignment horizontal="left" vertical="center"/>
    </xf>
    <xf numFmtId="0" fontId="125" fillId="105" borderId="33" pivotButton="0" quotePrefix="0" xfId="0"/>
    <xf numFmtId="0" fontId="126" fillId="56" borderId="39" applyAlignment="1" pivotButton="0" quotePrefix="0" xfId="0">
      <alignment horizontal="center" vertical="center"/>
    </xf>
    <xf numFmtId="0" fontId="68" fillId="56" borderId="39" applyAlignment="1" pivotButton="0" quotePrefix="0" xfId="0">
      <alignment horizontal="left" vertical="top" wrapText="1"/>
    </xf>
    <xf numFmtId="0" fontId="118" fillId="56" borderId="39" applyAlignment="1" pivotButton="0" quotePrefix="0" xfId="0">
      <alignment horizontal="center" vertical="center"/>
    </xf>
    <xf numFmtId="0" fontId="124" fillId="56" borderId="39" applyAlignment="1" pivotButton="0" quotePrefix="0" xfId="0">
      <alignment horizontal="center" vertical="center"/>
    </xf>
    <xf numFmtId="0" fontId="119" fillId="106" borderId="39" applyAlignment="1" pivotButton="0" quotePrefix="0" xfId="0">
      <alignment horizontal="left" vertical="top" wrapText="1"/>
    </xf>
    <xf numFmtId="0" fontId="120" fillId="106" borderId="39" applyAlignment="1" pivotButton="0" quotePrefix="0" xfId="0">
      <alignment horizontal="left" vertical="top" wrapText="1"/>
    </xf>
    <xf numFmtId="0" fontId="126" fillId="101" borderId="39" applyAlignment="1" pivotButton="0" quotePrefix="0" xfId="0">
      <alignment horizontal="left" vertical="top" wrapText="1"/>
    </xf>
    <xf numFmtId="0" fontId="126" fillId="57" borderId="39" applyAlignment="1" pivotButton="0" quotePrefix="0" xfId="0">
      <alignment horizontal="center" vertical="center"/>
    </xf>
    <xf numFmtId="0" fontId="68" fillId="57" borderId="39" applyAlignment="1" pivotButton="0" quotePrefix="0" xfId="0">
      <alignment horizontal="left" vertical="top" wrapText="1"/>
    </xf>
    <xf numFmtId="0" fontId="118" fillId="57" borderId="39" applyAlignment="1" pivotButton="0" quotePrefix="0" xfId="0">
      <alignment horizontal="center" vertical="center"/>
    </xf>
    <xf numFmtId="0" fontId="93" fillId="57" borderId="39" applyAlignment="1" pivotButton="0" quotePrefix="0" xfId="0">
      <alignment horizontal="center" vertical="center"/>
    </xf>
    <xf numFmtId="0" fontId="126" fillId="102" borderId="39" applyAlignment="1" pivotButton="0" quotePrefix="0" xfId="0">
      <alignment horizontal="left" vertical="top" wrapText="1"/>
    </xf>
    <xf numFmtId="0" fontId="93" fillId="56" borderId="39" applyAlignment="1" pivotButton="0" quotePrefix="0" xfId="0">
      <alignment horizontal="center" vertical="center"/>
    </xf>
  </cellXfs>
  <cellStyles count="2">
    <cellStyle name="Normal" xfId="0" builtinId="0"/>
    <cellStyle name="Per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001A1A2E"/>
    <outlinePr summaryBelow="0" summaryRight="0"/>
    <pageSetUpPr/>
  </sheetPr>
  <dimension ref="A1:H59"/>
  <sheetViews>
    <sheetView showGridLines="0" workbookViewId="0">
      <selection activeCell="G20" sqref="G20"/>
    </sheetView>
  </sheetViews>
  <sheetFormatPr baseColWidth="10" defaultColWidth="14" defaultRowHeight="14"/>
  <cols>
    <col width="4" customWidth="1" style="229" min="1" max="1"/>
    <col width="32" customWidth="1" style="229" min="2" max="2"/>
    <col width="14" customWidth="1" style="229" min="3" max="3"/>
    <col width="14" customWidth="1" style="229" min="4" max="4"/>
    <col width="14" customWidth="1" style="229" min="5" max="6"/>
    <col width="14" customWidth="1" style="229" min="6" max="6"/>
    <col width="14" customWidth="1" style="229" min="7" max="7"/>
    <col width="16" customWidth="1" style="229" min="8" max="8"/>
    <col width="32" customWidth="1" style="229" min="9" max="9"/>
    <col width="16" customWidth="1" style="229" min="10" max="20"/>
  </cols>
  <sheetData>
    <row r="1" ht="32" customHeight="1" s="229">
      <c r="A1" s="787" t="n"/>
      <c r="B1" s="788" t="inlineStr">
        <is>
          <t>NEIWAI U.S. Portfolio Action Plan — Summary</t>
        </is>
      </c>
      <c r="C1" s="787" t="n"/>
      <c r="D1" s="787" t="n"/>
      <c r="E1" s="787" t="n"/>
      <c r="F1" s="787" t="n"/>
      <c r="G1" s="787" t="n"/>
    </row>
    <row r="2" ht="18" customHeight="1" s="229">
      <c r="A2" s="789" t="n"/>
      <c r="B2" s="790" t="inlineStr">
        <is>
          <t>Data Period: November 2025 – January 2026  |  Prepared: February 2026</t>
        </is>
      </c>
      <c r="C2" s="789" t="n"/>
      <c r="D2" s="789" t="n"/>
      <c r="E2" s="789" t="n"/>
      <c r="F2" s="789" t="n"/>
      <c r="G2" s="789" t="n"/>
    </row>
    <row r="3" ht="20" customHeight="1" s="229"/>
    <row r="4" ht="22" customHeight="1" s="229">
      <c r="A4" s="789" t="n"/>
      <c r="B4" s="791" t="inlineStr">
        <is>
          <t>US FLASH SALE — Stranded US Inventory</t>
        </is>
      </c>
      <c r="C4" s="789" t="n"/>
      <c r="D4" s="789" t="n"/>
      <c r="E4" s="789" t="n"/>
      <c r="F4" s="789" t="n"/>
      <c r="G4" s="789" t="n"/>
    </row>
    <row r="5" ht="22" customHeight="1" s="229">
      <c r="B5" s="792" t="inlineStr">
        <is>
          <t>Category</t>
        </is>
      </c>
      <c r="C5" s="792" t="inlineStr">
        <is>
          <t>Products</t>
        </is>
      </c>
      <c r="D5" s="792" t="inlineStr">
        <is>
          <t>US Units</t>
        </is>
      </c>
      <c r="E5" s="792" t="inlineStr">
        <is>
          <t>Est. Inv Value</t>
        </is>
      </c>
    </row>
    <row r="6" ht="18" customHeight="1" s="229">
      <c r="B6" s="793" t="inlineStr">
        <is>
          <t>Underwear</t>
        </is>
      </c>
      <c r="C6" s="794" t="n">
        <v>25</v>
      </c>
      <c r="D6" s="794" t="n">
        <v>343</v>
      </c>
      <c r="E6" s="794" t="inlineStr">
        <is>
          <t>$80,530</t>
        </is>
      </c>
    </row>
    <row r="7" ht="18" customHeight="1" s="229">
      <c r="B7" s="795" t="inlineStr">
        <is>
          <t>Loungewear</t>
        </is>
      </c>
      <c r="C7" s="796" t="n">
        <v>40</v>
      </c>
      <c r="D7" s="796" t="n">
        <v>328</v>
      </c>
      <c r="E7" s="796" t="inlineStr">
        <is>
          <t>$25,455</t>
        </is>
      </c>
    </row>
    <row r="8" ht="18" customHeight="1" s="229">
      <c r="B8" s="797" t="inlineStr">
        <is>
          <t>Active</t>
        </is>
      </c>
      <c r="C8" s="798" t="n">
        <v>37</v>
      </c>
      <c r="D8" s="798" t="n">
        <v>265</v>
      </c>
      <c r="E8" s="798" t="inlineStr">
        <is>
          <t>$41,058</t>
        </is>
      </c>
    </row>
    <row r="9" ht="18" customHeight="1" s="229">
      <c r="B9" s="799" t="inlineStr">
        <is>
          <t>Men</t>
        </is>
      </c>
      <c r="C9" s="800" t="n">
        <v>1</v>
      </c>
      <c r="D9" s="800" t="n">
        <v>10</v>
      </c>
      <c r="E9" s="800" t="inlineStr">
        <is>
          <t>$600</t>
        </is>
      </c>
    </row>
    <row r="10" ht="20" customHeight="1" s="229">
      <c r="B10" s="801" t="inlineStr">
        <is>
          <t>Total</t>
        </is>
      </c>
      <c r="C10" s="802" t="n">
        <v>103</v>
      </c>
      <c r="D10" s="802" t="n">
        <v>946</v>
      </c>
      <c r="E10" s="802" t="inlineStr">
        <is>
          <t>$147,643</t>
        </is>
      </c>
    </row>
    <row r="11" ht="8" customHeight="1" s="229"/>
    <row r="12" ht="22" customHeight="1" s="229">
      <c r="A12" s="789" t="n"/>
      <c r="B12" s="791" t="inlineStr">
        <is>
          <t>PORTFOLIO DECISION — Keep vs. Remove</t>
        </is>
      </c>
      <c r="C12" s="789" t="n"/>
      <c r="D12" s="789" t="n"/>
      <c r="E12" s="789" t="n"/>
      <c r="F12" s="789" t="n"/>
      <c r="G12" s="789" t="n"/>
    </row>
    <row r="13" ht="22" customHeight="1" s="229">
      <c r="B13" s="792" t="inlineStr">
        <is>
          <t>Metric</t>
        </is>
      </c>
      <c r="C13" s="792" t="inlineStr">
        <is>
          <t>KEEP</t>
        </is>
      </c>
      <c r="D13" s="792" t="inlineStr">
        <is>
          <t>REMOVE</t>
        </is>
      </c>
    </row>
    <row r="14" ht="18" customHeight="1" s="229">
      <c r="B14" s="803" t="inlineStr">
        <is>
          <t>Products</t>
        </is>
      </c>
      <c r="C14" s="804" t="n">
        <v>26</v>
      </c>
      <c r="D14" s="805" t="n">
        <v>463</v>
      </c>
    </row>
    <row r="15" ht="18" customHeight="1" s="229">
      <c r="B15" s="803" t="inlineStr">
        <is>
          <t>SKUs</t>
        </is>
      </c>
      <c r="C15" s="804" t="n">
        <v>237</v>
      </c>
      <c r="D15" s="805" t="n">
        <v>2518</v>
      </c>
    </row>
    <row r="16" ht="18" customHeight="1" s="229">
      <c r="B16" s="803" t="inlineStr">
        <is>
          <t>90-Day Net Sales</t>
        </is>
      </c>
      <c r="C16" s="806" t="n">
        <v>1315466.16</v>
      </c>
      <c r="D16" s="807" t="n">
        <v>488965.83</v>
      </c>
    </row>
    <row r="17" ht="18" customHeight="1" s="229">
      <c r="B17" s="803" t="inlineStr">
        <is>
          <t>% of Total Sales</t>
        </is>
      </c>
      <c r="C17" s="808" t="n">
        <v>0.715</v>
      </c>
      <c r="D17" s="809" t="n">
        <v>0.287</v>
      </c>
    </row>
    <row r="18" ht="18" customHeight="1" s="229">
      <c r="B18" s="803" t="inlineStr">
        <is>
          <t>Inventory Units</t>
        </is>
      </c>
      <c r="C18" s="804" t="n">
        <v>55927</v>
      </c>
      <c r="D18" s="805" t="n">
        <v>170854</v>
      </c>
    </row>
    <row r="19" ht="18" customHeight="1" s="229">
      <c r="B19" s="803" t="inlineStr">
        <is>
          <t>Est. Inventory Value</t>
        </is>
      </c>
      <c r="C19" s="806" t="n">
        <v>585260</v>
      </c>
      <c r="D19" s="807" t="n">
        <v>1886365</v>
      </c>
    </row>
    <row r="20" ht="18" customHeight="1" s="229">
      <c r="B20" s="803" t="inlineStr">
        <is>
          <t>REMOVE BREAKDOWN BY CATEGORY</t>
        </is>
      </c>
      <c r="C20" s="804" t="n"/>
      <c r="D20" s="805" t="n"/>
    </row>
    <row r="21" ht="18" customHeight="1" s="229">
      <c r="B21" s="803" t="inlineStr">
        <is>
          <t>Category</t>
        </is>
      </c>
      <c r="C21" s="804" t="inlineStr">
        <is>
          <t>Products</t>
        </is>
      </c>
      <c r="D21" s="805" t="inlineStr">
        <is>
          <t>SKUs</t>
        </is>
      </c>
    </row>
    <row r="22" ht="18" customHeight="1" s="229">
      <c r="B22" s="803" t="inlineStr">
        <is>
          <t>Underwear</t>
        </is>
      </c>
      <c r="C22" s="804" t="n">
        <v>116</v>
      </c>
      <c r="D22" s="805" t="n">
        <v>608</v>
      </c>
    </row>
    <row r="23" ht="18" customHeight="1" s="229">
      <c r="B23" s="803" t="inlineStr">
        <is>
          <t>Loungewear</t>
        </is>
      </c>
      <c r="C23" s="804" t="n">
        <v>129</v>
      </c>
      <c r="D23" s="805" t="n">
        <v>724</v>
      </c>
    </row>
    <row r="24" ht="18" customHeight="1" s="229">
      <c r="B24" s="803" t="inlineStr">
        <is>
          <t>Active</t>
        </is>
      </c>
      <c r="C24" s="804" t="n">
        <v>169</v>
      </c>
      <c r="D24" s="805" t="n">
        <v>829</v>
      </c>
    </row>
    <row r="25" ht="18" customHeight="1" s="229">
      <c r="B25" s="803" t="inlineStr">
        <is>
          <t>Men</t>
        </is>
      </c>
      <c r="C25" s="804" t="n">
        <v>25</v>
      </c>
      <c r="D25" s="805" t="n">
        <v>267</v>
      </c>
    </row>
    <row r="26" ht="18" customHeight="1" s="229">
      <c r="B26" s="803" t="inlineStr">
        <is>
          <t>Gift Cards</t>
        </is>
      </c>
      <c r="C26" s="804" t="n">
        <v>1</v>
      </c>
      <c r="D26" s="805" t="n">
        <v>5</v>
      </c>
    </row>
    <row r="27" ht="18" customHeight="1" s="229">
      <c r="B27" s="803" t="inlineStr">
        <is>
          <t>Accessories</t>
        </is>
      </c>
      <c r="C27" s="804" t="n">
        <v>8</v>
      </c>
      <c r="D27" s="805" t="n">
        <v>14</v>
      </c>
    </row>
    <row r="28" ht="18" customHeight="1" s="229">
      <c r="B28" s="803" t="inlineStr">
        <is>
          <t>Sample</t>
        </is>
      </c>
      <c r="C28" s="804" t="n">
        <v>1</v>
      </c>
      <c r="D28" s="805" t="n">
        <v>4</v>
      </c>
    </row>
    <row r="29" ht="18" customHeight="1" s="229">
      <c r="B29" s="803" t="inlineStr">
        <is>
          <t>Bundle</t>
        </is>
      </c>
      <c r="C29" s="804" t="n">
        <v>2</v>
      </c>
      <c r="D29" s="805" t="n">
        <v>1</v>
      </c>
    </row>
    <row r="30" ht="18" customHeight="1" s="229">
      <c r="B30" s="803" t="inlineStr">
        <is>
          <t>LIQUIDATION PRIORITY BREAKDOWN</t>
        </is>
      </c>
      <c r="C30" s="804" t="n"/>
      <c r="D30" s="805" t="n"/>
    </row>
    <row r="31" ht="18" customHeight="1" s="229">
      <c r="B31" s="803" t="inlineStr">
        <is>
          <t>Priority</t>
        </is>
      </c>
      <c r="C31" s="804" t="inlineStr">
        <is>
          <t>Products</t>
        </is>
      </c>
      <c r="D31" s="805" t="inlineStr">
        <is>
          <t>Inventory Units</t>
        </is>
      </c>
    </row>
    <row r="32" ht="18" customHeight="1" s="229">
      <c r="B32" s="803" t="inlineStr">
        <is>
          <t>1 — URGENT (high inventory, no sales)</t>
        </is>
      </c>
      <c r="C32" s="806" t="n">
        <v>3</v>
      </c>
      <c r="D32" s="807" t="n">
        <v>9043</v>
      </c>
    </row>
    <row r="33" ht="18" customHeight="1" s="229">
      <c r="B33" s="803" t="inlineStr">
        <is>
          <t>2 — HIGH (dead product)</t>
        </is>
      </c>
      <c r="C33" s="804" t="n">
        <v>39</v>
      </c>
      <c r="D33" s="805" t="n">
        <v>132</v>
      </c>
    </row>
    <row r="34" ht="18" customHeight="1" s="229">
      <c r="B34" s="803" t="inlineStr">
        <is>
          <t>2 — HIGH (excess inventory vs demand)</t>
        </is>
      </c>
      <c r="C34" s="804" t="n">
        <v>49</v>
      </c>
      <c r="D34" s="805" t="n">
        <v>21923</v>
      </c>
    </row>
    <row r="35" ht="18" customHeight="1" s="229">
      <c r="B35" s="803" t="inlineStr">
        <is>
          <t>3 — MEDIUM (selldown or markdown)</t>
        </is>
      </c>
      <c r="C35" s="804" t="n">
        <v>140</v>
      </c>
      <c r="D35" s="805" t="n">
        <v>69753</v>
      </c>
    </row>
    <row r="36" ht="18" customHeight="1" s="229">
      <c r="B36" s="803" t="inlineStr">
        <is>
          <t>4 — LOW (natural sellthrough)</t>
        </is>
      </c>
      <c r="C36" s="804" t="n">
        <v>232</v>
      </c>
      <c r="D36" s="805" t="n">
        <v>5374</v>
      </c>
    </row>
    <row r="37" ht="8" customHeight="1" s="229"/>
    <row r="38" ht="22" customHeight="1" s="229">
      <c r="A38" s="789" t="n"/>
      <c r="B38" s="791" t="inlineStr">
        <is>
          <t>REMOVE BREAKDOWN BY CATEGORY</t>
        </is>
      </c>
      <c r="C38" s="789" t="n"/>
      <c r="D38" s="789" t="n"/>
      <c r="E38" s="789" t="n"/>
      <c r="F38" s="789" t="n"/>
      <c r="G38" s="789" t="n"/>
    </row>
    <row r="39" ht="22" customHeight="1" s="229">
      <c r="B39" s="792" t="inlineStr">
        <is>
          <t>Category</t>
        </is>
      </c>
      <c r="C39" s="792" t="inlineStr">
        <is>
          <t>Products</t>
        </is>
      </c>
      <c r="D39" s="792" t="inlineStr">
        <is>
          <t>SKUs</t>
        </is>
      </c>
      <c r="E39" s="792" t="inlineStr">
        <is>
          <t>90-Day Sales</t>
        </is>
      </c>
      <c r="F39" s="792" t="inlineStr">
        <is>
          <t>Inventory</t>
        </is>
      </c>
      <c r="G39" s="792" t="inlineStr">
        <is>
          <t>Est. Inv Value</t>
        </is>
      </c>
    </row>
    <row r="40" ht="8" customHeight="1" s="229"/>
    <row r="41" ht="22" customHeight="1" s="229">
      <c r="A41" s="789" t="n"/>
      <c r="B41" s="791" t="inlineStr">
        <is>
          <t>LIQUIDATION PRIORITY BREAKDOWN</t>
        </is>
      </c>
      <c r="C41" s="789" t="n"/>
      <c r="D41" s="789" t="n"/>
      <c r="E41" s="789" t="n"/>
      <c r="F41" s="789" t="n"/>
      <c r="G41" s="789" t="n"/>
    </row>
    <row r="42" ht="22" customHeight="1" s="229">
      <c r="B42" s="792" t="inlineStr">
        <is>
          <t>Priority</t>
        </is>
      </c>
      <c r="C42" s="792" t="inlineStr">
        <is>
          <t>Products</t>
        </is>
      </c>
      <c r="D42" s="792" t="inlineStr">
        <is>
          <t>Inventory Units</t>
        </is>
      </c>
      <c r="E42" s="792" t="inlineStr">
        <is>
          <t>Est. Inv Value</t>
        </is>
      </c>
    </row>
    <row r="43" ht="22" customHeight="1" s="229"/>
    <row r="44" ht="22" customHeight="1" s="229">
      <c r="A44" s="843" t="n"/>
      <c r="B44" s="844" t="inlineStr">
        <is>
          <t>DISPOSAL STRATEGY</t>
        </is>
      </c>
      <c r="C44" s="843" t="n"/>
      <c r="D44" s="843" t="n"/>
      <c r="E44" s="843" t="n"/>
      <c r="F44" s="843" t="n"/>
      <c r="G44" s="843" t="n"/>
    </row>
    <row r="45" ht="30" customHeight="1" s="229">
      <c r="B45" s="845" t="inlineStr">
        <is>
          <t>NEIWAI US — Removal &amp; Disposal Strategy</t>
        </is>
      </c>
      <c r="C45" s="846" t="n"/>
      <c r="D45" s="846" t="n"/>
      <c r="E45" s="846" t="n"/>
      <c r="F45" s="846" t="n"/>
      <c r="G45" s="846" t="n"/>
      <c r="H45" s="846" t="n"/>
    </row>
    <row r="46" ht="18" customHeight="1" s="229">
      <c r="B46" s="847" t="inlineStr">
        <is>
          <t>Inventory Action Plan by Warehouse and Disposal Route</t>
        </is>
      </c>
      <c r="C46" s="848" t="n"/>
      <c r="D46" s="848" t="n"/>
      <c r="E46" s="848" t="n"/>
      <c r="F46" s="848" t="n"/>
      <c r="G46" s="848" t="n"/>
      <c r="H46" s="848" t="n"/>
    </row>
    <row r="47" ht="22" customHeight="1" s="229"/>
    <row r="48" ht="22" customHeight="1" s="229">
      <c r="B48" s="849" t="inlineStr">
        <is>
          <t>DISPOSAL ROUTE SUMMARY</t>
        </is>
      </c>
      <c r="C48" s="848" t="n"/>
      <c r="D48" s="848" t="n"/>
      <c r="E48" s="848" t="n"/>
      <c r="F48" s="848" t="n"/>
      <c r="G48" s="848" t="n"/>
      <c r="H48" s="848" t="n"/>
    </row>
    <row r="49" ht="40" customHeight="1" s="229">
      <c r="B49" s="850" t="inlineStr">
        <is>
          <t>Disposal Route</t>
        </is>
      </c>
      <c r="C49" s="851" t="inlineStr">
        <is>
          <t>Products</t>
        </is>
      </c>
      <c r="D49" s="851" t="inlineStr">
        <is>
          <t>Est. Units
(China)</t>
        </is>
      </c>
      <c r="E49" s="851" t="inlineStr">
        <is>
          <t>Est. Units
(US)</t>
        </is>
      </c>
      <c r="F49" s="851" t="inlineStr">
        <is>
          <t>Est. Inv
Value</t>
        </is>
      </c>
      <c r="G49" s="850" t="inlineStr">
        <is>
          <t>Action Required</t>
        </is>
      </c>
      <c r="H49" s="852" t="inlineStr">
        <is>
          <t>Priority</t>
        </is>
      </c>
    </row>
    <row r="50" ht="22" customHeight="1" s="229">
      <c r="B50" s="853" t="inlineStr">
        <is>
          <t>Transfer to China Market</t>
        </is>
      </c>
      <c r="C50" s="854" t="n">
        <v>284</v>
      </c>
      <c r="D50" s="854" t="n">
        <v>88351</v>
      </c>
      <c r="E50" s="854" t="n">
        <v>0</v>
      </c>
      <c r="F50" s="854" t="inlineStr">
        <is>
          <t>$504,362</t>
        </is>
      </c>
      <c r="G50" s="855" t="inlineStr">
        <is>
          <t>Ship entire stock back to CN. Re-merchandise in CN market.</t>
        </is>
      </c>
      <c r="H50" s="856" t="inlineStr">
        <is>
          <t>Within 60 days</t>
        </is>
      </c>
    </row>
    <row r="51" ht="22" customHeight="1" s="229">
      <c r="B51" s="857" t="inlineStr">
        <is>
          <t>US Flash Sale</t>
        </is>
      </c>
      <c r="C51" s="858" t="n">
        <v>12</v>
      </c>
      <c r="D51" s="858" t="n">
        <v>0</v>
      </c>
      <c r="E51" s="858" t="n">
        <v>36</v>
      </c>
      <c r="F51" s="858" t="inlineStr">
        <is>
          <t>$589</t>
        </is>
      </c>
      <c r="G51" s="859" t="inlineStr">
        <is>
          <t>List on US site at 50-60% off. Time-limited flash event.</t>
        </is>
      </c>
      <c r="H51" s="860" t="inlineStr">
        <is>
          <t>Urgent</t>
        </is>
      </c>
    </row>
    <row r="52" ht="22" customHeight="1" s="229">
      <c r="B52" s="861" t="inlineStr">
        <is>
          <t>Split: Flash Sale + Transfer to China</t>
        </is>
      </c>
      <c r="C52" s="862" t="n">
        <v>93</v>
      </c>
      <c r="D52" s="862" t="n">
        <v>17991</v>
      </c>
      <c r="E52" s="862" t="n">
        <v>1251</v>
      </c>
      <c r="F52" s="862" t="inlineStr">
        <is>
          <t>$151,918</t>
        </is>
      </c>
      <c r="G52" s="863" t="inlineStr">
        <is>
          <t>Flash sale US units. Arrange return shipment for CN units.</t>
        </is>
      </c>
      <c r="H52" s="864" t="inlineStr">
        <is>
          <t>Urgent</t>
        </is>
      </c>
    </row>
    <row r="53" ht="22" customHeight="1" s="229">
      <c r="B53" s="865" t="inlineStr">
        <is>
          <t>Delist — Zero Inventory</t>
        </is>
      </c>
      <c r="C53" s="866" t="n">
        <v>49</v>
      </c>
      <c r="D53" s="866" t="n">
        <v>0</v>
      </c>
      <c r="E53" s="866" t="n">
        <v>0</v>
      </c>
      <c r="F53" s="866" t="inlineStr">
        <is>
          <t>$5,510</t>
        </is>
      </c>
      <c r="G53" s="867" t="inlineStr">
        <is>
          <t>Remove from Shopify. No inventory action needed.</t>
        </is>
      </c>
      <c r="H53" s="868" t="inlineStr">
        <is>
          <t>Immediate (site only)</t>
        </is>
      </c>
    </row>
    <row r="54" ht="22" customHeight="1" s="229">
      <c r="B54" s="869" t="inlineStr">
        <is>
          <t>Data Pending — Verify</t>
        </is>
      </c>
      <c r="C54" s="870" t="n">
        <v>7</v>
      </c>
      <c r="D54" s="870" t="n">
        <v>0</v>
      </c>
      <c r="E54" s="870" t="n">
        <v>0</v>
      </c>
      <c r="F54" s="870" t="inlineStr">
        <is>
          <t>$540,350</t>
        </is>
      </c>
      <c r="G54" s="871" t="inlineStr">
        <is>
          <t>Confirm actual inventory counts before action.</t>
        </is>
      </c>
      <c r="H54" s="872" t="inlineStr">
        <is>
          <t>Verify first</t>
        </is>
      </c>
    </row>
    <row r="55" ht="22" customHeight="1" s="229"/>
    <row r="56" ht="24" customHeight="1" s="229">
      <c r="B56" s="850" t="inlineStr">
        <is>
          <t>TOTAL REMOVE LIST</t>
        </is>
      </c>
      <c r="C56" s="873" t="n">
        <v>445</v>
      </c>
      <c r="D56" s="873" t="n">
        <v>106342</v>
      </c>
      <c r="E56" s="873" t="n">
        <v>1287</v>
      </c>
      <c r="F56" s="873" t="inlineStr">
        <is>
          <t>$1,202,729</t>
        </is>
      </c>
      <c r="G56" s="850" t="n"/>
      <c r="H56" s="874" t="n"/>
    </row>
    <row r="57" ht="22" customHeight="1" s="229"/>
    <row r="58" ht="22" customHeight="1" s="229">
      <c r="B58" s="849" t="inlineStr">
        <is>
          <t>KEY INSIGHT</t>
        </is>
      </c>
      <c r="C58" s="848" t="n"/>
      <c r="D58" s="848" t="n"/>
      <c r="E58" s="848" t="n"/>
      <c r="F58" s="848" t="n"/>
      <c r="G58" s="848" t="n"/>
      <c r="H58" s="848" t="n"/>
    </row>
    <row r="59" ht="40" customHeight="1" s="229">
      <c r="B59" s="875" t="inlineStr">
        <is>
          <t>97% of removal inventory (106,342 units) is already in China warehouses (Yuntu / 菜鸟仓) and can be transferred back to CN market with minimal cost. Only 946 units (~1% of removal stock) are stranded in US warehouses and require flash sale liquidation. Prioritize these 103 US-inventory products immediately for a time-limited flash event to clear capital before the inventory ages further.</t>
        </is>
      </c>
      <c r="C59" s="876" t="n"/>
      <c r="D59" s="876" t="n"/>
      <c r="E59" s="876" t="n"/>
      <c r="F59" s="876" t="n"/>
      <c r="G59" s="876" t="n"/>
      <c r="H59" s="876" t="n"/>
    </row>
    <row r="60" ht="22" customHeight="1" s="229"/>
    <row r="61" ht="22" customHeight="1" s="229"/>
    <row r="62" ht="22" customHeight="1" s="229"/>
    <row r="63" ht="22" customHeight="1" s="229"/>
    <row r="64" ht="22" customHeight="1" s="229"/>
    <row r="65" ht="22" customHeight="1" s="229"/>
    <row r="66" ht="22" customHeight="1" s="229"/>
    <row r="67" ht="22" customHeight="1" s="229"/>
    <row r="68" ht="22" customHeight="1" s="229"/>
    <row r="69" ht="22" customHeight="1" s="229"/>
    <row r="70" ht="22" customHeight="1" s="229"/>
    <row r="71" ht="22" customHeight="1" s="229"/>
    <row r="72" ht="22" customHeight="1" s="229"/>
    <row r="73" ht="22" customHeight="1" s="229"/>
    <row r="74" ht="22" customHeight="1" s="229"/>
    <row r="75" ht="22" customHeight="1" s="229"/>
    <row r="76" ht="22" customHeight="1" s="229"/>
    <row r="77" ht="22" customHeight="1" s="229"/>
    <row r="78" ht="22" customHeight="1" s="229"/>
    <row r="79" ht="22" customHeight="1" s="229"/>
    <row r="80" ht="22" customHeight="1" s="229"/>
    <row r="81" ht="22" customHeight="1" s="229"/>
    <row r="82" ht="22" customHeight="1" s="229"/>
    <row r="83" ht="22" customHeight="1" s="229"/>
    <row r="84" ht="22" customHeight="1" s="229"/>
    <row r="85" ht="22" customHeight="1" s="229"/>
    <row r="86" ht="22" customHeight="1" s="229"/>
    <row r="87" ht="22" customHeight="1" s="229"/>
    <row r="88" ht="22" customHeight="1" s="229"/>
    <row r="89" ht="22" customHeight="1" s="229"/>
    <row r="90" ht="22" customHeight="1" s="229"/>
    <row r="91" ht="22" customHeight="1" s="229"/>
    <row r="92" ht="22" customHeight="1" s="229"/>
    <row r="93" ht="22" customHeight="1" s="229"/>
    <row r="94" ht="22" customHeight="1" s="229"/>
    <row r="95" ht="22" customHeight="1" s="229"/>
    <row r="96" ht="22" customHeight="1" s="229"/>
    <row r="97" ht="22" customHeight="1" s="229"/>
    <row r="98" ht="22" customHeight="1" s="229"/>
    <row r="99" ht="22" customHeight="1" s="229"/>
    <row r="100" ht="22" customHeight="1" s="229"/>
    <row r="101" ht="22" customHeight="1" s="229"/>
    <row r="102" ht="22" customHeight="1" s="229"/>
    <row r="103" ht="22" customHeight="1" s="229"/>
    <row r="104" ht="22" customHeight="1" s="229"/>
    <row r="105" ht="22" customHeight="1" s="229"/>
    <row r="106" ht="22" customHeight="1" s="229"/>
    <row r="107" ht="22" customHeight="1" s="229"/>
    <row r="108" ht="22" customHeight="1" s="229"/>
    <row r="109" ht="22" customHeight="1" s="229"/>
    <row r="110" ht="20" customHeight="1" s="229"/>
    <row r="111" ht="22" customHeight="1" s="229"/>
    <row r="112" ht="19" customHeight="1" s="229"/>
    <row r="113" ht="19" customHeight="1" s="229"/>
    <row r="114" ht="19" customHeight="1" s="229"/>
    <row r="115" ht="19" customHeight="1" s="229"/>
    <row r="116" ht="19" customHeight="1" s="229"/>
    <row r="117" ht="19" customHeight="1" s="229"/>
    <row r="118" ht="19" customHeight="1" s="229"/>
    <row r="119" ht="19" customHeight="1" s="229"/>
    <row r="120" ht="19" customHeight="1" s="229"/>
    <row r="121" ht="19" customHeight="1" s="229"/>
    <row r="122" ht="19" customHeight="1" s="229"/>
    <row r="123" ht="19" customHeight="1" s="229"/>
    <row r="124" ht="19" customHeight="1" s="229"/>
    <row r="125" ht="19" customHeight="1" s="229"/>
    <row r="126" ht="19" customHeight="1" s="229"/>
    <row r="127" ht="19" customHeight="1" s="229"/>
    <row r="128" ht="19" customHeight="1" s="229"/>
    <row r="129" ht="19" customHeight="1" s="229"/>
    <row r="130" ht="19" customHeight="1" s="229"/>
    <row r="131" ht="19" customHeight="1" s="229"/>
    <row r="132" ht="19" customHeight="1" s="229"/>
    <row r="133" ht="19" customHeight="1" s="229"/>
    <row r="134" ht="19" customHeight="1" s="229"/>
    <row r="135" ht="19" customHeight="1" s="229"/>
    <row r="136" ht="19" customHeight="1" s="229"/>
    <row r="137" ht="19" customHeight="1" s="229"/>
    <row r="138" ht="19" customHeight="1" s="229"/>
    <row r="139" ht="19" customHeight="1" s="229"/>
    <row r="140" ht="22" customHeight="1" s="229"/>
    <row r="141" ht="20" customHeight="1" s="229"/>
  </sheetData>
  <pageMargins left="0.7" right="0.7" top="0.75" bottom="0.75" header="0.3" footer="0.3"/>
</worksheet>
</file>

<file path=xl/worksheets/sheet2.xml><?xml version="1.0" encoding="utf-8"?>
<worksheet xmlns="http://schemas.openxmlformats.org/spreadsheetml/2006/main">
  <sheetPr>
    <tabColor rgb="002D6A4F"/>
    <outlinePr summaryBelow="1" summaryRight="1"/>
    <pageSetUpPr/>
  </sheetPr>
  <dimension ref="A1:U31"/>
  <sheetViews>
    <sheetView showGridLines="0" tabSelected="1"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T1" sqref="T1:T1048576"/>
    </sheetView>
  </sheetViews>
  <sheetFormatPr baseColWidth="10" defaultColWidth="9" defaultRowHeight="14"/>
  <cols>
    <col width="4" customWidth="1" style="110" min="1" max="1"/>
    <col width="28" customWidth="1" style="229" min="2" max="2"/>
    <col width="26" customWidth="1" style="229" min="3" max="3"/>
    <col width="20" customWidth="1" style="229" min="4" max="4"/>
    <col width="9" customWidth="1" style="256" min="5" max="5"/>
    <col width="8" customWidth="1" style="256" min="6" max="6"/>
    <col width="8" customWidth="1" style="256" min="7" max="7"/>
    <col width="12" customWidth="1" style="229" min="8" max="8"/>
    <col width="20" customWidth="1" style="229" min="9" max="9"/>
    <col width="11" customWidth="1" style="229" min="10" max="10"/>
    <col width="8" customWidth="1" style="229" min="11" max="11"/>
    <col width="8" customWidth="1" style="229" min="12" max="13"/>
    <col width="7" customWidth="1" style="229" min="13" max="13"/>
    <col width="7" customWidth="1" style="229" min="14" max="14"/>
    <col width="7" customWidth="1" style="229" min="15" max="15"/>
    <col width="7" customWidth="1" style="229" min="16" max="16"/>
    <col width="8" customWidth="1" style="229" min="17" max="17"/>
    <col width="8" customWidth="1" style="229" min="18" max="18"/>
    <col width="9" customWidth="1" style="229" min="19" max="19"/>
    <col width="6" customWidth="1" style="229" min="20" max="20"/>
    <col width="7" customWidth="1" style="229" min="21" max="21"/>
  </cols>
  <sheetData>
    <row r="1" ht="40" customFormat="1" customHeight="1" s="250">
      <c r="A1" s="261" t="inlineStr">
        <is>
          <t>#</t>
        </is>
      </c>
      <c r="B1" s="262" t="inlineStr">
        <is>
          <t>New Name</t>
        </is>
      </c>
      <c r="C1" s="262" t="inlineStr">
        <is>
          <t>Original Name</t>
        </is>
      </c>
      <c r="D1" s="262" t="inlineStr">
        <is>
          <t>中文名</t>
        </is>
      </c>
      <c r="E1" s="261" t="inlineStr">
        <is>
          <t>Category</t>
        </is>
      </c>
      <c r="F1" s="261" t="inlineStr">
        <is>
          <t>List
Price</t>
        </is>
      </c>
      <c r="G1" s="261" t="inlineStr">
        <is>
          <t>Current
Price</t>
        </is>
      </c>
      <c r="H1" s="261" t="inlineStr">
        <is>
          <t>neiwai.life</t>
        </is>
      </c>
      <c r="I1" s="262" t="inlineStr">
        <is>
          <t>Note</t>
        </is>
      </c>
      <c r="J1" s="263" t="inlineStr">
        <is>
          <t>90-Day
Sales</t>
        </is>
      </c>
      <c r="K1" s="263" t="inlineStr">
        <is>
          <t>Units
Sold</t>
        </is>
      </c>
      <c r="L1" s="263" t="inlineStr">
        <is>
          <t>Avg
Price</t>
        </is>
      </c>
      <c r="M1" s="261" t="inlineStr">
        <is>
          <t>Disc %</t>
        </is>
      </c>
      <c r="N1" s="263" t="inlineStr">
        <is>
          <t>US
WH</t>
        </is>
      </c>
      <c r="O1" s="263" t="inlineStr">
        <is>
          <t>Yuntu</t>
        </is>
      </c>
      <c r="P1" s="263" t="inlineStr">
        <is>
          <t>菜鸟仓</t>
        </is>
      </c>
      <c r="Q1" s="263" t="inlineStr">
        <is>
          <t>US
Inv</t>
        </is>
      </c>
      <c r="R1" s="263" t="inlineStr">
        <is>
          <t>Total
Inv</t>
        </is>
      </c>
      <c r="S1" s="263" t="inlineStr">
        <is>
          <t>Est. Inv
Value</t>
        </is>
      </c>
      <c r="T1" s="261" t="inlineStr">
        <is>
          <t>SKUs</t>
        </is>
      </c>
      <c r="U1" s="261" t="inlineStr">
        <is>
          <t>% Sales</t>
        </is>
      </c>
    </row>
    <row r="2" ht="16" customHeight="1" s="229">
      <c r="A2" s="554" t="inlineStr">
        <is>
          <t>BRAS</t>
        </is>
      </c>
      <c r="B2" s="265" t="n"/>
      <c r="C2" s="265" t="n"/>
      <c r="D2" s="265" t="n"/>
      <c r="E2" s="265" t="n"/>
      <c r="F2" s="265" t="n"/>
      <c r="G2" s="265" t="n"/>
      <c r="H2" s="265" t="n"/>
      <c r="I2" s="265" t="n"/>
      <c r="J2" s="265" t="n"/>
      <c r="K2" s="265" t="n"/>
      <c r="L2" s="265" t="n"/>
      <c r="M2" s="265" t="n"/>
      <c r="N2" s="265" t="n"/>
      <c r="O2" s="265" t="n"/>
      <c r="P2" s="265" t="n"/>
      <c r="Q2" s="265" t="n"/>
      <c r="R2" s="265" t="n"/>
      <c r="S2" s="265" t="n"/>
      <c r="T2" s="265" t="n"/>
      <c r="U2" s="265" t="n"/>
    </row>
    <row r="3" ht="18" customHeight="1" s="229">
      <c r="A3" s="266" t="n">
        <v>1</v>
      </c>
      <c r="B3" s="267" t="inlineStr">
        <is>
          <t>Barely Zero Anchored Cup Strap Bra</t>
        </is>
      </c>
      <c r="C3" s="268" t="inlineStr">
        <is>
          <t>Barely Zero Anchored Cup Spaghetti Strap Bra</t>
        </is>
      </c>
      <c r="D3" s="269" t="inlineStr">
        <is>
          <t>云朵无尺码3.0吊带款(半固定胸垫)</t>
        </is>
      </c>
      <c r="E3" s="881" t="inlineStr">
        <is>
          <t>Bra</t>
        </is>
      </c>
      <c r="F3" s="882" t="n">
        <v>39</v>
      </c>
      <c r="G3" s="882" t="n">
        <v>39</v>
      </c>
      <c r="H3" s="272" t="inlineStr">
        <is>
          <t>View on site</t>
        </is>
      </c>
      <c r="I3" s="273" t="inlineStr">
        <is>
          <t>Core Barely Zero</t>
        </is>
      </c>
      <c r="J3" s="274" t="n">
        <v>419478.36</v>
      </c>
      <c r="K3" s="275" t="n">
        <v>15683</v>
      </c>
      <c r="L3" s="274" t="n">
        <v>26.75</v>
      </c>
      <c r="M3" s="276" t="n">
        <v>0.311</v>
      </c>
      <c r="N3" s="275" t="n">
        <v>4119</v>
      </c>
      <c r="O3" s="275" t="n">
        <v>5412</v>
      </c>
      <c r="P3" s="275" t="n">
        <v>0</v>
      </c>
      <c r="Q3" s="275" t="n">
        <v>9531</v>
      </c>
      <c r="R3" s="275" t="n">
        <v>9531</v>
      </c>
      <c r="S3" s="274" t="n">
        <v>95310</v>
      </c>
      <c r="T3" s="881" t="n">
        <v>6</v>
      </c>
      <c r="U3" s="277" t="n">
        <v>0.2304</v>
      </c>
    </row>
    <row r="4" ht="18" customHeight="1" s="229">
      <c r="A4" s="278" t="n">
        <v>2</v>
      </c>
      <c r="B4" s="279" t="inlineStr">
        <is>
          <t>Barely Zero Anchored Cup Signature Bra</t>
        </is>
      </c>
      <c r="C4" s="280" t="inlineStr">
        <is>
          <t>Barely Zero Anchored Cup Classic Bra</t>
        </is>
      </c>
      <c r="D4" s="281" t="inlineStr">
        <is>
          <t>云朵无尺码3.0背心款(半固定胸垫)</t>
        </is>
      </c>
      <c r="E4" s="889" t="inlineStr">
        <is>
          <t>Bra</t>
        </is>
      </c>
      <c r="F4" s="890" t="n">
        <v>39</v>
      </c>
      <c r="G4" s="890" t="n">
        <v>39</v>
      </c>
      <c r="H4" s="284" t="inlineStr">
        <is>
          <t>View on site</t>
        </is>
      </c>
      <c r="I4" s="285" t="inlineStr">
        <is>
          <t>Core Barely Zero</t>
        </is>
      </c>
      <c r="J4" s="286" t="n">
        <v>254364.48</v>
      </c>
      <c r="K4" s="287" t="n">
        <v>9522</v>
      </c>
      <c r="L4" s="286" t="n">
        <v>26.71</v>
      </c>
      <c r="M4" s="288" t="n">
        <v>0.314</v>
      </c>
      <c r="N4" s="287" t="n">
        <v>4588</v>
      </c>
      <c r="O4" s="287" t="n">
        <v>982</v>
      </c>
      <c r="P4" s="287" t="n">
        <v>0</v>
      </c>
      <c r="Q4" s="287" t="n">
        <v>5570</v>
      </c>
      <c r="R4" s="287" t="n">
        <v>5570</v>
      </c>
      <c r="S4" s="286" t="n">
        <v>55700</v>
      </c>
      <c r="T4" s="889" t="n">
        <v>4</v>
      </c>
      <c r="U4" s="289" t="n">
        <v>0.1397</v>
      </c>
    </row>
    <row r="5" ht="18" customHeight="1" s="229">
      <c r="A5" s="266" t="n">
        <v>3</v>
      </c>
      <c r="B5" s="267" t="inlineStr">
        <is>
          <t>Barely Zero Strap Bra</t>
        </is>
      </c>
      <c r="C5" s="268" t="inlineStr">
        <is>
          <t>Barely Zero Spaghetti Strap Bra</t>
        </is>
      </c>
      <c r="D5" s="269" t="inlineStr">
        <is>
          <t>无尺码吊带文胸</t>
        </is>
      </c>
      <c r="E5" s="881" t="inlineStr">
        <is>
          <t>Bra</t>
        </is>
      </c>
      <c r="F5" s="882" t="n">
        <v>39</v>
      </c>
      <c r="G5" s="882" t="n">
        <v>39</v>
      </c>
      <c r="H5" s="272" t="inlineStr">
        <is>
          <t>View on site</t>
        </is>
      </c>
      <c r="I5" s="273" t="inlineStr">
        <is>
          <t>Core Barely Zero</t>
        </is>
      </c>
      <c r="J5" s="274" t="n">
        <v>145168.64</v>
      </c>
      <c r="K5" s="275" t="n">
        <v>5256</v>
      </c>
      <c r="L5" s="274" t="n">
        <v>27.62</v>
      </c>
      <c r="M5" s="276" t="n">
        <v>0.291</v>
      </c>
      <c r="N5" s="275" t="n">
        <v>10808</v>
      </c>
      <c r="O5" s="275" t="n">
        <v>0</v>
      </c>
      <c r="P5" s="275" t="n">
        <v>0</v>
      </c>
      <c r="Q5" s="275" t="n">
        <v>10808</v>
      </c>
      <c r="R5" s="275" t="n">
        <v>10808</v>
      </c>
      <c r="S5" s="274" t="n">
        <v>108080</v>
      </c>
      <c r="T5" s="881" t="n">
        <v>5</v>
      </c>
      <c r="U5" s="277" t="n">
        <v>0.07969999999999999</v>
      </c>
    </row>
    <row r="6" ht="18" customHeight="1" s="229">
      <c r="A6" s="278" t="n">
        <v>4</v>
      </c>
      <c r="B6" s="279" t="inlineStr">
        <is>
          <t>Barely Zero Scallop Bra</t>
        </is>
      </c>
      <c r="C6" s="280" t="inlineStr">
        <is>
          <t>Barely Zero Fixed Cup Wavy Bra</t>
        </is>
      </c>
      <c r="D6" s="281" t="inlineStr">
        <is>
          <t>固定杯吊带款文胸</t>
        </is>
      </c>
      <c r="E6" s="889" t="inlineStr">
        <is>
          <t>Bra</t>
        </is>
      </c>
      <c r="F6" s="890" t="n">
        <v>59</v>
      </c>
      <c r="G6" s="890" t="n">
        <v>49</v>
      </c>
      <c r="H6" s="284" t="inlineStr">
        <is>
          <t>View on site</t>
        </is>
      </c>
      <c r="I6" s="285" t="inlineStr">
        <is>
          <t>Core Barely Zero</t>
        </is>
      </c>
      <c r="J6" s="286" t="n">
        <v>86420.05</v>
      </c>
      <c r="K6" s="287" t="n">
        <v>2594</v>
      </c>
      <c r="L6" s="286" t="n">
        <v>33.32</v>
      </c>
      <c r="M6" s="288" t="n">
        <v>0.314</v>
      </c>
      <c r="N6" s="287" t="n">
        <v>1483</v>
      </c>
      <c r="O6" s="287" t="n">
        <v>1200</v>
      </c>
      <c r="P6" s="287" t="n">
        <v>2639</v>
      </c>
      <c r="Q6" s="287" t="n">
        <v>2683</v>
      </c>
      <c r="R6" s="287" t="n">
        <v>5322</v>
      </c>
      <c r="S6" s="286" t="n">
        <v>53220</v>
      </c>
      <c r="T6" s="889" t="n">
        <v>12</v>
      </c>
      <c r="U6" s="289" t="n">
        <v>0.0475</v>
      </c>
    </row>
    <row r="7" ht="18" customHeight="1" s="229">
      <c r="A7" s="266" t="n">
        <v>5</v>
      </c>
      <c r="B7" s="267" t="inlineStr">
        <is>
          <t>Barely Zero Scallop Clasp Bra</t>
        </is>
      </c>
      <c r="C7" s="268" t="inlineStr">
        <is>
          <t>Barely Zero Fixed Cup Wavy Clasp Bra</t>
        </is>
      </c>
      <c r="D7" s="269" t="inlineStr">
        <is>
          <t>抱抱杯背扣文胸（美国）</t>
        </is>
      </c>
      <c r="E7" s="881" t="inlineStr">
        <is>
          <t>Bra</t>
        </is>
      </c>
      <c r="F7" s="882" t="n">
        <v>59</v>
      </c>
      <c r="G7" s="882" t="n">
        <v>59</v>
      </c>
      <c r="H7" s="272" t="inlineStr">
        <is>
          <t>View on site</t>
        </is>
      </c>
      <c r="I7" s="273" t="inlineStr">
        <is>
          <t>Core Barely Zero</t>
        </is>
      </c>
      <c r="J7" s="274" t="n">
        <v>82444.25</v>
      </c>
      <c r="K7" s="275" t="n">
        <v>1984</v>
      </c>
      <c r="L7" s="274" t="n">
        <v>41.55</v>
      </c>
      <c r="M7" s="276" t="n">
        <v>0.292</v>
      </c>
      <c r="N7" s="275" t="n">
        <v>0</v>
      </c>
      <c r="O7" s="275" t="n">
        <v>534</v>
      </c>
      <c r="P7" s="275" t="n">
        <v>0</v>
      </c>
      <c r="Q7" s="275" t="n">
        <v>534</v>
      </c>
      <c r="R7" s="275" t="n">
        <v>534</v>
      </c>
      <c r="S7" s="274" t="n">
        <v>5340</v>
      </c>
      <c r="T7" s="881" t="n">
        <v>8</v>
      </c>
      <c r="U7" s="277" t="n">
        <v>0.0453</v>
      </c>
    </row>
    <row r="8" ht="18" customHeight="1" s="229">
      <c r="A8" s="278" t="n">
        <v>6</v>
      </c>
      <c r="B8" s="279" t="inlineStr">
        <is>
          <t>Barely Zero Camisole</t>
        </is>
      </c>
      <c r="C8" s="280" t="inlineStr">
        <is>
          <t>Barely Zero Camisole</t>
        </is>
      </c>
      <c r="D8" s="281" t="inlineStr">
        <is>
          <t>云朵带胸垫吊带背心</t>
        </is>
      </c>
      <c r="E8" s="889" t="inlineStr">
        <is>
          <t>Bra</t>
        </is>
      </c>
      <c r="F8" s="890" t="n">
        <v>49</v>
      </c>
      <c r="G8" s="890" t="n">
        <v>49</v>
      </c>
      <c r="H8" s="284" t="inlineStr">
        <is>
          <t>View on site</t>
        </is>
      </c>
      <c r="I8" s="285" t="inlineStr">
        <is>
          <t>Core Barely Zero</t>
        </is>
      </c>
      <c r="J8" s="286" t="n">
        <v>50143.79</v>
      </c>
      <c r="K8" s="287" t="n">
        <v>1460</v>
      </c>
      <c r="L8" s="286" t="n">
        <v>34.35</v>
      </c>
      <c r="M8" s="288" t="n">
        <v>0.295</v>
      </c>
      <c r="N8" s="287" t="n">
        <v>14</v>
      </c>
      <c r="O8" s="287" t="n">
        <v>472</v>
      </c>
      <c r="P8" s="287" t="n">
        <v>0</v>
      </c>
      <c r="Q8" s="287" t="n">
        <v>486</v>
      </c>
      <c r="R8" s="287" t="n">
        <v>486</v>
      </c>
      <c r="S8" s="286" t="n">
        <v>4860</v>
      </c>
      <c r="T8" s="889" t="n">
        <v>4</v>
      </c>
      <c r="U8" s="289" t="n">
        <v>0.0275</v>
      </c>
    </row>
    <row r="9" ht="18" customHeight="1" s="229">
      <c r="A9" s="266" t="n">
        <v>7</v>
      </c>
      <c r="B9" s="267" t="inlineStr">
        <is>
          <t>Barely Zero Curvy Clasp Bra</t>
        </is>
      </c>
      <c r="C9" s="268" t="inlineStr">
        <is>
          <t>Barely Zero Fixed Cup Clasp Bra</t>
        </is>
      </c>
      <c r="D9" s="269" t="inlineStr">
        <is>
          <t>软支撑吊带款文胸</t>
        </is>
      </c>
      <c r="E9" s="881" t="inlineStr">
        <is>
          <t>Bra</t>
        </is>
      </c>
      <c r="F9" s="882" t="n">
        <v>49</v>
      </c>
      <c r="G9" s="882" t="n">
        <v>49</v>
      </c>
      <c r="H9" s="272" t="inlineStr">
        <is>
          <t>View on site</t>
        </is>
      </c>
      <c r="I9" s="273" t="inlineStr">
        <is>
          <t>Core Barely Zero</t>
        </is>
      </c>
      <c r="J9" s="274" t="n">
        <v>50076.04</v>
      </c>
      <c r="K9" s="275" t="n">
        <v>1459</v>
      </c>
      <c r="L9" s="274" t="n">
        <v>34.32</v>
      </c>
      <c r="M9" s="276" t="n">
        <v>0.297</v>
      </c>
      <c r="N9" s="275" t="n">
        <v>1502</v>
      </c>
      <c r="O9" s="275" t="n">
        <v>15</v>
      </c>
      <c r="P9" s="275" t="n">
        <v>499</v>
      </c>
      <c r="Q9" s="275" t="n">
        <v>1517</v>
      </c>
      <c r="R9" s="275" t="n">
        <v>2016</v>
      </c>
      <c r="S9" s="274" t="n">
        <v>20160</v>
      </c>
      <c r="T9" s="881" t="n">
        <v>6</v>
      </c>
      <c r="U9" s="277" t="n">
        <v>0.0275</v>
      </c>
    </row>
    <row r="10" ht="18" customHeight="1" s="229">
      <c r="A10" s="278" t="n">
        <v>8</v>
      </c>
      <c r="B10" s="279" t="inlineStr">
        <is>
          <t>Barely Zero Curvy Bra</t>
        </is>
      </c>
      <c r="C10" s="280" t="inlineStr">
        <is>
          <t>Barely Zero Anchored Cup Curve Bra</t>
        </is>
      </c>
      <c r="D10" s="281" t="inlineStr">
        <is>
          <t>云朵固定杯丰盈文胸（美国）</t>
        </is>
      </c>
      <c r="E10" s="889" t="inlineStr">
        <is>
          <t>Bra</t>
        </is>
      </c>
      <c r="F10" s="890" t="n">
        <v>49</v>
      </c>
      <c r="G10" s="890" t="n">
        <v>49</v>
      </c>
      <c r="H10" s="284" t="inlineStr">
        <is>
          <t>View on site</t>
        </is>
      </c>
      <c r="I10" s="285" t="inlineStr">
        <is>
          <t>Core Barely Zero</t>
        </is>
      </c>
      <c r="J10" s="286" t="n">
        <v>34119.51</v>
      </c>
      <c r="K10" s="287" t="n">
        <v>971</v>
      </c>
      <c r="L10" s="286" t="n">
        <v>35.14</v>
      </c>
      <c r="M10" s="288" t="n">
        <v>0.281</v>
      </c>
      <c r="N10" s="287" t="n">
        <v>0</v>
      </c>
      <c r="O10" s="287" t="n">
        <v>1128</v>
      </c>
      <c r="P10" s="287" t="n">
        <v>0</v>
      </c>
      <c r="Q10" s="287" t="n">
        <v>1128</v>
      </c>
      <c r="R10" s="287" t="n">
        <v>1128</v>
      </c>
      <c r="S10" s="286" t="n">
        <v>11280</v>
      </c>
      <c r="T10" s="889" t="n">
        <v>3</v>
      </c>
      <c r="U10" s="289" t="n">
        <v>0.0187</v>
      </c>
    </row>
    <row r="11" ht="18" customHeight="1" s="229">
      <c r="A11" s="266" t="n">
        <v>9</v>
      </c>
      <c r="B11" s="267" t="inlineStr">
        <is>
          <t>Barely Zero Curve Extra Support Bra</t>
        </is>
      </c>
      <c r="C11" s="268" t="inlineStr">
        <is>
          <t>Barely Zero Curve Extra Support Bra</t>
        </is>
      </c>
      <c r="D11" s="269" t="inlineStr">
        <is>
          <t>均码文胸大胸加强款</t>
        </is>
      </c>
      <c r="E11" s="881" t="inlineStr">
        <is>
          <t>Bra</t>
        </is>
      </c>
      <c r="F11" s="882" t="n">
        <v>49</v>
      </c>
      <c r="G11" s="882" t="n">
        <v>49</v>
      </c>
      <c r="H11" s="272" t="inlineStr">
        <is>
          <t>View on site</t>
        </is>
      </c>
      <c r="I11" s="273" t="inlineStr">
        <is>
          <t>Core Barely Zero</t>
        </is>
      </c>
      <c r="J11" s="274" t="n">
        <v>15267.95</v>
      </c>
      <c r="K11" s="275" t="n">
        <v>454</v>
      </c>
      <c r="L11" s="274" t="n">
        <v>33.63</v>
      </c>
      <c r="M11" s="276" t="n">
        <v>0.311</v>
      </c>
      <c r="N11" s="275" t="n">
        <v>593</v>
      </c>
      <c r="O11" s="275" t="n">
        <v>46</v>
      </c>
      <c r="P11" s="275" t="n">
        <v>1697</v>
      </c>
      <c r="Q11" s="275" t="n">
        <v>639</v>
      </c>
      <c r="R11" s="275" t="n">
        <v>2336</v>
      </c>
      <c r="S11" s="274" t="n">
        <v>23360</v>
      </c>
      <c r="T11" s="881" t="n">
        <v>2</v>
      </c>
      <c r="U11" s="277" t="n">
        <v>0.008399999999999999</v>
      </c>
    </row>
    <row r="12" ht="18" customHeight="1" s="229">
      <c r="A12" s="278" t="n">
        <v>10</v>
      </c>
      <c r="B12" s="279" t="inlineStr">
        <is>
          <t>Barely Zero Breeze Bra</t>
        </is>
      </c>
      <c r="C12" s="280" t="inlineStr">
        <is>
          <t>Barely Zero Cooling Clasp Bra</t>
        </is>
      </c>
      <c r="D12" s="281" t="inlineStr">
        <is>
          <t>云朵针织真丝吊带背扣文胸</t>
        </is>
      </c>
      <c r="E12" s="889" t="inlineStr">
        <is>
          <t>Bra</t>
        </is>
      </c>
      <c r="F12" s="890" t="n">
        <v>55</v>
      </c>
      <c r="G12" s="890" t="n">
        <v>55</v>
      </c>
      <c r="H12" s="284" t="inlineStr">
        <is>
          <t>View on site</t>
        </is>
      </c>
      <c r="I12" s="285" t="inlineStr">
        <is>
          <t>Core Barely Zero</t>
        </is>
      </c>
      <c r="J12" s="286" t="n">
        <v>629.9299999999999</v>
      </c>
      <c r="K12" s="287" t="n">
        <v>14</v>
      </c>
      <c r="L12" s="286" t="n">
        <v>45</v>
      </c>
      <c r="M12" s="290" t="n">
        <v>0.182</v>
      </c>
      <c r="N12" s="287" t="n">
        <v>0</v>
      </c>
      <c r="O12" s="287" t="n">
        <v>355</v>
      </c>
      <c r="P12" s="287" t="n">
        <v>0</v>
      </c>
      <c r="Q12" s="287" t="n">
        <v>355</v>
      </c>
      <c r="R12" s="287" t="n">
        <v>355</v>
      </c>
      <c r="S12" s="286" t="n">
        <v>3550</v>
      </c>
      <c r="T12" s="889" t="n">
        <v>4</v>
      </c>
      <c r="U12" s="289" t="n">
        <v>0.0003</v>
      </c>
    </row>
    <row r="13" ht="18" customHeight="1" s="229">
      <c r="A13" s="266" t="n">
        <v>11</v>
      </c>
      <c r="B13" s="267" t="inlineStr">
        <is>
          <t xml:space="preserve">Pure Comfort Triangle Bra </t>
        </is>
      </c>
      <c r="C13" s="268" t="inlineStr">
        <is>
          <t>Pure Comfort Soft Modal Triangle Bra 4.0</t>
        </is>
      </c>
      <c r="D13" s="269" t="inlineStr">
        <is>
          <t>零敏玲珑文胸</t>
        </is>
      </c>
      <c r="E13" s="881" t="inlineStr">
        <is>
          <t>Bra</t>
        </is>
      </c>
      <c r="F13" s="882" t="n">
        <v>49</v>
      </c>
      <c r="G13" s="882" t="n">
        <v>49</v>
      </c>
      <c r="H13" s="272" t="inlineStr">
        <is>
          <t>View on site</t>
        </is>
      </c>
      <c r="I13" s="273" t="inlineStr">
        <is>
          <t>Strategic non-BZ keeper</t>
        </is>
      </c>
      <c r="J13" s="274" t="n">
        <v>21129.31</v>
      </c>
      <c r="K13" s="275" t="n">
        <v>582</v>
      </c>
      <c r="L13" s="274" t="n">
        <v>36.3</v>
      </c>
      <c r="M13" s="276" t="n">
        <v>0.252</v>
      </c>
      <c r="N13" s="275" t="n">
        <v>0</v>
      </c>
      <c r="O13" s="275" t="n">
        <v>631</v>
      </c>
      <c r="P13" s="275" t="n">
        <v>0</v>
      </c>
      <c r="Q13" s="275" t="n">
        <v>631</v>
      </c>
      <c r="R13" s="275" t="n">
        <v>631</v>
      </c>
      <c r="S13" s="274" t="n">
        <v>6310</v>
      </c>
      <c r="T13" s="881" t="n">
        <v>14</v>
      </c>
      <c r="U13" s="277" t="n">
        <v>0.0116</v>
      </c>
    </row>
    <row r="14" ht="18" customHeight="1" s="229">
      <c r="A14" s="278" t="n">
        <v>12</v>
      </c>
      <c r="B14" s="279" t="inlineStr">
        <is>
          <t xml:space="preserve">Pure Comfort Bandeau Bra </t>
        </is>
      </c>
      <c r="C14" s="280" t="inlineStr">
        <is>
          <t>Pure Comfort 5/8 Cup Bandeau Bra 2.0</t>
        </is>
      </c>
      <c r="D14" s="281" t="inlineStr">
        <is>
          <t>零敏丰盈文胸</t>
        </is>
      </c>
      <c r="E14" s="889" t="inlineStr">
        <is>
          <t>Bra</t>
        </is>
      </c>
      <c r="F14" s="890" t="n">
        <v>39</v>
      </c>
      <c r="G14" s="890" t="n">
        <v>38</v>
      </c>
      <c r="H14" s="284" t="inlineStr">
        <is>
          <t>View on site</t>
        </is>
      </c>
      <c r="I14" s="285" t="inlineStr">
        <is>
          <t>Strategic non-BZ keeper</t>
        </is>
      </c>
      <c r="J14" s="286" t="n">
        <v>1028.18</v>
      </c>
      <c r="K14" s="287" t="n">
        <v>35</v>
      </c>
      <c r="L14" s="286" t="n">
        <v>29.38</v>
      </c>
      <c r="M14" s="290" t="n">
        <v>0.232</v>
      </c>
      <c r="N14" s="287" t="n">
        <v>36</v>
      </c>
      <c r="O14" s="287" t="n">
        <v>109</v>
      </c>
      <c r="P14" s="287" t="n">
        <v>571</v>
      </c>
      <c r="Q14" s="287" t="n">
        <v>145</v>
      </c>
      <c r="R14" s="287" t="n">
        <v>716</v>
      </c>
      <c r="S14" s="286" t="n">
        <v>7160</v>
      </c>
      <c r="T14" s="889" t="n">
        <v>22</v>
      </c>
      <c r="U14" s="289" t="n">
        <v>0.0005999999999999999</v>
      </c>
    </row>
    <row r="15" ht="18" customHeight="1" s="229">
      <c r="A15" s="266" t="n">
        <v>13</v>
      </c>
      <c r="B15" s="267" t="inlineStr">
        <is>
          <t>Bandeau Bra</t>
        </is>
      </c>
      <c r="C15" s="268" t="inlineStr">
        <is>
          <t>Bandeau Bra</t>
        </is>
      </c>
      <c r="D15" s="269" t="inlineStr">
        <is>
          <t>零忧防滑抹胸</t>
        </is>
      </c>
      <c r="E15" s="881" t="inlineStr">
        <is>
          <t>Bra</t>
        </is>
      </c>
      <c r="F15" s="882" t="n">
        <v>39</v>
      </c>
      <c r="G15" s="882" t="n">
        <v>38</v>
      </c>
      <c r="H15" s="272" t="inlineStr">
        <is>
          <t>View on site</t>
        </is>
      </c>
      <c r="I15" s="273" t="inlineStr">
        <is>
          <t>Strategic non-BZ keeper</t>
        </is>
      </c>
      <c r="J15" s="274" t="n">
        <v>18885.88</v>
      </c>
      <c r="K15" s="275" t="n">
        <v>676</v>
      </c>
      <c r="L15" s="274" t="n">
        <v>27.94</v>
      </c>
      <c r="M15" s="276" t="n">
        <v>0.259</v>
      </c>
      <c r="N15" s="275" t="n">
        <v>317</v>
      </c>
      <c r="O15" s="275" t="n">
        <v>0</v>
      </c>
      <c r="P15" s="275" t="n">
        <v>0</v>
      </c>
      <c r="Q15" s="275" t="n">
        <v>317</v>
      </c>
      <c r="R15" s="275" t="n">
        <v>317</v>
      </c>
      <c r="S15" s="274" t="n">
        <v>3170</v>
      </c>
      <c r="T15" s="881" t="n">
        <v>12</v>
      </c>
      <c r="U15" s="277" t="n">
        <v>0.0104</v>
      </c>
    </row>
    <row r="16" ht="18" customHeight="1" s="229">
      <c r="A16" s="278" t="n">
        <v>14</v>
      </c>
      <c r="B16" s="279" t="inlineStr">
        <is>
          <t xml:space="preserve">Essential Bandeau Bra </t>
        </is>
      </c>
      <c r="C16" s="280" t="inlineStr">
        <is>
          <t>Essential Bandeau Bra 3.0</t>
        </is>
      </c>
      <c r="D16" s="281" t="inlineStr">
        <is>
          <t>网纱拼接抹胸</t>
        </is>
      </c>
      <c r="E16" s="889" t="inlineStr">
        <is>
          <t>Bra</t>
        </is>
      </c>
      <c r="F16" s="890" t="n">
        <v>55</v>
      </c>
      <c r="G16" s="890" t="n">
        <v>55</v>
      </c>
      <c r="H16" s="284" t="inlineStr">
        <is>
          <t>View on site</t>
        </is>
      </c>
      <c r="I16" s="285" t="inlineStr">
        <is>
          <t>Strategic non-BZ keeper</t>
        </is>
      </c>
      <c r="J16" s="286" t="n">
        <v>1710.5</v>
      </c>
      <c r="K16" s="287" t="n">
        <v>42</v>
      </c>
      <c r="L16" s="286" t="n">
        <v>40.73</v>
      </c>
      <c r="M16" s="288" t="n">
        <v>0.268</v>
      </c>
      <c r="N16" s="287" t="n">
        <v>5</v>
      </c>
      <c r="O16" s="287" t="n">
        <v>0</v>
      </c>
      <c r="P16" s="287" t="n">
        <v>329</v>
      </c>
      <c r="Q16" s="287" t="n">
        <v>5</v>
      </c>
      <c r="R16" s="287" t="n">
        <v>334</v>
      </c>
      <c r="S16" s="286" t="n">
        <v>3340</v>
      </c>
      <c r="T16" s="889" t="n">
        <v>4</v>
      </c>
      <c r="U16" s="289" t="n">
        <v>0.0009</v>
      </c>
    </row>
    <row r="17" ht="18" customHeight="1" s="229">
      <c r="A17" s="266" t="n">
        <v>15</v>
      </c>
      <c r="B17" s="267" t="inlineStr">
        <is>
          <t>Swan Bra</t>
        </is>
      </c>
      <c r="C17" s="268" t="inlineStr">
        <is>
          <t>Swan Cup V-Line Bra</t>
        </is>
      </c>
      <c r="D17" s="269" t="inlineStr">
        <is>
          <t>软支撑2.0浮浮深V文胸</t>
        </is>
      </c>
      <c r="E17" s="881" t="inlineStr">
        <is>
          <t>Bra</t>
        </is>
      </c>
      <c r="F17" s="882" t="n">
        <v>45</v>
      </c>
      <c r="G17" s="882" t="n">
        <v>45</v>
      </c>
      <c r="H17" s="272" t="inlineStr">
        <is>
          <t>View on site</t>
        </is>
      </c>
      <c r="I17" s="273" t="inlineStr">
        <is>
          <t>Strong sales, 0 菜鸟 inventory</t>
        </is>
      </c>
      <c r="J17" s="274" t="n">
        <v>6872.83</v>
      </c>
      <c r="K17" s="275" t="n">
        <v>207</v>
      </c>
      <c r="L17" s="274" t="n">
        <v>33.2</v>
      </c>
      <c r="M17" s="276" t="n">
        <v>0.263</v>
      </c>
      <c r="N17" s="275" t="n">
        <v>7</v>
      </c>
      <c r="O17" s="275" t="n">
        <v>120</v>
      </c>
      <c r="P17" s="275" t="n">
        <v>0</v>
      </c>
      <c r="Q17" s="275" t="n">
        <v>127</v>
      </c>
      <c r="R17" s="275" t="n">
        <v>127</v>
      </c>
      <c r="S17" s="274" t="n">
        <v>1270</v>
      </c>
      <c r="T17" s="881" t="n">
        <v>14</v>
      </c>
      <c r="U17" s="277" t="n">
        <v>0.0038</v>
      </c>
    </row>
    <row r="18" ht="18" customHeight="1" s="229">
      <c r="A18" s="278" t="n">
        <v>16</v>
      </c>
      <c r="B18" s="279" t="inlineStr">
        <is>
          <t>UltraFlex Bra</t>
        </is>
      </c>
      <c r="C18" s="280" t="inlineStr">
        <is>
          <t>UltraFlex Cotton Triangle Cup Bra</t>
        </is>
      </c>
      <c r="D18" s="281" t="inlineStr">
        <is>
          <t>好弹棉质三角杯文胸</t>
        </is>
      </c>
      <c r="E18" s="889" t="inlineStr">
        <is>
          <t>Bra</t>
        </is>
      </c>
      <c r="F18" s="890" t="n">
        <v>45</v>
      </c>
      <c r="G18" s="890" t="n">
        <v>45</v>
      </c>
      <c r="H18" s="284" t="inlineStr">
        <is>
          <t>View on site</t>
        </is>
      </c>
      <c r="I18" s="285" t="inlineStr">
        <is>
          <t>UltraFlex collection popular, 0 菜鸟</t>
        </is>
      </c>
      <c r="J18" s="286" t="n">
        <v>5957.14</v>
      </c>
      <c r="K18" s="287" t="n">
        <v>175</v>
      </c>
      <c r="L18" s="286" t="n">
        <v>34.04</v>
      </c>
      <c r="M18" s="290" t="n">
        <v>0.244</v>
      </c>
      <c r="N18" s="287" t="n">
        <v>9</v>
      </c>
      <c r="O18" s="287" t="n">
        <v>176</v>
      </c>
      <c r="P18" s="287" t="n">
        <v>0</v>
      </c>
      <c r="Q18" s="287" t="n">
        <v>185</v>
      </c>
      <c r="R18" s="287" t="n">
        <v>185</v>
      </c>
      <c r="S18" s="286" t="n">
        <v>1850</v>
      </c>
      <c r="T18" s="889" t="n">
        <v>12</v>
      </c>
      <c r="U18" s="289" t="n">
        <v>0.0033</v>
      </c>
    </row>
    <row r="19" ht="18" customHeight="1" s="229">
      <c r="A19" s="266" t="n">
        <v>17</v>
      </c>
      <c r="B19" s="267" t="inlineStr">
        <is>
          <t>Featherlight Push Up Bra</t>
        </is>
      </c>
      <c r="C19" s="268" t="inlineStr">
        <is>
          <t>Featherlight Push Up Bra</t>
        </is>
      </c>
      <c r="D19" s="269" t="inlineStr">
        <is>
          <t>零压聚拢模杯文胸</t>
        </is>
      </c>
      <c r="E19" s="881" t="inlineStr">
        <is>
          <t>Bra</t>
        </is>
      </c>
      <c r="F19" s="882" t="n">
        <v>49</v>
      </c>
      <c r="G19" s="882" t="n">
        <v>49</v>
      </c>
      <c r="H19" s="272" t="inlineStr">
        <is>
          <t>View on site</t>
        </is>
      </c>
      <c r="I19" s="273" t="inlineStr">
        <is>
          <t>售罄，补货在途 | Sold out, restock incoming 315 pcs</t>
        </is>
      </c>
      <c r="J19" s="274" t="n">
        <v>7063.5</v>
      </c>
      <c r="K19" s="275" t="n">
        <v>188</v>
      </c>
      <c r="L19" s="274" t="n">
        <v>37.57</v>
      </c>
      <c r="M19" s="291" t="n">
        <v>0.23</v>
      </c>
      <c r="N19" s="275" t="n">
        <v>4</v>
      </c>
      <c r="O19" s="275" t="n">
        <v>0</v>
      </c>
      <c r="P19" s="275" t="n">
        <v>0</v>
      </c>
      <c r="Q19" s="275" t="n">
        <v>4</v>
      </c>
      <c r="R19" s="275" t="n">
        <v>4</v>
      </c>
      <c r="S19" s="274" t="n">
        <v>40</v>
      </c>
      <c r="T19" s="881" t="n">
        <v>8</v>
      </c>
      <c r="U19" s="277" t="n">
        <v>0.0039</v>
      </c>
    </row>
    <row r="20" ht="16" customHeight="1" s="229">
      <c r="A20" s="292" t="inlineStr">
        <is>
          <t>BRIEFS</t>
        </is>
      </c>
      <c r="B20" s="293" t="n"/>
      <c r="C20" s="293" t="n"/>
      <c r="D20" s="293" t="n"/>
      <c r="E20" s="293" t="n"/>
      <c r="F20" s="293" t="n"/>
      <c r="G20" s="293" t="n"/>
      <c r="H20" s="293" t="n"/>
      <c r="I20" s="293" t="n"/>
      <c r="J20" s="293" t="n"/>
      <c r="K20" s="293" t="n"/>
      <c r="L20" s="293" t="n"/>
      <c r="M20" s="293" t="n"/>
      <c r="N20" s="293" t="n"/>
      <c r="O20" s="293" t="n"/>
      <c r="P20" s="293" t="n"/>
      <c r="Q20" s="293" t="n"/>
      <c r="R20" s="293" t="n"/>
      <c r="S20" s="293" t="n"/>
      <c r="T20" s="293" t="n"/>
      <c r="U20" s="293" t="n"/>
    </row>
    <row r="21" ht="18" customHeight="1" s="229">
      <c r="A21" s="294" t="n">
        <v>18</v>
      </c>
      <c r="B21" s="295" t="inlineStr">
        <is>
          <t>Barely Zero Superlight Brief</t>
        </is>
      </c>
      <c r="C21" s="296" t="n"/>
      <c r="D21" s="297" t="n"/>
      <c r="E21" s="298" t="inlineStr">
        <is>
          <t>Brief</t>
        </is>
      </c>
      <c r="F21" s="299" t="n"/>
      <c r="G21" s="299" t="n"/>
      <c r="H21" s="300" t="inlineStr">
        <is>
          <t>neiwai.life</t>
        </is>
      </c>
      <c r="I21" s="301" t="n"/>
      <c r="J21" s="302" t="n"/>
      <c r="K21" s="303" t="n"/>
      <c r="L21" s="302" t="n"/>
      <c r="M21" s="298" t="n"/>
      <c r="N21" s="303" t="n"/>
      <c r="O21" s="303" t="n"/>
      <c r="P21" s="303" t="n"/>
      <c r="Q21" s="303" t="n"/>
      <c r="R21" s="303" t="n"/>
      <c r="S21" s="302" t="n"/>
      <c r="T21" s="298" t="n"/>
      <c r="U21" s="298" t="n"/>
    </row>
    <row r="22" ht="18" customHeight="1" s="229">
      <c r="A22" s="304" t="n">
        <v>19</v>
      </c>
      <c r="B22" s="305" t="inlineStr">
        <is>
          <t>Barely Zero Low Waist Brief</t>
        </is>
      </c>
      <c r="C22" s="306" t="inlineStr">
        <is>
          <t>Barely Zero Low Waist Brief</t>
        </is>
      </c>
      <c r="D22" s="307" t="inlineStr">
        <is>
          <t>轻薄均码内裤</t>
        </is>
      </c>
      <c r="E22" s="308" t="inlineStr">
        <is>
          <t>Brief</t>
        </is>
      </c>
      <c r="F22" s="309" t="n">
        <v>15</v>
      </c>
      <c r="G22" s="309" t="n">
        <v>15</v>
      </c>
      <c r="H22" s="310" t="inlineStr">
        <is>
          <t>View on site</t>
        </is>
      </c>
      <c r="I22" s="311" t="inlineStr">
        <is>
          <t>Core Barely Zero</t>
        </is>
      </c>
      <c r="J22" s="312" t="n">
        <v>25639.71</v>
      </c>
      <c r="K22" s="313" t="n">
        <v>2484</v>
      </c>
      <c r="L22" s="312" t="n">
        <v>10.32</v>
      </c>
      <c r="M22" s="314" t="n">
        <v>0.312</v>
      </c>
      <c r="N22" s="313" t="n">
        <v>3064</v>
      </c>
      <c r="O22" s="313" t="n">
        <v>0</v>
      </c>
      <c r="P22" s="313" t="n">
        <v>0</v>
      </c>
      <c r="Q22" s="313" t="n">
        <v>3064</v>
      </c>
      <c r="R22" s="313" t="n">
        <v>3064</v>
      </c>
      <c r="S22" s="312" t="n">
        <v>30640</v>
      </c>
      <c r="T22" s="308" t="n">
        <v>6</v>
      </c>
      <c r="U22" s="315" t="n">
        <v>0.0141</v>
      </c>
    </row>
    <row r="23" ht="18" customHeight="1" s="229">
      <c r="A23" s="294" t="n">
        <v>20</v>
      </c>
      <c r="B23" s="295" t="inlineStr">
        <is>
          <t xml:space="preserve">Barely Zero Mid Waist Brief </t>
        </is>
      </c>
      <c r="C23" s="296" t="inlineStr">
        <is>
          <t>Barely Zero Mid Waist Brief 2.0</t>
        </is>
      </c>
      <c r="D23" s="297" t="inlineStr">
        <is>
          <t>少尺码贴合中腰内裤</t>
        </is>
      </c>
      <c r="E23" s="298" t="inlineStr">
        <is>
          <t>Brief</t>
        </is>
      </c>
      <c r="F23" s="299" t="n">
        <v>19</v>
      </c>
      <c r="G23" s="299" t="n">
        <v>19</v>
      </c>
      <c r="H23" s="300" t="inlineStr">
        <is>
          <t>View on site</t>
        </is>
      </c>
      <c r="I23" s="301" t="inlineStr">
        <is>
          <t>Core Barely Zero</t>
        </is>
      </c>
      <c r="J23" s="302" t="n">
        <v>23303.3</v>
      </c>
      <c r="K23" s="303" t="n">
        <v>1811</v>
      </c>
      <c r="L23" s="302" t="n">
        <v>12.87</v>
      </c>
      <c r="M23" s="316" t="n">
        <v>0.323</v>
      </c>
      <c r="N23" s="303" t="n">
        <v>1611</v>
      </c>
      <c r="O23" s="303" t="n">
        <v>0</v>
      </c>
      <c r="P23" s="303" t="n">
        <v>0</v>
      </c>
      <c r="Q23" s="303" t="n">
        <v>1611</v>
      </c>
      <c r="R23" s="303" t="n">
        <v>1611</v>
      </c>
      <c r="S23" s="302" t="n">
        <v>16110</v>
      </c>
      <c r="T23" s="298" t="n">
        <v>13</v>
      </c>
      <c r="U23" s="317" t="n">
        <v>0.0128</v>
      </c>
    </row>
    <row r="24" ht="18" customHeight="1" s="229">
      <c r="A24" s="304" t="n">
        <v>21</v>
      </c>
      <c r="B24" s="305" t="inlineStr">
        <is>
          <t>UltraFlex Light Brief 3-Pack</t>
        </is>
      </c>
      <c r="C24" s="306" t="inlineStr">
        <is>
          <t>UltraFlex Light Mid Waist Brief 3-Pack</t>
        </is>
      </c>
      <c r="D24" s="307" t="inlineStr">
        <is>
          <t>好弹超轻中腰内裤3条装</t>
        </is>
      </c>
      <c r="E24" s="308" t="inlineStr">
        <is>
          <t>Brief</t>
        </is>
      </c>
      <c r="F24" s="309" t="n">
        <v>30</v>
      </c>
      <c r="G24" s="309" t="n">
        <v>30</v>
      </c>
      <c r="H24" s="310" t="inlineStr">
        <is>
          <t>View on site</t>
        </is>
      </c>
      <c r="I24" s="311" t="inlineStr">
        <is>
          <t>UltraFlex collection — 3-pack brief retained</t>
        </is>
      </c>
      <c r="J24" s="312" t="n">
        <v>3198.4</v>
      </c>
      <c r="K24" s="313" t="n">
        <v>140</v>
      </c>
      <c r="L24" s="312" t="n">
        <v>22.85</v>
      </c>
      <c r="M24" s="318" t="n">
        <v>0.239</v>
      </c>
      <c r="N24" s="313" t="n">
        <v>0</v>
      </c>
      <c r="O24" s="313" t="n">
        <v>20</v>
      </c>
      <c r="P24" s="313" t="n">
        <v>0</v>
      </c>
      <c r="Q24" s="313" t="n">
        <v>20</v>
      </c>
      <c r="R24" s="313" t="n">
        <v>20</v>
      </c>
      <c r="S24" s="312" t="n">
        <v>200</v>
      </c>
      <c r="T24" s="308" t="n">
        <v>8</v>
      </c>
      <c r="U24" s="315" t="n">
        <v>0.0018</v>
      </c>
    </row>
    <row r="25" ht="18" customHeight="1" s="229">
      <c r="A25" s="294" t="n">
        <v>22</v>
      </c>
      <c r="B25" s="295" t="inlineStr">
        <is>
          <t>UltraFlex Cotton Brief 3-Pack</t>
        </is>
      </c>
      <c r="C25" s="296" t="inlineStr">
        <is>
          <t>UltraFlex Cotton Mid Waist Briefs (3-Pack)</t>
        </is>
      </c>
      <c r="D25" s="297" t="n"/>
      <c r="E25" s="298" t="inlineStr">
        <is>
          <t>Brief</t>
        </is>
      </c>
      <c r="F25" s="299" t="n">
        <v>39</v>
      </c>
      <c r="G25" s="299" t="n">
        <v>39</v>
      </c>
      <c r="H25" s="300" t="inlineStr">
        <is>
          <t>View on site</t>
        </is>
      </c>
      <c r="I25" s="301" t="inlineStr">
        <is>
          <t>UltraFlex collection — 3-pack brief retained</t>
        </is>
      </c>
      <c r="J25" s="302" t="n">
        <v>1361.7</v>
      </c>
      <c r="K25" s="303" t="n">
        <v>38</v>
      </c>
      <c r="L25" s="302" t="n">
        <v>35.83</v>
      </c>
      <c r="M25" s="319" t="n">
        <v>0.079</v>
      </c>
      <c r="N25" s="303" t="n">
        <v>0</v>
      </c>
      <c r="O25" s="303" t="n">
        <v>0</v>
      </c>
      <c r="P25" s="303" t="n">
        <v>0</v>
      </c>
      <c r="Q25" s="303" t="n">
        <v>0</v>
      </c>
      <c r="R25" s="303" t="n">
        <v>0</v>
      </c>
      <c r="S25" s="302" t="n">
        <v>0</v>
      </c>
      <c r="T25" s="298" t="n">
        <v>2</v>
      </c>
      <c r="U25" s="317" t="n">
        <v>0.0007</v>
      </c>
    </row>
    <row r="26" ht="16" customHeight="1" s="229">
      <c r="A26" s="561" t="inlineStr">
        <is>
          <t>LEGGINGS</t>
        </is>
      </c>
      <c r="B26" s="321" t="n"/>
      <c r="C26" s="321" t="n"/>
      <c r="D26" s="321" t="n"/>
      <c r="E26" s="321" t="n"/>
      <c r="F26" s="321" t="n"/>
      <c r="G26" s="321" t="n"/>
      <c r="H26" s="321" t="n"/>
      <c r="I26" s="321" t="n"/>
      <c r="J26" s="321" t="n"/>
      <c r="K26" s="321" t="n"/>
      <c r="L26" s="321" t="n"/>
      <c r="M26" s="321" t="n"/>
      <c r="N26" s="321" t="n"/>
      <c r="O26" s="321" t="n"/>
      <c r="P26" s="321" t="n"/>
      <c r="Q26" s="321" t="n"/>
      <c r="R26" s="321" t="n"/>
      <c r="S26" s="321" t="n"/>
      <c r="T26" s="321" t="n"/>
      <c r="U26" s="321" t="n"/>
    </row>
    <row r="27" ht="18" customHeight="1" s="229">
      <c r="A27" s="322" t="n">
        <v>23</v>
      </c>
      <c r="B27" s="323" t="inlineStr">
        <is>
          <t>Barely Zero Lycra Leggings</t>
        </is>
      </c>
      <c r="C27" s="324" t="n"/>
      <c r="D27" s="325" t="n"/>
      <c r="E27" s="905" t="inlineStr">
        <is>
          <t>Leggings</t>
        </is>
      </c>
      <c r="F27" s="906" t="n"/>
      <c r="G27" s="906" t="n"/>
      <c r="H27" s="328" t="inlineStr">
        <is>
          <t>neiwai.life</t>
        </is>
      </c>
      <c r="I27" s="329" t="n"/>
      <c r="J27" s="330" t="n"/>
      <c r="K27" s="331" t="n"/>
      <c r="L27" s="330" t="n"/>
      <c r="M27" s="905" t="n"/>
      <c r="N27" s="331" t="n"/>
      <c r="O27" s="331" t="n"/>
      <c r="P27" s="331" t="n"/>
      <c r="Q27" s="331" t="n"/>
      <c r="R27" s="331" t="n"/>
      <c r="S27" s="330" t="n"/>
      <c r="T27" s="905" t="n"/>
      <c r="U27" s="905" t="n"/>
    </row>
    <row r="28" ht="18" customHeight="1" s="229">
      <c r="A28" s="332" t="n">
        <v>24</v>
      </c>
      <c r="B28" s="333" t="inlineStr">
        <is>
          <t>Barely Zero Flow Leggings</t>
        </is>
      </c>
      <c r="C28" s="334" t="inlineStr">
        <is>
          <t>Barely ZeroLeggings</t>
        </is>
      </c>
      <c r="D28" s="335" t="inlineStr">
        <is>
          <t>高腰打底长裤</t>
        </is>
      </c>
      <c r="E28" s="913" t="inlineStr">
        <is>
          <t>Leggings</t>
        </is>
      </c>
      <c r="F28" s="914" t="n">
        <v>39</v>
      </c>
      <c r="G28" s="914" t="n">
        <v>39</v>
      </c>
      <c r="H28" s="338" t="inlineStr">
        <is>
          <t>View on site</t>
        </is>
      </c>
      <c r="I28" s="339" t="inlineStr">
        <is>
          <t>Core Barely Zero</t>
        </is>
      </c>
      <c r="J28" s="340" t="n">
        <v>5291.65</v>
      </c>
      <c r="K28" s="341" t="n">
        <v>184</v>
      </c>
      <c r="L28" s="340" t="n">
        <v>28.76</v>
      </c>
      <c r="M28" s="342" t="n">
        <v>0.26</v>
      </c>
      <c r="N28" s="341" t="n">
        <v>249</v>
      </c>
      <c r="O28" s="341" t="n">
        <v>0</v>
      </c>
      <c r="P28" s="341" t="n">
        <v>239</v>
      </c>
      <c r="Q28" s="341" t="n">
        <v>249</v>
      </c>
      <c r="R28" s="341" t="n">
        <v>488</v>
      </c>
      <c r="S28" s="340" t="n">
        <v>7320</v>
      </c>
      <c r="T28" s="913" t="n">
        <v>3</v>
      </c>
      <c r="U28" s="343" t="n">
        <v>0.0029</v>
      </c>
    </row>
    <row r="29" ht="18" customHeight="1" s="229">
      <c r="A29" s="322" t="n">
        <v>25</v>
      </c>
      <c r="B29" s="323" t="inlineStr">
        <is>
          <t>Barely Zero Flow Shorts</t>
        </is>
      </c>
      <c r="C29" s="324" t="inlineStr">
        <is>
          <t>Barely Zero Biker Shorts</t>
        </is>
      </c>
      <c r="D29" s="325" t="inlineStr">
        <is>
          <t>无尺码高腰打底短裤</t>
        </is>
      </c>
      <c r="E29" s="905" t="inlineStr">
        <is>
          <t>Leggings</t>
        </is>
      </c>
      <c r="F29" s="906" t="n">
        <v>35</v>
      </c>
      <c r="G29" s="906" t="n">
        <v>35</v>
      </c>
      <c r="H29" s="328" t="inlineStr">
        <is>
          <t>View on site</t>
        </is>
      </c>
      <c r="I29" s="329" t="inlineStr">
        <is>
          <t>Core Barely Zero</t>
        </is>
      </c>
      <c r="J29" s="330" t="n">
        <v>7234.21</v>
      </c>
      <c r="K29" s="331" t="n">
        <v>282</v>
      </c>
      <c r="L29" s="330" t="n">
        <v>25.65</v>
      </c>
      <c r="M29" s="344" t="n">
        <v>0.266</v>
      </c>
      <c r="N29" s="331" t="n">
        <v>2814</v>
      </c>
      <c r="O29" s="331" t="n">
        <v>0</v>
      </c>
      <c r="P29" s="331" t="n">
        <v>0</v>
      </c>
      <c r="Q29" s="331" t="n">
        <v>2814</v>
      </c>
      <c r="R29" s="331" t="n">
        <v>2814</v>
      </c>
      <c r="S29" s="330" t="n">
        <v>42210</v>
      </c>
      <c r="T29" s="905" t="n">
        <v>3</v>
      </c>
      <c r="U29" s="345" t="n">
        <v>0.004</v>
      </c>
    </row>
    <row r="30" ht="5" customHeight="1" s="229"/>
    <row r="31" ht="22" customHeight="1" s="229">
      <c r="A31" s="346" t="inlineStr">
        <is>
          <t>KEEP LIST   —   25 Products   |   71.2% of total revenue</t>
        </is>
      </c>
      <c r="B31" s="811" t="n"/>
      <c r="C31" s="811" t="n"/>
      <c r="D31" s="811" t="n"/>
      <c r="E31" s="811" t="n"/>
      <c r="F31" s="811" t="n"/>
      <c r="G31" s="811" t="n"/>
      <c r="H31" s="811" t="n"/>
      <c r="I31" s="811" t="n"/>
      <c r="J31" s="811" t="n"/>
      <c r="K31" s="811" t="n"/>
      <c r="L31" s="811" t="n"/>
      <c r="M31" s="811" t="n"/>
      <c r="N31" s="811" t="n"/>
      <c r="O31" s="811" t="n"/>
      <c r="P31" s="811" t="n"/>
      <c r="Q31" s="811" t="n"/>
      <c r="R31" s="811" t="n"/>
      <c r="S31" s="811" t="n"/>
      <c r="T31" s="811" t="n"/>
      <c r="U31" s="346" t="n"/>
    </row>
    <row r="32" ht="22" customHeight="1" s="229"/>
    <row r="33" ht="15" customHeight="1" s="229"/>
  </sheetData>
  <pageMargins left="0.75" right="0.75" top="1" bottom="1" header="0.5" footer="0.5"/>
  <pageSetup orientation="portrait" horizontalDpi="0" verticalDpi="0"/>
</worksheet>
</file>

<file path=xl/worksheets/sheet3.xml><?xml version="1.0" encoding="utf-8"?>
<worksheet xmlns="http://schemas.openxmlformats.org/spreadsheetml/2006/main">
  <sheetPr>
    <tabColor rgb="001A6B3A"/>
    <outlinePr summaryBelow="1" summaryRight="1"/>
    <pageSetUpPr/>
  </sheetPr>
  <dimension ref="A1:K32"/>
  <sheetViews>
    <sheetView showGridLines="0" workbookViewId="0">
      <pane ySplit="4" topLeftCell="A5" activePane="bottomLeft" state="frozen"/>
      <selection pane="bottomLeft" activeCell="A1" sqref="A1"/>
    </sheetView>
  </sheetViews>
  <sheetFormatPr baseColWidth="8" defaultRowHeight="15"/>
  <cols>
    <col width="4" customWidth="1" style="229" min="1" max="1"/>
    <col width="30" customWidth="1" style="229" min="2" max="2"/>
    <col width="11" customWidth="1" style="229" min="3" max="3"/>
    <col width="8" customWidth="1" style="229" min="4" max="4"/>
    <col width="52" customWidth="1" style="229" min="5" max="5"/>
    <col width="45" customWidth="1" style="229" min="6" max="6"/>
    <col width="26" customWidth="1" style="229" min="7" max="7"/>
    <col width="22" customWidth="1" style="229" min="8" max="8"/>
    <col width="52" customWidth="1" style="229" min="9" max="9"/>
    <col width="45" customWidth="1" style="229" min="10" max="10"/>
    <col width="26" customWidth="1" style="229" min="11" max="11"/>
  </cols>
  <sheetData>
    <row r="1" ht="32" customHeight="1" s="229">
      <c r="A1" s="988" t="inlineStr">
        <is>
          <t>KEEP LIST — PRODUCT DESCRIPTIONS</t>
        </is>
      </c>
      <c r="B1" s="989" t="n"/>
      <c r="C1" s="989" t="n"/>
      <c r="D1" s="989" t="n"/>
      <c r="E1" s="989" t="n"/>
      <c r="F1" s="989" t="n"/>
      <c r="G1" s="989" t="n"/>
      <c r="H1" s="989" t="n"/>
      <c r="I1" s="989" t="n"/>
      <c r="J1" s="989" t="n"/>
      <c r="K1" s="989" t="n"/>
    </row>
    <row r="2" ht="20" customHeight="1" s="229">
      <c r="A2" s="990" t="inlineStr">
        <is>
          <t>25 hero products  |  Source copy: current neiwai.life  →  Revamped copy: redesigned site</t>
        </is>
      </c>
      <c r="B2" s="879" t="n"/>
      <c r="C2" s="879" t="n"/>
      <c r="D2" s="879" t="n"/>
      <c r="E2" s="879" t="n"/>
      <c r="F2" s="879" t="n"/>
      <c r="G2" s="879" t="n"/>
      <c r="H2" s="879" t="n"/>
      <c r="I2" s="879" t="n"/>
      <c r="J2" s="879" t="n"/>
      <c r="K2" s="879" t="n"/>
    </row>
    <row r="3" ht="18" customHeight="1" s="229">
      <c r="A3" s="991" t="n"/>
      <c r="B3" s="991" t="n"/>
      <c r="C3" s="991" t="n"/>
      <c r="D3" s="991" t="n"/>
      <c r="E3" s="992" t="inlineStr">
        <is>
          <t xml:space="preserve">  SOURCE — current site copy</t>
        </is>
      </c>
      <c r="F3" s="993" t="n"/>
      <c r="G3" s="993" t="n"/>
      <c r="H3" s="994" t="inlineStr">
        <is>
          <t xml:space="preserve">  REVAMPED — new site copy</t>
        </is>
      </c>
      <c r="I3" s="995" t="n"/>
      <c r="J3" s="995" t="n"/>
      <c r="K3" s="995" t="n"/>
    </row>
    <row r="4" ht="36" customHeight="1" s="229">
      <c r="A4" s="996" t="inlineStr">
        <is>
          <t>#</t>
        </is>
      </c>
      <c r="B4" s="996" t="inlineStr">
        <is>
          <t>New Name</t>
        </is>
      </c>
      <c r="C4" s="996" t="inlineStr">
        <is>
          <t>Category</t>
        </is>
      </c>
      <c r="D4" s="996" t="inlineStr">
        <is>
          <t>Price</t>
        </is>
      </c>
      <c r="E4" s="997" t="inlineStr">
        <is>
          <t>SOURCE — Product Description</t>
        </is>
      </c>
      <c r="F4" s="997" t="inlineStr">
        <is>
          <t>SOURCE — Key Features</t>
        </is>
      </c>
      <c r="G4" s="997" t="inlineStr">
        <is>
          <t>SOURCE — Materials</t>
        </is>
      </c>
      <c r="H4" s="998" t="inlineStr">
        <is>
          <t>REVAMPED — Headline</t>
        </is>
      </c>
      <c r="I4" s="998" t="inlineStr">
        <is>
          <t>REVAMPED — Description</t>
        </is>
      </c>
      <c r="J4" s="998" t="inlineStr">
        <is>
          <t>REVAMPED — Key Features</t>
        </is>
      </c>
      <c r="K4" s="998" t="inlineStr">
        <is>
          <t>REVAMPED — Materials</t>
        </is>
      </c>
    </row>
    <row r="5" ht="20" customHeight="1" s="229">
      <c r="A5" s="999" t="inlineStr">
        <is>
          <t>BRAS</t>
        </is>
      </c>
      <c r="B5" s="1000" t="n"/>
      <c r="C5" s="1000" t="n"/>
      <c r="D5" s="1000" t="n"/>
      <c r="E5" s="1000" t="n"/>
      <c r="F5" s="1000" t="n"/>
      <c r="G5" s="1000" t="n"/>
      <c r="H5" s="1000" t="n"/>
      <c r="I5" s="1000" t="n"/>
      <c r="J5" s="1000" t="n"/>
      <c r="K5" s="1000" t="n"/>
    </row>
    <row r="6" ht="112" customHeight="1" s="229">
      <c r="A6" s="1001" t="n">
        <v>1</v>
      </c>
      <c r="B6" s="1002" t="inlineStr">
        <is>
          <t>Barely Zero Anchored Cup Strap Bra</t>
        </is>
      </c>
      <c r="C6" s="1003" t="inlineStr">
        <is>
          <t>Bra</t>
        </is>
      </c>
      <c r="D6" s="1004" t="inlineStr">
        <is>
          <t>$39</t>
        </is>
      </c>
      <c r="E6" s="1005" t="inlineStr">
        <is>
          <t>The latest edition to our Barely Zero collection is designed for all-day ease with a blend of effortless comfort and support. Our new Barely Zero Anchored Cup Spaghetti Strap Bra is a staple for any closet. The seamless one-size fit adapts effortlessly to your body for a second-skin feel.</t>
        </is>
      </c>
      <c r="F6" s="1005" t="inlineStr">
        <is>
          <t>• Custom Fit: Adaptive Fit Technology allows the one-size design to comfortably conform to different body shapes and sizes. • Secure Cups: Anchored cups offer soft, natural shaping and are discreetly secured at the base to stay gently in place, ensuring effortless comfort from morning to night. • Invisible Look: Pairs perfectly with Barely Zero seamless underwear to create an invisible, no-show finish under any outfit.</t>
        </is>
      </c>
      <c r="G6" s="1006" t="inlineStr">
        <is>
          <t>68% Polyamide, 32% Spandex • Care instructions: For best results, hand wash with a light detergent in cold water</t>
        </is>
      </c>
      <c r="H6" s="1007" t="inlineStr">
        <is>
          <t>One size. Adapts to yours.</t>
        </is>
      </c>
      <c r="I6" s="1008" t="inlineStr">
        <is>
          <t>Thin straps, no underwire, no adjustment required. Adaptive Fit Technology allows the one-size construction to conform to the body rather than the other way around. Anchored cups — secured at the base — stay positioned through movement. The seams are gone. The hardware is gone. The bra remains.</t>
        </is>
      </c>
      <c r="J6" s="1009" t="inlineStr">
        <is>
          <t>• Adaptive Fit Technology — one-size construction that conforms to different body shapes without adjustment
• Anchored cups secured at the base for consistent, shift-free shaping from morning to night
• No underwire, no foam padding, no hardware — fully seamless exterior
• Pairs invisibly under any layer</t>
        </is>
      </c>
      <c r="K6" s="1010" t="inlineStr">
        <is>
          <t>68% Polyamide, 32% Spandex</t>
        </is>
      </c>
    </row>
    <row r="7" ht="126" customHeight="1" s="229">
      <c r="A7" s="1011" t="n">
        <v>2</v>
      </c>
      <c r="B7" s="1012" t="inlineStr">
        <is>
          <t>Barely Zero Anchored Cup Signature Bra</t>
        </is>
      </c>
      <c r="C7" s="1013" t="inlineStr">
        <is>
          <t>Bra</t>
        </is>
      </c>
      <c r="D7" s="1014" t="inlineStr">
        <is>
          <t>$39</t>
        </is>
      </c>
      <c r="E7" s="1005" t="inlineStr">
        <is>
          <t>Elevate your confidence with our Barely Zero Anchored Cup Classic Bra offering effortless comfort &amp; natural support. Designed for a "barely-there" feel with gentle shaping and anchored cups, making it an essential bra for your wardrobe.</t>
        </is>
      </c>
      <c r="F7" s="1005" t="inlineStr">
        <is>
          <t>• Secure Cups: Anchored cups provide soft, natural shaping and are discreetly secured at the base to stay gently in place, ensuring effortless comfort from morning to night. • Shoulder Comfort: Wide shoulder straps distribute weight to enhance support and ease strain, making this an ideal choice for larger busts. • Invisible Lines: A smooth and simple design creates a seamless, "barely-there" feel for a completely no-show look under fitted clothing</t>
        </is>
      </c>
      <c r="G7" s="1006" t="inlineStr">
        <is>
          <t>68% Polyamide, 32% Spandex • Care instructions: For best results, hand wash with a light detergent in cold water</t>
        </is>
      </c>
      <c r="H7" s="1015" t="inlineStr">
        <is>
          <t>The Barely Zero silhouette, fully resolved.</t>
        </is>
      </c>
      <c r="I7" s="1016" t="inlineStr">
        <is>
          <t>Wide straps. Anchored cups. No underwire. The Signature Bra is the most supported expression of the Barely Zero construction — designed for busts that need weight distribution without compression. Soft natural shaping with no foam, no structure, nothing pressing.</t>
        </is>
      </c>
      <c r="J7" s="1017" t="inlineStr">
        <is>
          <t>• Wide shoulder straps distribute weight evenly — designed for larger busts
• Anchored cups secured at the base, providing shape that holds without shifting or collapsing
• No underwire, no foam — shape is entirely from construction, not padding
• Smooth seamless exterior, no visible lines under fitted clothing</t>
        </is>
      </c>
      <c r="K7" s="1018" t="inlineStr">
        <is>
          <t>68% Polyamide, 32% Spandex</t>
        </is>
      </c>
    </row>
    <row r="8" ht="112" customHeight="1" s="229">
      <c r="A8" s="1001" t="n">
        <v>3</v>
      </c>
      <c r="B8" s="1002" t="inlineStr">
        <is>
          <t>Barely Zero Strap Bra</t>
        </is>
      </c>
      <c r="C8" s="1003" t="inlineStr">
        <is>
          <t>Bra</t>
        </is>
      </c>
      <c r="D8" s="1004" t="inlineStr">
        <is>
          <t>$39</t>
        </is>
      </c>
      <c r="E8" s="1005" t="inlineStr">
        <is>
          <t>The bra that put us on the map. Embraced by all body types, our bestselling Barely Zero Spaghetti Strap Bra is the ultimate everyday bra, offering invisible wear under clothing without compromising comfort or support.</t>
        </is>
      </c>
      <c r="F8" s="1005" t="inlineStr">
        <is>
          <t>• Materials: 68% CloudFit nylon blend, 32% Spandex • To lengthen its wear-life, we recommend handwashing your Barely Zero. Dissolve a gentle detergent in cold water (86 °F /30 °C max ) and fully immerse the underwear. Gently press/knead it, then rinse (soak no longer than 5 minutes). Hang or lay flat to dry in a cool, shaded place. If you choose to use a washing machine, please use a laundry bag.</t>
        </is>
      </c>
      <c r="G8" s="1006" t="inlineStr"/>
      <c r="H8" s="1007" t="inlineStr">
        <is>
          <t>The original. Still the standard.</t>
        </is>
      </c>
      <c r="I8" s="1008" t="inlineStr">
        <is>
          <t>Thin adjustable straps, no clasps, no underwire. The Strap Bra is the piece that defined the Barely Zero category — a bra worn for its absence rather than its presence. Made from CloudFit nylon, an adaptive blend developed to move with the body without binding.</t>
        </is>
      </c>
      <c r="J8" s="1009" t="inlineStr">
        <is>
          <t>• Thin adjustable straps — a clean sightline under anything
• CloudFit nylon: ultra-elastic, breathable, moisture-wicking
• Wire-free, foam-free, fully seamless — designed to disappear
• One-size construction adapts across a wide range of body types</t>
        </is>
      </c>
      <c r="K8" s="1010" t="inlineStr">
        <is>
          <t>68% CloudFit nylon blend, 32% Spandex</t>
        </is>
      </c>
    </row>
    <row r="9" ht="98" customHeight="1" s="229">
      <c r="A9" s="1011" t="n">
        <v>4</v>
      </c>
      <c r="B9" s="1012" t="inlineStr">
        <is>
          <t>Barely Zero Scallop Bra</t>
        </is>
      </c>
      <c r="C9" s="1013" t="inlineStr">
        <is>
          <t>Bra</t>
        </is>
      </c>
      <c r="D9" s="1014" t="inlineStr">
        <is>
          <t>$59</t>
        </is>
      </c>
      <c r="E9" s="1005" t="inlineStr">
        <is>
          <t>With its delicate scalloped V-neck, our popular Barely Zero Fixed Cup Wavy Bra provides seamless wear under any top. Featuring fixed cups and adjustable straps, this pullover style has no clasps or wires for a smooth, supportive fit.</t>
        </is>
      </c>
      <c r="F9" s="1005" t="inlineStr"/>
      <c r="G9" s="1006" t="inlineStr"/>
      <c r="H9" s="1015" t="inlineStr">
        <is>
          <t>The scallop that holds its shape.</t>
        </is>
      </c>
      <c r="I9" s="1016" t="inlineStr">
        <is>
          <t>A delicate scalloped V-neckline and fixed molded cups — the Scallop Bra brings structure to the Barely Zero collection without adding weight. Pull-on with no clasps or underwire. The cups stay fixed, the neckline stays crisp, and the silhouette remains invisible under clothing.</t>
        </is>
      </c>
      <c r="J9" s="1017" t="inlineStr">
        <is>
          <t>• Scalloped V-neckline with fixed cups that maintain shape throughout the day
• Pull-on construction — no clasps, no underwire, no adjustment
• Seamless side panels for a smooth line under fitted tops
• Adjustable straps for personalized fit</t>
        </is>
      </c>
      <c r="K9" s="1018" t="inlineStr">
        <is>
          <t>Barely Zero CloudFit nylon blend</t>
        </is>
      </c>
    </row>
    <row r="10" ht="112" customHeight="1" s="229">
      <c r="A10" s="1001" t="n">
        <v>5</v>
      </c>
      <c r="B10" s="1002" t="inlineStr">
        <is>
          <t>Barely Zero Scallop Clasp Bra</t>
        </is>
      </c>
      <c r="C10" s="1003" t="inlineStr">
        <is>
          <t>Bra</t>
        </is>
      </c>
      <c r="D10" s="1004" t="inlineStr">
        <is>
          <t>$59</t>
        </is>
      </c>
      <c r="E10" s="1005" t="inlineStr">
        <is>
          <t>A fresh update to a Barely Zero classic, this Fixed Cup Wavy Clasp Bra introduces subtle upgrades with thoughtful design details. Features a wave-inspired clasp, enhanced adjustability, and our signature Bisous Cups‚Ñ¢ and Flo Support‚Ñ¢ for breathable, stay-put shaping and skin-loving support.</t>
        </is>
      </c>
      <c r="F10" s="1005" t="inlineStr"/>
      <c r="G10" s="1006" t="inlineStr"/>
      <c r="H10" s="1007" t="inlineStr">
        <is>
          <t>The Scallop, with adjustability.</t>
        </is>
      </c>
      <c r="I10" s="1008" t="inlineStr">
        <is>
          <t>The Scallop Clasp Bra adds a wave-inspired back clasp to the Fixed Cup Wavy silhouette — an upgrade that introduces fine-tuned fit without changing what the style does well. Bisous Cups™ for breathable, natural shaping. Flo Support™ for stay-put structure. The scallop neckline remains.</t>
        </is>
      </c>
      <c r="J10" s="1009" t="inlineStr">
        <is>
          <t>• Scalloped V-neckline with fixed Bisous Cups™ — breathable, skin-gentle shaping
• Flo Support™ construction — wire-free lift that holds position without compression
• Minimal clasp-back closure for an adjustable, precise fit
• Seamless exterior with no visible hardware under clothing</t>
        </is>
      </c>
      <c r="K10" s="1010" t="inlineStr">
        <is>
          <t>Barely Zero CloudFit nylon blend</t>
        </is>
      </c>
    </row>
    <row r="11" ht="98" customHeight="1" s="229">
      <c r="A11" s="1011" t="n">
        <v>6</v>
      </c>
      <c r="B11" s="1012" t="inlineStr">
        <is>
          <t>Barely Zero Camisole</t>
        </is>
      </c>
      <c r="C11" s="1013" t="inlineStr">
        <is>
          <t>Bra</t>
        </is>
      </c>
      <c r="D11" s="1014" t="inlineStr">
        <is>
          <t>$49</t>
        </is>
      </c>
      <c r="E11" s="1005" t="inlineStr">
        <is>
          <t>The support and comfort you love from Barely Zero is now available in a cami! This wardrobe essential features built-in support and provides a smooth, seamless fit for effortless layering.</t>
        </is>
      </c>
      <c r="F11" s="1005" t="inlineStr"/>
      <c r="G11" s="1006" t="inlineStr"/>
      <c r="H11" s="1015" t="inlineStr">
        <is>
          <t>The bra, extended.</t>
        </is>
      </c>
      <c r="I11" s="1016" t="inlineStr">
        <is>
          <t>Barely Zero integral cups built into a camisole body — full support without a separate bra underneath. The hem falls cleanly as a layer or on its own. The construction is the same as the rest of the Barely Zero collection: seamless, adaptive, designed to disappear.</t>
        </is>
      </c>
      <c r="J11" s="1017" t="inlineStr">
        <is>
          <t>• Integral Barely Zero cups with built-in support — no separate bra required
• Thin adjustable straps
• Smooth seamless construction throughout — no visible lines under any fit
• Longer hem that layers cleanly under or wears as a standalone top</t>
        </is>
      </c>
      <c r="K11" s="1018" t="inlineStr">
        <is>
          <t>Barely Zero CloudFit nylon blend</t>
        </is>
      </c>
    </row>
    <row r="12" ht="98" customHeight="1" s="229">
      <c r="A12" s="1001" t="n">
        <v>7</v>
      </c>
      <c r="B12" s="1002" t="inlineStr">
        <is>
          <t>Barely Zero Curvy Clasp Bra</t>
        </is>
      </c>
      <c r="C12" s="1003" t="inlineStr">
        <is>
          <t>Bra</t>
        </is>
      </c>
      <c r="D12" s="1004" t="inlineStr">
        <is>
          <t>$49</t>
        </is>
      </c>
      <c r="E12" s="1005" t="inlineStr">
        <is>
          <t>The Barely Zero Fixed Cup Clasp Bra introduces Flo Support‚Ñ¢ and Bisous Cups‚Ñ¢, two technologies that provide greater support and comfort than ever before. Fit tip: If you're in between sizes, we recommend sizing up. Additionally, this bra may feel tight initially but will stretch slightly to adapt to your body.</t>
        </is>
      </c>
      <c r="F12" s="1005" t="inlineStr"/>
      <c r="G12" s="1006" t="inlineStr"/>
      <c r="H12" s="1007" t="inlineStr">
        <is>
          <t>Fuller cups. Still barely there.</t>
        </is>
      </c>
      <c r="I12" s="1008" t="inlineStr">
        <is>
          <t>Flo Support™ and Bisous Cups™ — two technologies developed to bring the Barely Zero experience to fuller bust proportions. Structured where support is needed. Weightless everywhere else. Back clasp for adjustable fit. Note: this bra adapts to the body over the first few wears.</t>
        </is>
      </c>
      <c r="J12" s="1009" t="inlineStr">
        <is>
          <t>• Bisous Cups™ — soft interior structure engineered for fuller bust natural shaping
• Flo Support™ — wire-free lift that holds position without compression or digging
• Back clasp closure for adjustable band fit
• Minimal exterior hardware; seamless profile under clothing</t>
        </is>
      </c>
      <c r="K12" s="1010" t="inlineStr">
        <is>
          <t>Barely Zero CloudFit nylon blend</t>
        </is>
      </c>
    </row>
    <row r="13" ht="112" customHeight="1" s="229">
      <c r="A13" s="1011" t="n">
        <v>8</v>
      </c>
      <c r="B13" s="1012" t="inlineStr">
        <is>
          <t>Barely Zero Curvy Bra</t>
        </is>
      </c>
      <c r="C13" s="1013" t="inlineStr">
        <is>
          <t>Bra</t>
        </is>
      </c>
      <c r="D13" s="1014" t="inlineStr">
        <is>
          <t>$49</t>
        </is>
      </c>
      <c r="E13" s="1005" t="inlineStr">
        <is>
          <t>Enjoy wire-free comfort without compromising on support! Our Barely Zero Anchored Cup Curve Bra is your everyday essential designed for movement, motherhood, and everything in between. With wider straps, anchored cups, and a stay-put fit, bringing together form, function, and freedom.</t>
        </is>
      </c>
      <c r="F13" s="1005" t="inlineStr"/>
      <c r="G13" s="1006" t="inlineStr"/>
      <c r="H13" s="1015" t="inlineStr">
        <is>
          <t>Wire-free for curves.</t>
        </is>
      </c>
      <c r="I13" s="1016" t="inlineStr">
        <is>
          <t>The Curvy Bra extends the Barely Zero wireless construction to a fuller cup range — wider straps, deeper anchored cups, and the same adaptive stretch fabric as the rest of the collection. Designed for everyday wear, postpartum, and body changes that standard sizing doesn't account for.</t>
        </is>
      </c>
      <c r="J13" s="1017" t="inlineStr">
        <is>
          <t>• Wider straps for improved weight distribution and shoulder comfort
• Anchored cups for secure, natural shaping at fuller proportions
• Wire-free with graduated stretch at the band — no digging, no compression
• Designed for everyday wear, nursing, and fluctuating fit</t>
        </is>
      </c>
      <c r="K13" s="1018" t="inlineStr">
        <is>
          <t>Barely Zero CloudFit nylon blend</t>
        </is>
      </c>
    </row>
    <row r="14" ht="126" customHeight="1" s="229">
      <c r="A14" s="1001" t="n">
        <v>9</v>
      </c>
      <c r="B14" s="1002" t="inlineStr">
        <is>
          <t>Barely Zero Curve Extra Support Bra</t>
        </is>
      </c>
      <c r="C14" s="1003" t="inlineStr">
        <is>
          <t>Bra</t>
        </is>
      </c>
      <c r="D14" s="1004" t="inlineStr">
        <is>
          <t>$49</t>
        </is>
      </c>
      <c r="E14" s="1005" t="inlineStr">
        <is>
          <t>The one-size Barely Zero Curve Extra Support Bra brings an extended band &amp; cup size range to the Barely Zero bra family, featuring adjustable straps and a secure back clasp.</t>
        </is>
      </c>
      <c r="F14" s="1005" t="inlineStr">
        <is>
          <t>• Comfortably fits anyone whose full bust measurement is between 37.5"-43.5" and an A-DDD cup - the ultimate bra for nursing, fluctuating sizes, and easy gifting! Please visit the size chart for more details. • C lose, comfortable fit - no digging in or show-through lines. Features removable padding, adjustable wide spaghetti straps, and back buckle closure. • Made from CloudFit: soft, ultra-elastic, &amp; moisture-wicking for all-day skin comfort and odor reduction.</t>
        </is>
      </c>
      <c r="G14" s="1006" t="inlineStr">
        <is>
          <t>outer: 66% CloudFit nylon blend, 34% Spandex; lining: 86% modal, 14% Spandex • To preserve and lengthen its wear-life, we strongly recommend handwashing your Barely Zero. Dissolve a gentle detergent in cold water (86 °F /30 °C max ) and fully immerse the underwear. Gently press/knead it, then rinse (soak no longer than 5 minutes)</t>
        </is>
      </c>
      <c r="H14" s="1007" t="inlineStr">
        <is>
          <t>The widest fit range in the collection.</t>
        </is>
      </c>
      <c r="I14" s="1008" t="inlineStr">
        <is>
          <t>Fits a 37.5"–43.5" full bust, A–DDD cup. The Curve Extra Support Bra extends the Barely Zero range with an adjustable back clasp, wider spaghetti straps, and removable pads. The interior is modal-lined for breathability. The exterior is seamless.</t>
        </is>
      </c>
      <c r="J14" s="1009" t="inlineStr">
        <is>
          <t>• Fits full bust 37.5"–43.5", A–DDD cup — designed for fluctuating sizes and easy gifting
• Adjustable wide spaghetti straps and back buckle closure
• Removable pads — wear with or without
• Modal-lined interior; 66% CloudFit nylon blend, 34% Spandex outer</t>
        </is>
      </c>
      <c r="K14" s="1010" t="inlineStr">
        <is>
          <t>outer: 66% CloudFit nylon blend, 34% Spandex | lining: 86% Modal, 14% Spandex</t>
        </is>
      </c>
    </row>
    <row r="15" ht="98" customHeight="1" s="229">
      <c r="A15" s="1011" t="n">
        <v>10</v>
      </c>
      <c r="B15" s="1012" t="inlineStr">
        <is>
          <t>Barely Zero Breeze Bra</t>
        </is>
      </c>
      <c r="C15" s="1013" t="inlineStr">
        <is>
          <t>Bra</t>
        </is>
      </c>
      <c r="D15" s="1014" t="inlineStr">
        <is>
          <t>$55</t>
        </is>
      </c>
      <c r="E15" s="1005" t="inlineStr">
        <is>
          <t>Slip into our Barely Zero Cooling Clasp Bra and feel the whisper-soft drape of silk designed to flatter every curve. With a smooth clasp-back and a naturally cool, airy finish, it creates an elegant, second-skin embrace wherever your day leads.</t>
        </is>
      </c>
      <c r="F15" s="1005" t="inlineStr">
        <is>
          <t>• Soft clasp-back closure: Minimal hardware and seamless edges designed to disappear under tops, knits, and dresses. • Adaptive 360° stretch: Spandex-infused for excellent stretch, strong resilience, and shape retention through repeated wear. • Lightweight with a natural sheen: Smooth, cooling, and ultra-soft on the skin for warm spring and summer days.</t>
        </is>
      </c>
      <c r="G15" s="1006" t="inlineStr">
        <is>
          <t>69% Polyamide, 31% Spandex</t>
        </is>
      </c>
      <c r="H15" s="1015" t="inlineStr">
        <is>
          <t>Silk-touch. Clasp back. For warmer days.</t>
        </is>
      </c>
      <c r="I15" s="1016" t="inlineStr">
        <is>
          <t>A silk-touch polyamide construction with a naturally cool, airy drape — the Breeze Bra is the warm-weather expression of the Barely Zero line. Minimal clasp-back with flat hardware that disappears under fabric. The 360° stretch maintains shape through repeated wear.</t>
        </is>
      </c>
      <c r="J15" s="1017" t="inlineStr">
        <is>
          <t>• Silk-touch polyamide with a cool, naturally airy hand — designed for warm weather wear
• Soft clasp-back closure with flat, minimal hardware
• Adaptive 360° stretch: excellent stretch and full shape recovery through repeated wear
• Lightweight with a subtle natural sheen</t>
        </is>
      </c>
      <c r="K15" s="1018" t="inlineStr">
        <is>
          <t>69% Polyamide, 31% Spandex</t>
        </is>
      </c>
    </row>
    <row r="16" ht="112" customHeight="1" s="229">
      <c r="A16" s="1001" t="n">
        <v>11</v>
      </c>
      <c r="B16" s="1002" t="inlineStr">
        <is>
          <t>Pure Comfort Triangle Bra</t>
        </is>
      </c>
      <c r="C16" s="1003" t="inlineStr">
        <is>
          <t>Bra</t>
        </is>
      </c>
      <c r="D16" s="1004" t="inlineStr">
        <is>
          <t>$49</t>
        </is>
      </c>
      <c r="E16" s="1005" t="inlineStr">
        <is>
          <t>Introducing the upgraded Pure Comfort Soft Modal Triangle Bra 4.0. The newest addition to our signature Pure Comfort collection. Now with improved semi-fixed cups for softer support, breathable front keyhole detail, and convertible straps with a soft, secure clasp. It's pure comfort, thoughtfully upgraded.</t>
        </is>
      </c>
      <c r="F16" s="1005" t="inlineStr">
        <is>
          <t>• Signature blend of soft, breathable, and eco-friendly fabrics: TENCEL‚Ñ¢ Modal, cotton, &amp; LYCRA¬Æ Spandex. • Features triangle cups that are tacked to the bra for easy washing and a natural fit. For those who prefer removable padding, the stitches can easily be removed. • Upgraded Newly Sculpted Bra Pads: designed to reduce visual flaring and minimize gapping, providing a more secure and flattering fit.</t>
        </is>
      </c>
      <c r="G16" s="1006" t="inlineStr">
        <is>
          <t>45% Modal, 45% Cotton, 10% LYCRA¬Æ Spandex • Care instructions: For best results, hand wash in cold water. Lay flat to dry. Do not iron</t>
        </is>
      </c>
      <c r="H16" s="1007" t="inlineStr">
        <is>
          <t>Natural fibers. Second-skin fit.</t>
        </is>
      </c>
      <c r="I16" s="1008" t="inlineStr">
        <is>
          <t>TENCEL™ Modal, cotton, and LYCRA® Spandex — a combination chosen for breathability, stretch recovery, and gentle contact with sensitive skin. Semi-fixed cups that provide soft support without foam. Convertible straps with a soft clasp. The 4.0 edition adds a sculpted pad shape that sits flat with no gapping.</t>
        </is>
      </c>
      <c r="J16" s="1009" t="inlineStr">
        <is>
          <t>• TENCEL™ Modal + Supima® cotton — soft, breathable, and responsibly sourced
• Semi-fixed cups tacked for easy laundering; stitching removable for those who prefer unpadded
• Upgraded sculpted pad shape — reduced flaring and gapping at the edges
• Convertible straps with soft back clasp</t>
        </is>
      </c>
      <c r="K16" s="1010" t="inlineStr">
        <is>
          <t>45% Modal, 45% Cotton, 10% LYCRA® Spandex</t>
        </is>
      </c>
    </row>
    <row r="17" ht="84" customHeight="1" s="229">
      <c r="A17" s="1011" t="n">
        <v>12</v>
      </c>
      <c r="B17" s="1012" t="inlineStr">
        <is>
          <t>Pure Comfort Bandeau Bra</t>
        </is>
      </c>
      <c r="C17" s="1013" t="inlineStr">
        <is>
          <t>Bra</t>
        </is>
      </c>
      <c r="D17" s="1014" t="inlineStr">
        <is>
          <t>$39</t>
        </is>
      </c>
      <c r="E17" s="1005" t="inlineStr">
        <is>
          <t>The Pure Comfort 5/8 Cup Bandeau Bra 2.0 - the latest iteration of our must-have A-C cup bra! Tailored using top-quality fabrics, this dependable t-shirt bra is designed to ensure your comfort and confidence through continuous use this spring and beyond.</t>
        </is>
      </c>
      <c r="F17" s="1005" t="inlineStr">
        <is>
          <t>• Signature blend of soft, eco-friendly fabrics: TENCEL‚Ñ¢ Modal, Supima¬Æ cotton, &amp; LYCRA¬Æ Spandex. Perfect for skin comfort &amp; mobility! • Built-in cups for shaping and support. Fully adjustable straps convert to racerback style. • Front key-hole for improved ventilation.</t>
        </is>
      </c>
      <c r="G17" s="1006" t="inlineStr">
        <is>
          <t>46% TENCEL‚Ñ¢ Modal, 44% Supima¬Æ cotton, 10% LYCRA¬Æ Spandex; padded lining: 100% cotton. • Care instructions: For best results, hand wash in cold water. Lay flat to dry. Do not iron</t>
        </is>
      </c>
      <c r="H17" s="1015" t="inlineStr">
        <is>
          <t>Natural fiber. Strapless support.</t>
        </is>
      </c>
      <c r="I17" s="1016" t="inlineStr">
        <is>
          <t>The natural fiber answer to the strapless bra problem. TENCEL™ Modal and Supima® cotton in a 5/8 cup cut for A–C proportions — with a front keyhole for ventilation and fully adjustable straps that convert to racerback. Cotton-padded lining.</t>
        </is>
      </c>
      <c r="J17" s="1017" t="inlineStr">
        <is>
          <t>• TENCEL™ Modal + Supima® cotton + LYCRA® Spandex blend for breathability and stretch
• 5/8 cup silhouette — natural shaping without heavy molded padding
• Front keyhole detail for improved ventilation
• Fully adjustable straps; converts to racerback</t>
        </is>
      </c>
      <c r="K17" s="1018" t="inlineStr">
        <is>
          <t>46% TENCEL™ Modal, 44% Supima® cotton, 10% LYCRA® Spandex | padded lining: 100% cotton</t>
        </is>
      </c>
    </row>
    <row r="18" ht="84" customHeight="1" s="229">
      <c r="A18" s="1001" t="n">
        <v>13</v>
      </c>
      <c r="B18" s="1002" t="inlineStr">
        <is>
          <t>Bandeau Bra</t>
        </is>
      </c>
      <c r="C18" s="1003" t="inlineStr">
        <is>
          <t>Bra</t>
        </is>
      </c>
      <c r="D18" s="1004" t="inlineStr">
        <is>
          <t>$39</t>
        </is>
      </c>
      <c r="E18" s="1005" t="inlineStr">
        <is>
          <t>This isn't your average Bandeau Bra. Thoughtfully engineered with fixed shaping, breathable stretch, and stay-put technology. With three ways to wear it, it offers clean lines and quiet confidence for every day.</t>
        </is>
      </c>
      <c r="F18" s="1005" t="inlineStr"/>
      <c r="G18" s="1006" t="inlineStr"/>
      <c r="H18" s="1007" t="inlineStr">
        <is>
          <t>Three ways to wear it. Holds through all of them.</t>
        </is>
      </c>
      <c r="I18" s="1008" t="inlineStr">
        <is>
          <t>A fixed shaping panel prevents the roll and fold that undoes most strapless styles — the critical construction detail in the Bandeau Bra. Breathable stretch fabric, stay-put coverage, and three wear configurations: strapless, straight, or crossed.</t>
        </is>
      </c>
      <c r="J18" s="1009" t="inlineStr">
        <is>
          <t>• Fixed shaping panel — holds position through movement without rolling or folding
• Wide seamless band for coverage without compression
• Three ways to wear: strapless, standard straps, or crossed at the back
• Wire-free; no underwire, no hardware</t>
        </is>
      </c>
      <c r="K18" s="1010" t="inlineStr">
        <is>
          <t>Breathable stretch poly-Spandex blend</t>
        </is>
      </c>
    </row>
    <row r="19" ht="70" customHeight="1" s="229">
      <c r="A19" s="1011" t="n">
        <v>14</v>
      </c>
      <c r="B19" s="1012" t="inlineStr">
        <is>
          <t>Essential Bandeau Bra</t>
        </is>
      </c>
      <c r="C19" s="1013" t="inlineStr">
        <is>
          <t>Bra</t>
        </is>
      </c>
      <c r="D19" s="1014" t="inlineStr">
        <is>
          <t>$55</t>
        </is>
      </c>
      <c r="E19" s="1005" t="inlineStr">
        <is>
          <t>Our best-selling bandeau bra now comes in an upgraded fabric for sleek support that fits invisibly under low-cut tops and dresses.</t>
        </is>
      </c>
      <c r="F19" s="1005" t="inlineStr">
        <is>
          <t>• Features removable straps for conversion to a strapless style. • Made from a flexible, breathable poly-Spandex blend for stretch and form-fitting support. • Non-removable chest padding. Back clasp closure with mesh panel for breathability.</t>
        </is>
      </c>
      <c r="G19" s="1006" t="inlineStr">
        <is>
          <t>Shell (1): 66% Polyamide, 34% Spandex; Shell (2): 66% Polyamide, 34% Spandex; Mesh: 100% Polyamide; Lining (1): 100% Polyester; Lining (2): 100% Cotton • Care instructions: For best results, hand wash in cold water. Line dry in the shade. Do not iron. Do not tumble dry</t>
        </is>
      </c>
      <c r="H19" s="1015" t="inlineStr">
        <is>
          <t>The convertible strapless.</t>
        </is>
      </c>
      <c r="I19" s="1016" t="inlineStr">
        <is>
          <t>Removable straps, a mesh panel for breathability, and a back clasp — the Essential Bandeau Bra is built for low-cut dressing without the compromises of typical strapless construction. Non-removable chest padding, wire-free, and designed to sit invisibly under open necklines.</t>
        </is>
      </c>
      <c r="J19" s="1017" t="inlineStr">
        <is>
          <t>• Removable straps convert between strapless, straight, and crossback configurations
• Non-removable chest padding for consistent shape
• Back clasp closure with mesh panel for ventilation
• Completely wire-free</t>
        </is>
      </c>
      <c r="K19" s="1018" t="inlineStr">
        <is>
          <t>Shell: 66% Polyamide, 34% Spandex | Mesh: 100% Polyamide | Lining: 100% Cotton</t>
        </is>
      </c>
    </row>
    <row r="20" ht="98" customHeight="1" s="229">
      <c r="A20" s="1001" t="n">
        <v>15</v>
      </c>
      <c r="B20" s="1002" t="inlineStr">
        <is>
          <t>Swan Bra</t>
        </is>
      </c>
      <c r="C20" s="1003" t="inlineStr">
        <is>
          <t>Bra</t>
        </is>
      </c>
      <c r="D20" s="1004" t="inlineStr">
        <is>
          <t>$45</t>
        </is>
      </c>
      <c r="E20" s="1005" t="inlineStr">
        <is>
          <t>The Swan Cup V-Line Bra redefines comfort with a sleek, innovative design that seamlessly blends elegance and functionality. Designed for versatility, it's perfect for everyday wear or light activity, keeping you confident and comfortable.</t>
        </is>
      </c>
      <c r="F20" s="1005" t="inlineStr">
        <is>
          <t>• Lightweight and flexible construction adapts to your shape for a smooth, barely-there feel. •The molded cup design gently lifts and shapes, for a graceful curve and seamless support that moves with you. •Soft inner pads support structure to provide natural shaping, balanced pressure distribution, and exceptional comfort. • Features adjustable straps and back hook-and-eye closure.</t>
        </is>
      </c>
      <c r="G20" s="1006" t="inlineStr">
        <is>
          <t>70% Polyamide, 30% Spandex • Care instructions: For best results, hand wash with a light detergent in cold water</t>
        </is>
      </c>
      <c r="H20" s="1007" t="inlineStr">
        <is>
          <t>For deep necklines.</t>
        </is>
      </c>
      <c r="I20" s="1008" t="inlineStr">
        <is>
          <t>The Swan Bra is proportioned for V-neck and plunge silhouettes — a low, graceful neckline with molded cups that adapt to shape without heavy foam. Lightweight, adjustable straps, and a back hook-and-eye closure. Versatile enough for everyday wear and light activity.</t>
        </is>
      </c>
      <c r="J20" s="1009" t="inlineStr">
        <is>
          <t>• Low V-line silhouette — sits invisibly under plunging and open necklines
• Molded cups with soft inner pads for natural shaping and gentle lift
• Lightweight flexible construction adapts to the body for a barely-there feel
• Adjustable straps; back hook-and-eye closure</t>
        </is>
      </c>
      <c r="K20" s="1010" t="inlineStr">
        <is>
          <t>70% Polyamide, 30% Spandex</t>
        </is>
      </c>
    </row>
    <row r="21" ht="112" customHeight="1" s="229">
      <c r="A21" s="1011" t="n">
        <v>16</v>
      </c>
      <c r="B21" s="1012" t="inlineStr">
        <is>
          <t>UltraFlex Bra</t>
        </is>
      </c>
      <c r="C21" s="1013" t="inlineStr">
        <is>
          <t>Bra</t>
        </is>
      </c>
      <c r="D21" s="1014" t="inlineStr">
        <is>
          <t>$45</t>
        </is>
      </c>
      <c r="E21" s="1005" t="inlineStr">
        <is>
          <t>Our UltraFlex Cotton Triangle Cup Bra is crafted with super-elastic cotton, combining exceptional softness, breathability, and flexibility. Its minimalist design and adaptive fit ensure effortless comfort and natural shaping for all-day wear.</t>
        </is>
      </c>
      <c r="F21" s="1005" t="inlineStr">
        <is>
          <t>• Designed with a semi-fixed triangle cup structure, providing a secure, flattering fit while ensuring the pads stay in place for worry-free support. • Adjustable shoulder straps that provides extra comfort without friction or pressure. •Super-elastic, breathable 360° UltraFlex fabric adapts to different body shapes while maintaining durability and stretch recovery.</t>
        </is>
      </c>
      <c r="G21" s="1006" t="inlineStr">
        <is>
          <t>88% Cotton, 12% Spandex • Care instructions: For best results, hand wash with a light detergent in cold water</t>
        </is>
      </c>
      <c r="H21" s="1015" t="inlineStr">
        <is>
          <t>Cotton that moves with you.</t>
        </is>
      </c>
      <c r="I21" s="1016" t="inlineStr">
        <is>
          <t>88% Cotton, 12% Spandex — a high-stretch cotton blend with the breathability of natural fibers and none of the stiffness. Semi-fixed triangle cups stay in position without foam or underwire. Adjustable straps with a comfortable, friction-free shoulder fit.</t>
        </is>
      </c>
      <c r="J21" s="1017" t="inlineStr">
        <is>
          <t>• UltraFlex Cotton: high-stretch, breathable, full elastic recovery after wear
• Semi-fixed triangle cup — natural shaping without foam padding or underwire
• 360° adaptive stretch maintains shape and structure across different body types
• Adjustable shoulder straps; no friction or pressure at the strap edges</t>
        </is>
      </c>
      <c r="K21" s="1018" t="inlineStr">
        <is>
          <t>88% Cotton, 12% Spandex</t>
        </is>
      </c>
    </row>
    <row r="22" ht="98" customHeight="1" s="229">
      <c r="A22" s="1001" t="n">
        <v>17</v>
      </c>
      <c r="B22" s="1002" t="inlineStr">
        <is>
          <t>Featherlight Push Up Bra</t>
        </is>
      </c>
      <c r="C22" s="1003" t="inlineStr">
        <is>
          <t>Bra</t>
        </is>
      </c>
      <c r="D22" s="1004" t="inlineStr">
        <is>
          <t>$49</t>
        </is>
      </c>
      <c r="E22" s="1005" t="inlineStr">
        <is>
          <t>Our Featherlight Push Up Bra redefines the art of lift with effortless elegance. Its low V-neckline and molded cups enhances your natural shape with subtle, flattering curves, while soft push-up padding adds just the right amount of boost without digging or pinching.</t>
        </is>
      </c>
      <c r="F22" s="1005" t="inlineStr"/>
      <c r="G22" s="1006" t="inlineStr"/>
      <c r="H22" s="1007" t="inlineStr">
        <is>
          <t>Lift without the weight.</t>
        </is>
      </c>
      <c r="I22" s="1008" t="inlineStr">
        <is>
          <t>Molded cups, soft push-up padding, and a low V-neckline — a wire-free push-up construction that enhances shape without hardware or structural foam. Light enough to feel incidental. The Featherlight fabric maintains the barely-there feel the name promises.</t>
        </is>
      </c>
      <c r="J22" s="1009" t="inlineStr">
        <is>
          <t>• Molded cups with soft push-up padding — subtle, natural lift without digging or pinching
• Low V-neckline — sits cleanly under plunging cuts and low-cut tops
• Wire-free despite structured cup construction
• Featherlight fabric throughout: no added weight from the support</t>
        </is>
      </c>
      <c r="K22" s="1010" t="inlineStr">
        <is>
          <t>Featherlight poly-Spandex blend</t>
        </is>
      </c>
    </row>
    <row r="23" ht="20" customHeight="1" s="229">
      <c r="A23" s="1019" t="inlineStr">
        <is>
          <t>BRIEFS</t>
        </is>
      </c>
      <c r="B23" s="1020" t="n"/>
      <c r="C23" s="1020" t="n"/>
      <c r="D23" s="1020" t="n"/>
      <c r="E23" s="1020" t="n"/>
      <c r="F23" s="1020" t="n"/>
      <c r="G23" s="1020" t="n"/>
      <c r="H23" s="1020" t="n"/>
      <c r="I23" s="1020" t="n"/>
      <c r="J23" s="1020" t="n"/>
      <c r="K23" s="1020" t="n"/>
    </row>
    <row r="24" ht="112" customHeight="1" s="229">
      <c r="A24" s="1021" t="n">
        <v>18</v>
      </c>
      <c r="B24" s="1022" t="inlineStr">
        <is>
          <t>Barely Zero Superlight Brief</t>
        </is>
      </c>
      <c r="C24" s="1023" t="inlineStr">
        <is>
          <t>Brief</t>
        </is>
      </c>
      <c r="D24" s="1024" t="inlineStr">
        <is>
          <t>—</t>
        </is>
      </c>
      <c r="E24" s="1025" t="inlineStr">
        <is>
          <t>From workouts to wind-downs, our Barely Zero Light Brief keeps up with your every move. With built-in silicone grip along the rim and a no-pinch back panel, it keeps everything in place. This brief is non-restrictive, breathable, and sleek under everything, making it your new go-to for invisible support.</t>
        </is>
      </c>
      <c r="F24" s="1025" t="inlineStr"/>
      <c r="G24" s="1026" t="inlineStr"/>
      <c r="H24" s="1027" t="inlineStr">
        <is>
          <t>Superlight. Stays put.</t>
        </is>
      </c>
      <c r="I24" s="1016" t="inlineStr">
        <is>
          <t>A silicone grip along the rim keeps the Superlight Brief in position through activity — no riding, no adjustment. The back panel is seamless and non-restrictive. Built for movement without the bulk: lightweight, breathable, and invisible under anything.</t>
        </is>
      </c>
      <c r="J24" s="1017" t="inlineStr">
        <is>
          <t>• Silicone grip along the waist rim — holds position through workouts and everyday movement
• No-pinch back panel: seamless, non-restrictive construction
• Lightweight breathable fabric; designed for active and all-day wear
• Seamless exterior — no visible lines under fitted clothing or activewear</t>
        </is>
      </c>
      <c r="K24" s="1018" t="inlineStr">
        <is>
          <t>Barely Zero adaptive nylon blend</t>
        </is>
      </c>
    </row>
    <row r="25" ht="98" customHeight="1" s="229">
      <c r="A25" s="1028" t="n">
        <v>19</v>
      </c>
      <c r="B25" s="1029" t="inlineStr">
        <is>
          <t>Barely Zero Low Waist Brief</t>
        </is>
      </c>
      <c r="C25" s="1030" t="inlineStr">
        <is>
          <t>Brief</t>
        </is>
      </c>
      <c r="D25" s="1031" t="inlineStr">
        <is>
          <t>$15</t>
        </is>
      </c>
      <c r="E25" s="1025" t="inlineStr">
        <is>
          <t>From the moment you put it on, the Barely Zero Low Waist Brief adapts to fit your body and continues to adapt through all life's natural changes. Fit tip: based on customer feedback, this brief best fits customers who wear up to a size M in underwear. For a wider size range, check out the Barely Zero Mid Waist Brief 2.0 !</t>
        </is>
      </c>
      <c r="F25" s="1025" t="inlineStr">
        <is>
          <t>• Moderate coverage &amp; seamless comfort where you need it most, all day and night. • T ailored for a close, comfortable fit that doesn't dig in or show lines, even under tight clothing! Complete with a 100% cotton lining. • Made from CloudFit: a soft, ultra-elastic blend that's breathable &amp; moisture-wicking for all-day skin comfort. Now with improved odor reduction!</t>
        </is>
      </c>
      <c r="G25" s="1026" t="inlineStr">
        <is>
          <t>68% CloudFit nylon blend, 32% Spandex; Lining: 100% cotton</t>
        </is>
      </c>
      <c r="H25" s="1032" t="inlineStr">
        <is>
          <t>Low rise. No show lines.</t>
        </is>
      </c>
      <c r="I25" s="1008" t="inlineStr">
        <is>
          <t>The Low Waist Brief adapts to the body from the first wear — no break-in period, no tight edges. CloudFit nylon for all-day breathability and moisture management. 100% cotton gusset lining. A clean low-rise profile that works under low-waist denim, wide-leg pants, or anything else.</t>
        </is>
      </c>
      <c r="J25" s="1009" t="inlineStr">
        <is>
          <t>• Low-rise cut — sits below the natural waist for a clean line under low-waist bottoms
• CloudFit nylon: ultra-elastic, breathable, moisture-wicking, odor-reducing
• 100% cotton gusset lining
• Moderate coverage; no digging at the legs or waist</t>
        </is>
      </c>
      <c r="K25" s="1010" t="inlineStr">
        <is>
          <t>68% CloudFit nylon blend, 32% Spandex | Gusset: 100% Cotton</t>
        </is>
      </c>
    </row>
    <row r="26" ht="84" customHeight="1" s="229">
      <c r="A26" s="1021" t="n">
        <v>20</v>
      </c>
      <c r="B26" s="1022" t="inlineStr">
        <is>
          <t>Barely Zero Mid Waist Brief</t>
        </is>
      </c>
      <c r="C26" s="1023" t="inlineStr">
        <is>
          <t>Brief</t>
        </is>
      </c>
      <c r="D26" s="1033" t="inlineStr">
        <is>
          <t>$19</t>
        </is>
      </c>
      <c r="E26" s="1025" t="inlineStr">
        <is>
          <t>The Barely Zero Mid Waist Brief 2.0, the latest brief in our revolutionary Barely Zero Collection, is the first to feature two sizes designed to better adapt to a wider range of body types!</t>
        </is>
      </c>
      <c r="F26" s="1025" t="inlineStr">
        <is>
          <t>• Classic mid-rise cut for f ull coverage and comfort all day &amp; night. • Leg openings feature bonded edge to help keep brief in place. A vailable in two options for a wide range of sizes and body types. • Made from our famous moisture-wicking, odor-reducing CloudFit blend, complete with a 100% cotton lining.</t>
        </is>
      </c>
      <c r="G26" s="1026" t="inlineStr">
        <is>
          <t>67% CloudFit nylon blend, 33% Spandex; lining: 100% cotton</t>
        </is>
      </c>
      <c r="H26" s="1027" t="inlineStr">
        <is>
          <t>Classic cut. Barely there.</t>
        </is>
      </c>
      <c r="I26" s="1016" t="inlineStr">
        <is>
          <t>Mid-rise, bonded leg openings, cotton gusset. The Mid Waist Brief 2.0 is the first in the Barely Zero brief range to come in two sizes — a wider fit range built for more body types. CloudFit nylon for moisture management; seamless profile throughout.</t>
        </is>
      </c>
      <c r="J26" s="1017" t="inlineStr">
        <is>
          <t>• Classic mid-rise cut: full coverage and comfort all day and night
• Bonded leg openings — no elastic imprint at the thigh
• Available in two sizes for a wider range of body types
• 100% cotton gusset lining</t>
        </is>
      </c>
      <c r="K26" s="1018" t="inlineStr">
        <is>
          <t>67% CloudFit nylon blend, 33% Spandex | Lining: 100% Cotton</t>
        </is>
      </c>
    </row>
    <row r="27" ht="84" customHeight="1" s="229">
      <c r="A27" s="1028" t="n">
        <v>21</v>
      </c>
      <c r="B27" s="1029" t="inlineStr">
        <is>
          <t>UltraFlex Light Brief 3-Pack</t>
        </is>
      </c>
      <c r="C27" s="1030" t="inlineStr">
        <is>
          <t>Brief</t>
        </is>
      </c>
      <c r="D27" s="1031" t="inlineStr">
        <is>
          <t>$30</t>
        </is>
      </c>
      <c r="E27" s="1025" t="inlineStr">
        <is>
          <t>Discover ultimate comfort and flexibility with the UltraFlex Light Mid-Waist Briefs (3-Pack). Crafted with delicate feather-light fabric and a seamless finish, these briefs are smooth, supportive, and subtly sculpting. Perfectly stretchy, keeping you cool and confident from morning to night.</t>
        </is>
      </c>
      <c r="F27" s="1025" t="inlineStr">
        <is>
          <t>• Designed without elastic for a gentle, non-binding fit around the waist and legs. • Moisture-wicking cotton lining for fresh, breathable wear. • High-stretch fabric with full hip coverage and a seamless finish.</t>
        </is>
      </c>
      <c r="G27" s="1026" t="inlineStr">
        <is>
          <t>75% Polyamide, 25% Spandex • Care instructions: For best results, hand wash with a light detergent in cold water</t>
        </is>
      </c>
      <c r="H27" s="1032" t="inlineStr">
        <is>
          <t>No elastic. Nothing binding. Set of three.</t>
        </is>
      </c>
      <c r="I27" s="1008" t="inlineStr">
        <is>
          <t>The UltraFlex Light Brief is constructed without elastic at the waist or legs — a deliberate design choice that eliminates the marking and imprinting of conventional briefs. Featherlight fabric, high stretch, full hip coverage. Sold as a set of three.</t>
        </is>
      </c>
      <c r="J27" s="1009" t="inlineStr">
        <is>
          <t>• No elastic at waist or legs — designed to be non-binding by construction, not just fit
• Moisture-wicking cotton lining for all-day freshness
• High-stretch fabric with full hip coverage and seamless finish
• Mid-waist cut — 3 per set</t>
        </is>
      </c>
      <c r="K27" s="1010" t="inlineStr">
        <is>
          <t>75% Polyamide, 25% Spandex</t>
        </is>
      </c>
    </row>
    <row r="28" ht="84" customHeight="1" s="229">
      <c r="A28" s="1021" t="n">
        <v>22</v>
      </c>
      <c r="B28" s="1022" t="inlineStr">
        <is>
          <t>UltraFlex Cotton Brief 3-Pack</t>
        </is>
      </c>
      <c r="C28" s="1023" t="inlineStr">
        <is>
          <t>Brief</t>
        </is>
      </c>
      <c r="D28" s="1033" t="inlineStr">
        <is>
          <t>$39</t>
        </is>
      </c>
      <c r="E28" s="1025" t="inlineStr">
        <is>
          <t>Experience all-day comfort with the UltraFlex Cotton Mid Waist Briefs (3-Pack). Featuring the UltraFlex Cotton Series, this set blends imported high-quality cotton and special weaving technology, offering the perfect blend of breathability and support for all-day wear.</t>
        </is>
      </c>
      <c r="F28" s="1025" t="inlineStr">
        <is>
          <t>• Mid-waist design provides a secure and flattering fit. • Crafted with Ultraflex Cotton, an ultra-soft, high-stretch cotton for enhanced comfort. • Seamless edges for a smooth, comfortable finish.</t>
        </is>
      </c>
      <c r="G28" s="1026" t="inlineStr">
        <is>
          <t>89%Cotton, 11%Spandex • Care instructions: For best results, hand wash with a light detergent in cold water</t>
        </is>
      </c>
      <c r="H28" s="1027" t="inlineStr">
        <is>
          <t>High-stretch cotton. Set of three.</t>
        </is>
      </c>
      <c r="I28" s="1016" t="inlineStr">
        <is>
          <t>UltraFlex Cotton — a high-stretch cotton blend with the breathability of natural fibers and the elasticity of performance fabric. Mid-waist silhouette, seamless edges, clean leg line. Three per set.</t>
        </is>
      </c>
      <c r="J28" s="1017" t="inlineStr">
        <is>
          <t>• UltraFlex Cotton: ultra-soft natural fiber with high stretch and full elastic recovery
• Mid-waist design for flattering, secure coverage
• Seamless edges throughout — smooth finish, no imprinting
• 3 per set</t>
        </is>
      </c>
      <c r="K28" s="1018" t="inlineStr">
        <is>
          <t>89% Cotton, 11% Spandex</t>
        </is>
      </c>
    </row>
    <row r="29" ht="20" customHeight="1" s="229">
      <c r="A29" s="1034" t="inlineStr">
        <is>
          <t>LEGGINGS</t>
        </is>
      </c>
      <c r="B29" s="1035" t="n"/>
      <c r="C29" s="1035" t="n"/>
      <c r="D29" s="1035" t="n"/>
      <c r="E29" s="1035" t="n"/>
      <c r="F29" s="1035" t="n"/>
      <c r="G29" s="1035" t="n"/>
      <c r="H29" s="1035" t="n"/>
      <c r="I29" s="1035" t="n"/>
      <c r="J29" s="1035" t="n"/>
      <c r="K29" s="1035" t="n"/>
    </row>
    <row r="30" ht="112" customHeight="1" s="229">
      <c r="A30" s="1036" t="n">
        <v>23</v>
      </c>
      <c r="B30" s="1037" t="inlineStr">
        <is>
          <t>Barely Zero Lycra Leggings</t>
        </is>
      </c>
      <c r="C30" s="1038" t="inlineStr">
        <is>
          <t>Leggings</t>
        </is>
      </c>
      <c r="D30" s="1039" t="inlineStr">
        <is>
          <t>—</t>
        </is>
      </c>
      <c r="E30" s="1040" t="inlineStr">
        <is>
          <t>A cozy update to our best-selling leggings, our Barely Zero Lycra Leggings are thicker and warmer than the original. P air them with everything from your favorite sweatshirt for a brisk morning walk or a cozy cardigan for everyday wear.</t>
        </is>
      </c>
      <c r="F30" s="1040" t="inlineStr">
        <is>
          <t>• Go-to c ozy leggings, perfect for everyday wear! • Features lightweight Lycra fabric that's ultra-elastic &amp; soft for an adaptive fit. • High waist, ankle-length fit with double-layered waistband. • Adapts to fit anyone in the following ranges: 24.5"- 34.5" waist and 31.5"- 39.5" hips. Flat garment inseam length: 23" (however, this garment stretches to accommodate a longer length).</t>
        </is>
      </c>
      <c r="G30" s="1041" t="inlineStr">
        <is>
          <t>82% CloudFit nylon, 18% Spandex • Care instructions: For best results, hand wash with like colors in cold water. Lay flat or hang to dry</t>
        </is>
      </c>
      <c r="H30" s="1042" t="inlineStr">
        <is>
          <t>Thicker. Warmer. All day.</t>
        </is>
      </c>
      <c r="I30" s="1008" t="inlineStr">
        <is>
          <t>The Lycra Leggings are a heavier-weight interpretation of the Barely Zero construction — the same adaptive CloudFit nylon, denser for cooler weather and all-day outdoor wear. Double-layered waistband, high-waist silhouette, no side seams. Fits waist 24.5"–34.5", hips 31.5"–39.5".</t>
        </is>
      </c>
      <c r="J30" s="1009" t="inlineStr">
        <is>
          <t>• Thicker Lycra construction — warmer than standard Barely Zero leggings for cooler months
• Adaptive CloudFit nylon: conforms to the body without compression
• Double-layered high-waist panel — flat, smooth, no rolling
• No side stitching; ankle-length; fits waist 24.5"–34.5", hips 31.5"–39.5"</t>
        </is>
      </c>
      <c r="K30" s="1010" t="inlineStr">
        <is>
          <t>82% CloudFit nylon, 18% Spandex</t>
        </is>
      </c>
    </row>
    <row r="31" ht="112" customHeight="1" s="229">
      <c r="A31" s="1043" t="n">
        <v>24</v>
      </c>
      <c r="B31" s="1044" t="inlineStr">
        <is>
          <t>Barely Zero Flow Leggings</t>
        </is>
      </c>
      <c r="C31" s="1045" t="inlineStr">
        <is>
          <t>Leggings</t>
        </is>
      </c>
      <c r="D31" s="1046" t="inlineStr">
        <is>
          <t>$39</t>
        </is>
      </c>
      <c r="E31" s="1040" t="inlineStr">
        <is>
          <t>The adaptive fit you know and love isn't just for underwear anymore! The Barely Zero Leggings are the perfect lightweight legging for a flattering fit and all-day comfort.</t>
        </is>
      </c>
      <c r="F31" s="1040" t="inlineStr">
        <is>
          <t>• Made from a breathable and ultra-elastic Barely Zero fabric blend for a great fit and all-day skin comfort. • Ankle-length with double-layered high-waisted waistband and no side stitching. Easily layers under pants and dresses. • Comfortably adapts to fit anyone in the following ranges: 24.5"- 34.5" waist and 31.5"- 39.5" hips. Flat garment inseam length: 23" (however, this garment stretches to accommodate a longer length).</t>
        </is>
      </c>
      <c r="G31" s="1041" t="inlineStr">
        <is>
          <t>86% CloudFit nylon, 14% Spandex • Care instructions: Gently hand wash with like colors in cold water. Use a light detergent and do not scrub or allow to soak for longer than 10 minutes</t>
        </is>
      </c>
      <c r="H31" s="1047" t="inlineStr">
        <is>
          <t>The Barely Zero fit. Full length.</t>
        </is>
      </c>
      <c r="I31" s="1016" t="inlineStr">
        <is>
          <t>The Flow Leggings extend the adaptive construction of the Barely Zero underwear range into a full-length outerwear legging — the same second-skin CloudFit nylon, now designed to wear beyond the home. Ankle-length, double-layered waistband, no side seams. Fits waist 24.5"–34.5", hips 31.5"–39.5".</t>
        </is>
      </c>
      <c r="J31" s="1017" t="inlineStr">
        <is>
          <t>• Barely Zero CloudFit nylon: ultra-elastic, breathable, designed to conform without compressing
• Double-layered high-waist panel — holds flat, no rolling at the waistband
• No side stitching — clean silhouette that layers under pants or dresses
• Ankle-length; fits waist 24.5"–34.5", hips 31.5"–39.5"</t>
        </is>
      </c>
      <c r="K31" s="1018" t="inlineStr">
        <is>
          <t>86% CloudFit nylon, 14% Spandex</t>
        </is>
      </c>
    </row>
    <row r="32" ht="112" customHeight="1" s="229">
      <c r="A32" s="1036" t="n">
        <v>25</v>
      </c>
      <c r="B32" s="1037" t="inlineStr">
        <is>
          <t>Barely Zero Flow Shorts</t>
        </is>
      </c>
      <c r="C32" s="1038" t="inlineStr">
        <is>
          <t>Leggings</t>
        </is>
      </c>
      <c r="D32" s="1048" t="inlineStr">
        <is>
          <t>$35</t>
        </is>
      </c>
      <c r="E32" s="1040" t="inlineStr">
        <is>
          <t>The adaptive fit you know and love isn't just for underwear anymore! The Barely Zero Biker Shorts are the perfect lightweight style for a flattering fit all season long.</t>
        </is>
      </c>
      <c r="F32" s="1040" t="inlineStr">
        <is>
          <t>• Made from a breathable and ultra-elastic Barely Zero fabric blend for a great fit and all-day skin comfort. • Features double-layered high-waisted waistband with no side stitching. Easily layers under pants and dresses. • Comfortably adapts to fit anyone in the following ranges: 24.5"- 34.5" waist and 31"- 40" hips. Flat garment inseam length: 8.5" (however, this garment stretches to accommodate a longer length).</t>
        </is>
      </c>
      <c r="G32" s="1041" t="inlineStr">
        <is>
          <t>86% CloudFit nylon , 14% Spandex • Care instructions: Gently hand wash with like colors in cold water. Use a light detergent and do not scrub or allow to soak for longer than 10 minutes</t>
        </is>
      </c>
      <c r="H32" s="1042" t="inlineStr">
        <is>
          <t>The Barely Zero fit. Shorter.</t>
        </is>
      </c>
      <c r="I32" s="1008" t="inlineStr">
        <is>
          <t>The same CloudFit nylon construction as the Flow Leggings in a bike-short length. High-waist double-layered panel, no side seams, anti-compression by design. Wears from morning through evening, active or at rest. Fits waist 24.5"–34.5", hips 31"–40".</t>
        </is>
      </c>
      <c r="J32" s="1009" t="inlineStr">
        <is>
          <t>• CloudFit nylon: same adaptive fabric as the Flow Leggings — consistent feel across the range
• Double-layered high-waist panel that stays in position through movement
• No side stitching; anti-compression construction — no squeezing or binding
• Bike-short length; fits waist 24.5"–34.5", hips 31"–40"</t>
        </is>
      </c>
      <c r="K32" s="1010" t="inlineStr">
        <is>
          <t>86% CloudFit nylon, 14% Spandex</t>
        </is>
      </c>
    </row>
  </sheetData>
  <pageMargins left="0.75" right="0.75" top="1" bottom="1" header="0.5" footer="0.5"/>
</worksheet>
</file>

<file path=xl/worksheets/sheet4.xml><?xml version="1.0" encoding="utf-8"?>
<worksheet xmlns="http://schemas.openxmlformats.org/spreadsheetml/2006/main">
  <sheetPr>
    <tabColor rgb="00E07B39"/>
    <outlinePr summaryBelow="1" summaryRight="1"/>
    <pageSetUpPr/>
  </sheetPr>
  <dimension ref="A1:O113"/>
  <sheetViews>
    <sheetView showGridLines="0" workbookViewId="0">
      <pane ySplit="3" topLeftCell="A4" activePane="bottomLeft" state="frozen"/>
      <selection pane="bottomLeft" activeCell="A33" sqref="A31:D33"/>
    </sheetView>
  </sheetViews>
  <sheetFormatPr baseColWidth="10" defaultColWidth="9" defaultRowHeight="14"/>
  <cols>
    <col width="40" customWidth="1" style="229" min="1" max="1"/>
    <col width="11" customWidth="1" style="229" min="2" max="2"/>
    <col width="30" customWidth="1" style="229" min="3" max="3"/>
    <col width="10" customWidth="1" style="229" min="4" max="4"/>
    <col width="16" customWidth="1" style="229" min="5" max="5"/>
    <col width="13" customWidth="1" style="229" min="6" max="6"/>
    <col width="10" customWidth="1" style="229" min="7" max="7"/>
    <col width="16" customWidth="1" style="229" min="8" max="8"/>
    <col width="32" customWidth="1" style="229" min="9" max="9"/>
    <col width="13" customWidth="1" style="229" min="10" max="10"/>
    <col width="22" customWidth="1" style="229" min="11" max="11"/>
    <col width="12" bestFit="1" customWidth="1" style="229" min="12" max="12"/>
  </cols>
  <sheetData>
    <row r="1" ht="26" customHeight="1" s="229">
      <c r="A1" s="877" t="inlineStr">
        <is>
          <t>US FLASH SALE — Full Product List</t>
        </is>
      </c>
      <c r="B1" s="550" t="n"/>
      <c r="C1" s="550" t="n"/>
      <c r="D1" s="550" t="n"/>
      <c r="E1" s="550" t="n"/>
      <c r="F1" s="550" t="n"/>
      <c r="G1" s="550" t="n"/>
      <c r="H1" s="550" t="n"/>
      <c r="I1" s="550" t="n"/>
      <c r="J1" s="550" t="n"/>
      <c r="K1" s="550" t="n"/>
      <c r="L1" s="550" t="n"/>
      <c r="M1" s="550" t="n"/>
      <c r="N1" s="550" t="n"/>
      <c r="O1" s="550" t="n"/>
    </row>
    <row r="2" ht="18" customHeight="1" s="229">
      <c r="A2" s="878" t="inlineStr">
        <is>
          <t>105 products with US warehouse inventory. These cannot be returned to China. Run flash sale to clear. Data: Nov 2025–Jan 2026.</t>
        </is>
      </c>
      <c r="B2" s="552" t="n"/>
      <c r="C2" s="552" t="n"/>
      <c r="D2" s="552" t="n"/>
      <c r="E2" s="552" t="n"/>
      <c r="F2" s="552" t="n"/>
      <c r="G2" s="552" t="n"/>
      <c r="H2" s="552" t="n"/>
      <c r="I2" s="552" t="n"/>
      <c r="J2" s="552" t="n"/>
      <c r="K2" s="552" t="n"/>
      <c r="L2" s="552" t="n"/>
      <c r="M2" s="552" t="n"/>
      <c r="N2" s="552" t="n"/>
      <c r="O2" s="552" t="n"/>
    </row>
    <row r="3" ht="40" customHeight="1" s="229">
      <c r="A3" s="553" t="inlineStr">
        <is>
          <t>Product</t>
        </is>
      </c>
      <c r="B3" s="553" t="inlineStr">
        <is>
          <t>Category</t>
        </is>
      </c>
      <c r="C3" s="553" t="inlineStr">
        <is>
          <t>Liq. Priority</t>
        </is>
      </c>
      <c r="D3" s="553" t="inlineStr">
        <is>
          <t>US Warehouse
(physical US stock)</t>
        </is>
      </c>
      <c r="E3" s="553" t="inlineStr">
        <is>
          <t>Yuntu
(CN warehouse, ships to US)</t>
        </is>
      </c>
      <c r="F3" s="553" t="inlineStr">
        <is>
          <t>菜鸟仓
(CN long-term storage)</t>
        </is>
      </c>
      <c r="G3" s="553" t="inlineStr">
        <is>
          <t>US Inventory
(US Warehouse + Yuntu)</t>
        </is>
      </c>
      <c r="H3" s="553" t="inlineStr">
        <is>
          <t>Total Inventory
(US Warehouse + Yuntu + 菜鸟仓)</t>
        </is>
      </c>
      <c r="I3" s="553" t="inlineStr">
        <is>
          <t>90-Day Net Sales</t>
        </is>
      </c>
      <c r="J3" s="553" t="inlineStr">
        <is>
          <t>Avg Price</t>
        </is>
      </c>
      <c r="K3" s="553" t="inlineStr">
        <is>
          <t>Est. Inv Value</t>
        </is>
      </c>
      <c r="L3" s="553" t="inlineStr">
        <is>
          <t>Disposal Route</t>
        </is>
      </c>
      <c r="M3" s="553" t="inlineStr">
        <is>
          <t>Est COGS/Unit</t>
        </is>
      </c>
      <c r="N3" s="553" t="inlineStr">
        <is>
          <t>Flash Sale Value
(COGS × US Inventory)</t>
        </is>
      </c>
      <c r="O3" s="553" t="inlineStr">
        <is>
          <t>Est. Inventory Value
(COGS × Total Inventory)</t>
        </is>
      </c>
    </row>
    <row r="4" ht="16" customHeight="1" s="229">
      <c r="A4" s="554" t="inlineStr">
        <is>
          <t>▸  UNDERWEAR  —  27 products  |  684 US units  |  8581 China units</t>
        </is>
      </c>
      <c r="B4" s="555" t="n"/>
      <c r="C4" s="555" t="n"/>
      <c r="D4" s="555" t="n"/>
      <c r="E4" s="555" t="n"/>
      <c r="F4" s="555" t="n"/>
      <c r="G4" s="555" t="n"/>
      <c r="H4" s="555" t="n"/>
      <c r="I4" s="555" t="n"/>
      <c r="J4" s="555" t="n"/>
      <c r="K4" s="556" t="n"/>
      <c r="L4" s="555" t="n"/>
      <c r="M4" s="557" t="n"/>
      <c r="N4" s="557" t="n"/>
      <c r="O4" s="557" t="n"/>
    </row>
    <row r="5" ht="18" customHeight="1" s="229">
      <c r="A5" s="117" t="inlineStr">
        <is>
          <t>Pure Comfort Soft Modal Triangle Bra 3.0</t>
        </is>
      </c>
      <c r="B5" s="117" t="inlineStr">
        <is>
          <t>Underwear</t>
        </is>
      </c>
      <c r="C5" s="117" t="inlineStr">
        <is>
          <t>3 — MEDIUM (selldown or markdown)</t>
        </is>
      </c>
      <c r="D5" s="135" t="n">
        <v>333</v>
      </c>
      <c r="E5" s="147" t="n">
        <v>29</v>
      </c>
      <c r="F5" s="147" t="n">
        <v>0</v>
      </c>
      <c r="G5" s="147" t="n">
        <v>362</v>
      </c>
      <c r="H5" s="135" t="n">
        <v>362</v>
      </c>
      <c r="I5" s="117" t="inlineStr">
        <is>
          <t>$4,302</t>
        </is>
      </c>
      <c r="J5" s="117" t="inlineStr">
        <is>
          <t>$28.49</t>
        </is>
      </c>
      <c r="K5" s="117" t="n">
        <v>3620</v>
      </c>
      <c r="L5" s="117" t="inlineStr">
        <is>
          <t>Flash Sale (US) + Transfer to China (Yuntu)</t>
        </is>
      </c>
      <c r="M5" s="350" t="n">
        <v>10</v>
      </c>
      <c r="N5" s="174">
        <f>M5*G5</f>
        <v/>
      </c>
      <c r="O5" s="174">
        <f>M5*H5</f>
        <v/>
      </c>
    </row>
    <row r="6" ht="18" customHeight="1" s="229">
      <c r="A6" s="117" t="inlineStr">
        <is>
          <t>Twin Cross Plunge Contour Bra 2.0</t>
        </is>
      </c>
      <c r="B6" s="117" t="inlineStr">
        <is>
          <t>Underwear</t>
        </is>
      </c>
      <c r="C6" s="117" t="inlineStr">
        <is>
          <t>3 — MEDIUM (selldown or markdown)</t>
        </is>
      </c>
      <c r="D6" s="135" t="n">
        <v>118</v>
      </c>
      <c r="E6" s="147" t="n">
        <v>45</v>
      </c>
      <c r="F6" s="147" t="n">
        <v>2086</v>
      </c>
      <c r="G6" s="147" t="n">
        <v>163</v>
      </c>
      <c r="H6" s="135" t="n">
        <v>2249</v>
      </c>
      <c r="I6" s="117" t="inlineStr">
        <is>
          <t>$5,293</t>
        </is>
      </c>
      <c r="J6" s="117" t="inlineStr">
        <is>
          <t>$0.00</t>
        </is>
      </c>
      <c r="K6" s="117" t="n">
        <v>3160</v>
      </c>
      <c r="L6" s="117" t="inlineStr">
        <is>
          <t>Flash Sale (US) + Transfer to China</t>
        </is>
      </c>
      <c r="M6" s="350" t="n">
        <v>10</v>
      </c>
      <c r="N6" s="174">
        <f>M6*G6</f>
        <v/>
      </c>
      <c r="O6" s="174">
        <f>M6*H6</f>
        <v/>
      </c>
    </row>
    <row r="7" ht="18" customHeight="1" s="229">
      <c r="A7" s="117" t="inlineStr">
        <is>
          <t>Pure Comfort Ribbed Plunge Bra</t>
        </is>
      </c>
      <c r="B7" s="117" t="inlineStr">
        <is>
          <t>Underwear</t>
        </is>
      </c>
      <c r="C7" s="117" t="inlineStr">
        <is>
          <t>3 — MEDIUM (selldown or markdown)</t>
        </is>
      </c>
      <c r="D7" s="135" t="n">
        <v>38</v>
      </c>
      <c r="E7" s="147" t="n">
        <v>34</v>
      </c>
      <c r="F7" s="147" t="n">
        <v>583</v>
      </c>
      <c r="G7" s="147" t="n">
        <v>72</v>
      </c>
      <c r="H7" s="135" t="n">
        <v>655</v>
      </c>
      <c r="I7" s="117" t="inlineStr">
        <is>
          <t>$2,707</t>
        </is>
      </c>
      <c r="J7" s="117" t="inlineStr">
        <is>
          <t>$0.00</t>
        </is>
      </c>
      <c r="K7" s="117" t="inlineStr">
        <is>
          <t>$1,270</t>
        </is>
      </c>
      <c r="L7" s="117" t="inlineStr">
        <is>
          <t>Flash Sale (US) + Transfer to China</t>
        </is>
      </c>
      <c r="M7" s="350" t="n">
        <v>10</v>
      </c>
      <c r="N7" s="174">
        <f>M7*G7</f>
        <v/>
      </c>
      <c r="O7" s="174">
        <f>M7*H7</f>
        <v/>
      </c>
    </row>
    <row r="8" ht="18" customHeight="1" s="229">
      <c r="A8" s="119" t="inlineStr">
        <is>
          <t>Twin Cross Mesh Bra</t>
        </is>
      </c>
      <c r="B8" s="119" t="inlineStr">
        <is>
          <t>Underwear</t>
        </is>
      </c>
      <c r="C8" s="119" t="inlineStr">
        <is>
          <t>3 — MEDIUM (selldown or markdown)</t>
        </is>
      </c>
      <c r="D8" s="150" t="n">
        <v>26</v>
      </c>
      <c r="E8" s="147" t="n">
        <v>21</v>
      </c>
      <c r="F8" s="147" t="n">
        <v>386</v>
      </c>
      <c r="G8" s="147" t="n">
        <v>47</v>
      </c>
      <c r="H8" s="150" t="n">
        <v>433</v>
      </c>
      <c r="I8" s="119" t="inlineStr">
        <is>
          <t>$4,103</t>
        </is>
      </c>
      <c r="J8" s="119" t="inlineStr">
        <is>
          <t>$0.00</t>
        </is>
      </c>
      <c r="K8" s="119" t="inlineStr">
        <is>
          <t>$1,390</t>
        </is>
      </c>
      <c r="L8" s="119" t="inlineStr">
        <is>
          <t>Flash Sale (US) + Transfer to China</t>
        </is>
      </c>
      <c r="M8" s="351" t="n">
        <v>10</v>
      </c>
      <c r="N8" s="175">
        <f>M8*G8</f>
        <v/>
      </c>
      <c r="O8" s="175">
        <f>M8*H8</f>
        <v/>
      </c>
    </row>
    <row r="9" ht="18" customHeight="1" s="229">
      <c r="A9" s="119" t="inlineStr">
        <is>
          <t>Nude Shape Triangle Bra</t>
        </is>
      </c>
      <c r="B9" s="119" t="inlineStr">
        <is>
          <t>Underwear</t>
        </is>
      </c>
      <c r="C9" s="119" t="inlineStr">
        <is>
          <t>3 — MEDIUM (selldown or markdown)</t>
        </is>
      </c>
      <c r="D9" s="150" t="n">
        <v>25</v>
      </c>
      <c r="E9" s="147" t="n">
        <v>797</v>
      </c>
      <c r="F9" s="147" t="n">
        <v>0</v>
      </c>
      <c r="G9" s="147" t="n">
        <v>822</v>
      </c>
      <c r="H9" s="150" t="n">
        <v>822</v>
      </c>
      <c r="I9" s="119" t="inlineStr">
        <is>
          <t>$6,336</t>
        </is>
      </c>
      <c r="J9" s="119" t="inlineStr">
        <is>
          <t>$0.00</t>
        </is>
      </c>
      <c r="K9" s="119" t="inlineStr">
        <is>
          <t>$24,660</t>
        </is>
      </c>
      <c r="L9" s="119" t="inlineStr">
        <is>
          <t>Flash Sale (US) + Transfer to China</t>
        </is>
      </c>
      <c r="M9" s="351" t="n">
        <v>10</v>
      </c>
      <c r="N9" s="175">
        <f>M9*G9</f>
        <v/>
      </c>
      <c r="O9" s="175">
        <f>M9*H9</f>
        <v/>
      </c>
    </row>
    <row r="10" ht="18" customHeight="1" s="229">
      <c r="A10" s="119" t="inlineStr">
        <is>
          <t>Pure Comfort Premium Jacquard Bra</t>
        </is>
      </c>
      <c r="B10" s="119" t="inlineStr">
        <is>
          <t>Underwear</t>
        </is>
      </c>
      <c r="C10" s="119" t="inlineStr">
        <is>
          <t>3 — MEDIUM (selldown or markdown)</t>
        </is>
      </c>
      <c r="D10" s="150" t="n">
        <v>20</v>
      </c>
      <c r="E10" s="147" t="n">
        <v>36</v>
      </c>
      <c r="F10" s="147" t="n">
        <v>139</v>
      </c>
      <c r="G10" s="147" t="n">
        <v>56</v>
      </c>
      <c r="H10" s="150" t="n">
        <v>195</v>
      </c>
      <c r="I10" s="119" t="inlineStr">
        <is>
          <t>$2,386</t>
        </is>
      </c>
      <c r="J10" s="119" t="inlineStr">
        <is>
          <t>$0.00</t>
        </is>
      </c>
      <c r="K10" s="119" t="inlineStr">
        <is>
          <t>$1,470</t>
        </is>
      </c>
      <c r="L10" s="119" t="inlineStr">
        <is>
          <t>Flash Sale (US) + Transfer to China</t>
        </is>
      </c>
      <c r="M10" s="351" t="n">
        <v>10</v>
      </c>
      <c r="N10" s="175">
        <f>M10*G10</f>
        <v/>
      </c>
      <c r="O10" s="175">
        <f>M10*H10</f>
        <v/>
      </c>
    </row>
    <row r="11" ht="18" customHeight="1" s="229">
      <c r="A11" s="117" t="inlineStr">
        <is>
          <t>Winged Support ¬æ Cup Bra</t>
        </is>
      </c>
      <c r="B11" s="117" t="inlineStr">
        <is>
          <t>Underwear</t>
        </is>
      </c>
      <c r="C11" s="117" t="inlineStr">
        <is>
          <t>3 — MEDIUM (selldown or markdown)</t>
        </is>
      </c>
      <c r="D11" s="135" t="n">
        <v>17</v>
      </c>
      <c r="E11" s="147" t="n">
        <v>45</v>
      </c>
      <c r="F11" s="147" t="n">
        <v>0</v>
      </c>
      <c r="G11" s="147" t="n">
        <v>62</v>
      </c>
      <c r="H11" s="135" t="n">
        <v>62</v>
      </c>
      <c r="I11" s="117" t="inlineStr">
        <is>
          <t>$570</t>
        </is>
      </c>
      <c r="J11" s="117" t="inlineStr">
        <is>
          <t>$0.00</t>
        </is>
      </c>
      <c r="K11" s="117" t="inlineStr">
        <is>
          <t>$940</t>
        </is>
      </c>
      <c r="L11" s="117" t="inlineStr">
        <is>
          <t>Flash Sale (US) + Transfer to China</t>
        </is>
      </c>
      <c r="M11" s="350" t="n">
        <v>10</v>
      </c>
      <c r="N11" s="174">
        <f>M11*G11</f>
        <v/>
      </c>
      <c r="O11" s="174">
        <f>M11*H11</f>
        <v/>
      </c>
    </row>
    <row r="12" ht="18" customHeight="1" s="229">
      <c r="A12" s="119" t="inlineStr">
        <is>
          <t>Nude Shape Triangle Bra 2.0</t>
        </is>
      </c>
      <c r="B12" s="119" t="inlineStr">
        <is>
          <t>Underwear</t>
        </is>
      </c>
      <c r="C12" s="119" t="inlineStr">
        <is>
          <t>3 — MEDIUM (selldown or markdown)</t>
        </is>
      </c>
      <c r="D12" s="150" t="n">
        <v>17</v>
      </c>
      <c r="E12" s="147" t="n">
        <v>25</v>
      </c>
      <c r="F12" s="147" t="n">
        <v>403</v>
      </c>
      <c r="G12" s="147" t="n">
        <v>42</v>
      </c>
      <c r="H12" s="150" t="n">
        <v>445</v>
      </c>
      <c r="I12" s="119" t="inlineStr">
        <is>
          <t>$1,840</t>
        </is>
      </c>
      <c r="J12" s="119" t="inlineStr">
        <is>
          <t>$0.00</t>
        </is>
      </c>
      <c r="K12" s="119" t="inlineStr">
        <is>
          <t>$1,010</t>
        </is>
      </c>
      <c r="L12" s="119" t="inlineStr">
        <is>
          <t>Flash Sale (US) + Transfer to China</t>
        </is>
      </c>
      <c r="M12" s="351" t="n">
        <v>10</v>
      </c>
      <c r="N12" s="175">
        <f>M12*G12</f>
        <v/>
      </c>
      <c r="O12" s="175">
        <f>M12*H12</f>
        <v/>
      </c>
    </row>
    <row r="13" ht="18" customHeight="1" s="229">
      <c r="A13" s="117" t="inlineStr">
        <is>
          <t>Winged Support Curve Bra</t>
        </is>
      </c>
      <c r="B13" s="117" t="inlineStr">
        <is>
          <t>Underwear</t>
        </is>
      </c>
      <c r="C13" s="117" t="inlineStr">
        <is>
          <t>3 — MEDIUM (selldown or markdown)</t>
        </is>
      </c>
      <c r="D13" s="135" t="n">
        <v>11</v>
      </c>
      <c r="E13" s="147" t="n">
        <v>32</v>
      </c>
      <c r="F13" s="147" t="n">
        <v>119</v>
      </c>
      <c r="G13" s="147" t="n">
        <v>43</v>
      </c>
      <c r="H13" s="135" t="n">
        <v>162</v>
      </c>
      <c r="I13" s="117" t="inlineStr">
        <is>
          <t>$520</t>
        </is>
      </c>
      <c r="J13" s="117" t="inlineStr">
        <is>
          <t>$0.00</t>
        </is>
      </c>
      <c r="K13" s="117" t="inlineStr">
        <is>
          <t>$870</t>
        </is>
      </c>
      <c r="L13" s="117" t="inlineStr">
        <is>
          <t>Flash Sale (US) + Transfer to China</t>
        </is>
      </c>
      <c r="M13" s="350" t="n">
        <v>10</v>
      </c>
      <c r="N13" s="174">
        <f>M13*G13</f>
        <v/>
      </c>
      <c r="O13" s="174">
        <f>M13*H13</f>
        <v/>
      </c>
    </row>
    <row r="14" ht="18" customHeight="1" s="229">
      <c r="A14" s="117" t="inlineStr">
        <is>
          <t>Shimmer Plunge Bra</t>
        </is>
      </c>
      <c r="B14" s="117" t="inlineStr">
        <is>
          <t>Underwear</t>
        </is>
      </c>
      <c r="C14" s="117" t="inlineStr">
        <is>
          <t>4 — LOW (natural sellthrough)</t>
        </is>
      </c>
      <c r="D14" s="135" t="n">
        <v>9</v>
      </c>
      <c r="E14" s="147" t="n">
        <v>0</v>
      </c>
      <c r="F14" s="147" t="n">
        <v>26</v>
      </c>
      <c r="G14" s="147" t="n">
        <v>9</v>
      </c>
      <c r="H14" s="135" t="n">
        <v>35</v>
      </c>
      <c r="I14" s="117" t="inlineStr">
        <is>
          <t>$179</t>
        </is>
      </c>
      <c r="J14" s="117" t="inlineStr">
        <is>
          <t>$0.00</t>
        </is>
      </c>
      <c r="K14" s="117" t="inlineStr">
        <is>
          <t>$270</t>
        </is>
      </c>
      <c r="L14" s="117" t="inlineStr">
        <is>
          <t>Flash Sale (US) + Transfer to China</t>
        </is>
      </c>
      <c r="M14" s="350" t="n">
        <v>10</v>
      </c>
      <c r="N14" s="174">
        <f>M14*G14</f>
        <v/>
      </c>
      <c r="O14" s="174">
        <f>M14*H14</f>
        <v/>
      </c>
    </row>
    <row r="15" ht="18" customHeight="1" s="229">
      <c r="A15" s="117" t="inlineStr">
        <is>
          <t>Cotton Cozy Bra</t>
        </is>
      </c>
      <c r="B15" s="117" t="inlineStr">
        <is>
          <t>Underwear</t>
        </is>
      </c>
      <c r="C15" s="117" t="inlineStr">
        <is>
          <t>3 — MEDIUM (selldown or markdown)</t>
        </is>
      </c>
      <c r="D15" s="135" t="n">
        <v>8</v>
      </c>
      <c r="E15" s="147" t="n">
        <v>47</v>
      </c>
      <c r="F15" s="147" t="n">
        <v>213</v>
      </c>
      <c r="G15" s="147" t="n">
        <v>55</v>
      </c>
      <c r="H15" s="135" t="n">
        <v>268</v>
      </c>
      <c r="I15" s="117" t="inlineStr">
        <is>
          <t>$1,257</t>
        </is>
      </c>
      <c r="J15" s="117" t="inlineStr">
        <is>
          <t>$0.00</t>
        </is>
      </c>
      <c r="K15" s="117" t="inlineStr">
        <is>
          <t>$900</t>
        </is>
      </c>
      <c r="L15" s="117" t="inlineStr">
        <is>
          <t>Flash Sale (US) + Transfer to China</t>
        </is>
      </c>
      <c r="M15" s="350" t="n">
        <v>10</v>
      </c>
      <c r="N15" s="174">
        <f>M15*G15</f>
        <v/>
      </c>
      <c r="O15" s="174">
        <f>M15*H15</f>
        <v/>
      </c>
    </row>
    <row r="16" ht="18" customHeight="1" s="229">
      <c r="A16" s="117" t="inlineStr">
        <is>
          <t>Nude Skin Bra</t>
        </is>
      </c>
      <c r="B16" s="117" t="inlineStr">
        <is>
          <t>Underwear</t>
        </is>
      </c>
      <c r="C16" s="117" t="inlineStr">
        <is>
          <t>2 — HIGH (dead product)</t>
        </is>
      </c>
      <c r="D16" s="135" t="n">
        <v>8</v>
      </c>
      <c r="E16" s="147" t="n">
        <v>0</v>
      </c>
      <c r="F16" s="147" t="n">
        <v>30</v>
      </c>
      <c r="G16" s="147" t="n">
        <v>8</v>
      </c>
      <c r="H16" s="135" t="n">
        <v>38</v>
      </c>
      <c r="I16" s="117" t="inlineStr">
        <is>
          <t>$0</t>
        </is>
      </c>
      <c r="J16" s="117" t="inlineStr">
        <is>
          <t>$0.00</t>
        </is>
      </c>
      <c r="K16" s="117" t="inlineStr">
        <is>
          <t>$0</t>
        </is>
      </c>
      <c r="L16" s="117" t="inlineStr">
        <is>
          <t>Flash Sale (US) + Transfer to China</t>
        </is>
      </c>
      <c r="M16" s="350" t="n">
        <v>10</v>
      </c>
      <c r="N16" s="174">
        <f>M16*G16</f>
        <v/>
      </c>
      <c r="O16" s="174">
        <f>M16*H16</f>
        <v/>
      </c>
    </row>
    <row r="17" ht="18" customHeight="1" s="229">
      <c r="A17" s="117" t="inlineStr">
        <is>
          <t>Pure Comfort Soft Modal Triangle Bra 2.0</t>
        </is>
      </c>
      <c r="B17" s="117" t="inlineStr">
        <is>
          <t>Underwear</t>
        </is>
      </c>
      <c r="C17" s="117" t="inlineStr">
        <is>
          <t>3 — MEDIUM (selldown or markdown)</t>
        </is>
      </c>
      <c r="D17" s="135" t="n">
        <v>8</v>
      </c>
      <c r="E17" s="147" t="n">
        <v>38</v>
      </c>
      <c r="F17" s="147" t="n">
        <v>1198</v>
      </c>
      <c r="G17" s="147" t="n">
        <v>46</v>
      </c>
      <c r="H17" s="135" t="n">
        <v>1244</v>
      </c>
      <c r="I17" s="117" t="inlineStr">
        <is>
          <t>$1,634</t>
        </is>
      </c>
      <c r="J17" s="117" t="inlineStr">
        <is>
          <t>$29.19</t>
        </is>
      </c>
      <c r="K17" s="117" t="n">
        <v>1244</v>
      </c>
      <c r="L17" s="117" t="inlineStr">
        <is>
          <t>Transfer to China — mainly 菜鸟仓 (1,198 units)</t>
        </is>
      </c>
      <c r="M17" s="350" t="n">
        <v>10</v>
      </c>
      <c r="N17" s="174">
        <f>M17*G17</f>
        <v/>
      </c>
      <c r="O17" s="174">
        <f>M17*H17</f>
        <v/>
      </c>
    </row>
    <row r="18" ht="18" customHeight="1" s="229">
      <c r="A18" s="119" t="inlineStr">
        <is>
          <t>3D Smile Support Plunge Bra</t>
        </is>
      </c>
      <c r="B18" s="119" t="inlineStr">
        <is>
          <t>Underwear</t>
        </is>
      </c>
      <c r="C18" s="119" t="inlineStr">
        <is>
          <t>3 — MEDIUM (selldown or markdown)</t>
        </is>
      </c>
      <c r="D18" s="150" t="n">
        <v>7</v>
      </c>
      <c r="E18" s="147" t="n">
        <v>1161</v>
      </c>
      <c r="F18" s="147" t="n">
        <v>0</v>
      </c>
      <c r="G18" s="147" t="n">
        <v>1168</v>
      </c>
      <c r="H18" s="150" t="n">
        <v>1168</v>
      </c>
      <c r="I18" s="119" t="inlineStr">
        <is>
          <t>$7,402</t>
        </is>
      </c>
      <c r="J18" s="119" t="inlineStr">
        <is>
          <t>$0.00</t>
        </is>
      </c>
      <c r="K18" s="119" t="inlineStr">
        <is>
          <t>$34,470</t>
        </is>
      </c>
      <c r="L18" s="119" t="inlineStr">
        <is>
          <t>Flash Sale (US) + Transfer to China</t>
        </is>
      </c>
      <c r="M18" s="351" t="n">
        <v>10</v>
      </c>
      <c r="N18" s="175">
        <f>M18*G18</f>
        <v/>
      </c>
      <c r="O18" s="175">
        <f>M18*H18</f>
        <v/>
      </c>
    </row>
    <row r="19" ht="18" customHeight="1" s="229">
      <c r="A19" s="119" t="inlineStr">
        <is>
          <t>Nude Shape Bra Top</t>
        </is>
      </c>
      <c r="B19" s="119" t="inlineStr">
        <is>
          <t>Underwear</t>
        </is>
      </c>
      <c r="C19" s="119" t="inlineStr">
        <is>
          <t>2 — HIGH (excess inventory vs demand)</t>
        </is>
      </c>
      <c r="D19" s="150" t="n">
        <v>7</v>
      </c>
      <c r="E19" s="147" t="n">
        <v>364</v>
      </c>
      <c r="F19" s="147" t="n">
        <v>0</v>
      </c>
      <c r="G19" s="147" t="n">
        <v>371</v>
      </c>
      <c r="H19" s="150" t="n">
        <v>371</v>
      </c>
      <c r="I19" s="119" t="inlineStr">
        <is>
          <t>$546</t>
        </is>
      </c>
      <c r="J19" s="119" t="inlineStr">
        <is>
          <t>$0.00</t>
        </is>
      </c>
      <c r="K19" s="119" t="inlineStr">
        <is>
          <t>$7,100</t>
        </is>
      </c>
      <c r="L19" s="119" t="inlineStr">
        <is>
          <t>Flash Sale (US) + Transfer to China</t>
        </is>
      </c>
      <c r="M19" s="351" t="n">
        <v>10</v>
      </c>
      <c r="N19" s="175">
        <f>M19*G19</f>
        <v/>
      </c>
      <c r="O19" s="175">
        <f>M19*H19</f>
        <v/>
      </c>
    </row>
    <row r="20" ht="18" customHeight="1" s="229">
      <c r="A20" s="119" t="inlineStr">
        <is>
          <t>Lightweight Unpadded¬†Triangle Bra</t>
        </is>
      </c>
      <c r="B20" s="119" t="inlineStr">
        <is>
          <t>Underwear</t>
        </is>
      </c>
      <c r="C20" s="119" t="inlineStr">
        <is>
          <t>4 — LOW (natural sellthrough)</t>
        </is>
      </c>
      <c r="D20" s="150" t="n">
        <v>6</v>
      </c>
      <c r="E20" s="147" t="n">
        <v>0</v>
      </c>
      <c r="F20" s="147" t="n">
        <v>0</v>
      </c>
      <c r="G20" s="147" t="n">
        <v>6</v>
      </c>
      <c r="H20" s="150" t="n">
        <v>6</v>
      </c>
      <c r="I20" s="119" t="inlineStr">
        <is>
          <t>$261</t>
        </is>
      </c>
      <c r="J20" s="119" t="inlineStr">
        <is>
          <t>$0.00</t>
        </is>
      </c>
      <c r="K20" s="119" t="inlineStr">
        <is>
          <t>$180</t>
        </is>
      </c>
      <c r="L20" s="119" t="inlineStr">
        <is>
          <t>US Flash Sale Only</t>
        </is>
      </c>
      <c r="M20" s="351" t="n">
        <v>10</v>
      </c>
      <c r="N20" s="175">
        <f>M20*G20</f>
        <v/>
      </c>
      <c r="O20" s="175">
        <f>M20*H20</f>
        <v/>
      </c>
    </row>
    <row r="21" ht="18" customHeight="1" s="229">
      <c r="A21" s="119" t="inlineStr">
        <is>
          <t>Belle Lace Triangle Bra</t>
        </is>
      </c>
      <c r="B21" s="119" t="inlineStr">
        <is>
          <t>Underwear</t>
        </is>
      </c>
      <c r="C21" s="119" t="inlineStr">
        <is>
          <t>4 — LOW (natural sellthrough)</t>
        </is>
      </c>
      <c r="D21" s="150" t="n">
        <v>5</v>
      </c>
      <c r="E21" s="147" t="n">
        <v>3</v>
      </c>
      <c r="F21" s="147" t="n">
        <v>47</v>
      </c>
      <c r="G21" s="147" t="n">
        <v>8</v>
      </c>
      <c r="H21" s="150" t="n">
        <v>55</v>
      </c>
      <c r="I21" s="119" t="inlineStr">
        <is>
          <t>$1,586</t>
        </is>
      </c>
      <c r="J21" s="119" t="inlineStr">
        <is>
          <t>$0.00</t>
        </is>
      </c>
      <c r="K21" s="119" t="inlineStr">
        <is>
          <t>$180</t>
        </is>
      </c>
      <c r="L21" s="119" t="inlineStr">
        <is>
          <t>Flash Sale (US) + Transfer to China</t>
        </is>
      </c>
      <c r="M21" s="351" t="n">
        <v>10</v>
      </c>
      <c r="N21" s="175">
        <f>M21*G21</f>
        <v/>
      </c>
      <c r="O21" s="175">
        <f>M21*H21</f>
        <v/>
      </c>
    </row>
    <row r="22" ht="18" customHeight="1" s="229">
      <c r="A22" s="119" t="inlineStr">
        <is>
          <t>Self Silk Triangle Bra</t>
        </is>
      </c>
      <c r="B22" s="119" t="inlineStr">
        <is>
          <t>Underwear</t>
        </is>
      </c>
      <c r="C22" s="119" t="inlineStr">
        <is>
          <t>3 — MEDIUM (selldown or markdown)</t>
        </is>
      </c>
      <c r="D22" s="150" t="n">
        <v>4</v>
      </c>
      <c r="E22" s="147" t="n">
        <v>50</v>
      </c>
      <c r="F22" s="147" t="n">
        <v>19</v>
      </c>
      <c r="G22" s="147" t="n">
        <v>54</v>
      </c>
      <c r="H22" s="150" t="n">
        <v>73</v>
      </c>
      <c r="I22" s="119" t="inlineStr">
        <is>
          <t>$2,260</t>
        </is>
      </c>
      <c r="J22" s="119" t="inlineStr">
        <is>
          <t>$0.00</t>
        </is>
      </c>
      <c r="K22" s="119" t="inlineStr">
        <is>
          <t>$1,500</t>
        </is>
      </c>
      <c r="L22" s="119" t="inlineStr">
        <is>
          <t>Flash Sale (US) + Transfer to China</t>
        </is>
      </c>
      <c r="M22" s="351" t="n">
        <v>10</v>
      </c>
      <c r="N22" s="175">
        <f>M22*G22</f>
        <v/>
      </c>
      <c r="O22" s="175">
        <f>M22*H22</f>
        <v/>
      </c>
    </row>
    <row r="23" ht="18" customHeight="1" s="229">
      <c r="A23" s="117" t="inlineStr">
        <is>
          <t>Barely Zero Plunge Bra Red Gift Set</t>
        </is>
      </c>
      <c r="B23" s="117" t="inlineStr">
        <is>
          <t>Underwear</t>
        </is>
      </c>
      <c r="C23" s="117" t="inlineStr">
        <is>
          <t>4 — LOW (natural sellthrough)</t>
        </is>
      </c>
      <c r="D23" s="135" t="n">
        <v>4</v>
      </c>
      <c r="E23" s="147" t="n">
        <v>0</v>
      </c>
      <c r="F23" s="147" t="n">
        <v>0</v>
      </c>
      <c r="G23" s="147" t="n">
        <v>4</v>
      </c>
      <c r="H23" s="135" t="n">
        <v>4</v>
      </c>
      <c r="I23" s="117" t="inlineStr">
        <is>
          <t>$140</t>
        </is>
      </c>
      <c r="J23" s="117" t="inlineStr">
        <is>
          <t>$0.00</t>
        </is>
      </c>
      <c r="K23" s="117" t="inlineStr">
        <is>
          <t>$40</t>
        </is>
      </c>
      <c r="L23" s="117" t="inlineStr">
        <is>
          <t>US Flash Sale Only</t>
        </is>
      </c>
      <c r="M23" s="350" t="n">
        <v>10</v>
      </c>
      <c r="N23" s="174">
        <f>M23*G23</f>
        <v/>
      </c>
      <c r="O23" s="174">
        <f>M23*H23</f>
        <v/>
      </c>
    </row>
    <row r="24" ht="18" customHeight="1" s="229">
      <c r="A24" s="119" t="inlineStr">
        <is>
          <t>Barely Zero Plunge Bra Gift Set</t>
        </is>
      </c>
      <c r="B24" s="119" t="inlineStr">
        <is>
          <t>Underwear</t>
        </is>
      </c>
      <c r="C24" s="119" t="inlineStr">
        <is>
          <t>4 — LOW (natural sellthrough)</t>
        </is>
      </c>
      <c r="D24" s="150" t="n">
        <v>3</v>
      </c>
      <c r="E24" s="147" t="n">
        <v>0</v>
      </c>
      <c r="F24" s="147" t="n">
        <v>0</v>
      </c>
      <c r="G24" s="147" t="n">
        <v>3</v>
      </c>
      <c r="H24" s="150" t="n">
        <v>3</v>
      </c>
      <c r="I24" s="119" t="inlineStr">
        <is>
          <t>$38</t>
        </is>
      </c>
      <c r="J24" s="119" t="inlineStr">
        <is>
          <t>$0.00</t>
        </is>
      </c>
      <c r="K24" s="119" t="inlineStr">
        <is>
          <t>$30</t>
        </is>
      </c>
      <c r="L24" s="119" t="inlineStr">
        <is>
          <t>US Flash Sale Only</t>
        </is>
      </c>
      <c r="M24" s="351" t="n">
        <v>10</v>
      </c>
      <c r="N24" s="175">
        <f>M24*G24</f>
        <v/>
      </c>
      <c r="O24" s="175">
        <f>M24*H24</f>
        <v/>
      </c>
    </row>
    <row r="25" ht="18" customHeight="1" s="229">
      <c r="A25" s="117" t="inlineStr">
        <is>
          <t>Barely Zero Classic Bra</t>
        </is>
      </c>
      <c r="B25" s="117" t="inlineStr">
        <is>
          <t>Underwear</t>
        </is>
      </c>
      <c r="C25" s="117" t="inlineStr">
        <is>
          <t>4 — LOW (natural sellthrough)</t>
        </is>
      </c>
      <c r="D25" s="135" t="n">
        <v>2</v>
      </c>
      <c r="E25" s="147" t="n">
        <v>0</v>
      </c>
      <c r="F25" s="147" t="n">
        <v>0</v>
      </c>
      <c r="G25" s="147" t="n">
        <v>2</v>
      </c>
      <c r="H25" s="135" t="n">
        <v>2</v>
      </c>
      <c r="I25" s="117" t="inlineStr">
        <is>
          <t>$60</t>
        </is>
      </c>
      <c r="J25" s="117" t="inlineStr">
        <is>
          <t>$0.00</t>
        </is>
      </c>
      <c r="K25" s="117" t="inlineStr">
        <is>
          <t>$20</t>
        </is>
      </c>
      <c r="L25" s="117" t="inlineStr">
        <is>
          <t>US Flash Sale Only</t>
        </is>
      </c>
      <c r="M25" s="350" t="n">
        <v>10</v>
      </c>
      <c r="N25" s="174">
        <f>M25*G25</f>
        <v/>
      </c>
      <c r="O25" s="174">
        <f>M25*H25</f>
        <v/>
      </c>
    </row>
    <row r="26" ht="18" customHeight="1" s="229">
      <c r="A26" s="117" t="inlineStr">
        <is>
          <t>Nude Shape Mesh Bra</t>
        </is>
      </c>
      <c r="B26" s="117" t="inlineStr">
        <is>
          <t>Underwear</t>
        </is>
      </c>
      <c r="C26" s="117" t="inlineStr">
        <is>
          <t>4 — LOW (natural sellthrough)</t>
        </is>
      </c>
      <c r="D26" s="135" t="n">
        <v>2</v>
      </c>
      <c r="E26" s="147" t="n">
        <v>41</v>
      </c>
      <c r="F26" s="147" t="n">
        <v>345</v>
      </c>
      <c r="G26" s="147" t="n">
        <v>43</v>
      </c>
      <c r="H26" s="135" t="n">
        <v>388</v>
      </c>
      <c r="I26" s="117" t="inlineStr">
        <is>
          <t>$1,020</t>
        </is>
      </c>
      <c r="J26" s="117" t="inlineStr">
        <is>
          <t>$0.00</t>
        </is>
      </c>
      <c r="K26" s="117" t="inlineStr">
        <is>
          <t>$250</t>
        </is>
      </c>
      <c r="L26" s="117" t="inlineStr">
        <is>
          <t>Flash Sale (US) + Transfer to China</t>
        </is>
      </c>
      <c r="M26" s="350" t="n">
        <v>10</v>
      </c>
      <c r="N26" s="174">
        <f>M26*G26</f>
        <v/>
      </c>
      <c r="O26" s="174">
        <f>M26*H26</f>
        <v/>
      </c>
    </row>
    <row r="27" ht="18" customHeight="1" s="229">
      <c r="A27" s="117" t="inlineStr">
        <is>
          <t>Pure Comfort Premium Triangle Bra</t>
        </is>
      </c>
      <c r="B27" s="117" t="inlineStr">
        <is>
          <t>Underwear</t>
        </is>
      </c>
      <c r="C27" s="117" t="inlineStr">
        <is>
          <t>4 — LOW (natural sellthrough)</t>
        </is>
      </c>
      <c r="D27" s="135" t="n">
        <v>2</v>
      </c>
      <c r="E27" s="147" t="n">
        <v>4</v>
      </c>
      <c r="F27" s="147" t="n">
        <v>65</v>
      </c>
      <c r="G27" s="147" t="n">
        <v>6</v>
      </c>
      <c r="H27" s="135" t="n">
        <v>71</v>
      </c>
      <c r="I27" s="117" t="inlineStr">
        <is>
          <t>$856</t>
        </is>
      </c>
      <c r="J27" s="117" t="inlineStr">
        <is>
          <t>$0.00</t>
        </is>
      </c>
      <c r="K27" s="117" t="inlineStr">
        <is>
          <t>$180</t>
        </is>
      </c>
      <c r="L27" s="117" t="inlineStr">
        <is>
          <t>Flash Sale (US) + Transfer to China</t>
        </is>
      </c>
      <c r="M27" s="350" t="n">
        <v>10</v>
      </c>
      <c r="N27" s="174">
        <f>M27*G27</f>
        <v/>
      </c>
      <c r="O27" s="174">
        <f>M27*H27</f>
        <v/>
      </c>
    </row>
    <row r="28" ht="18" customHeight="1" s="229">
      <c r="A28" s="119" t="inlineStr">
        <is>
          <t>Nude Tulle Triangle Bra</t>
        </is>
      </c>
      <c r="B28" s="119" t="inlineStr">
        <is>
          <t>Underwear</t>
        </is>
      </c>
      <c r="C28" s="119" t="inlineStr">
        <is>
          <t>3 — MEDIUM (selldown or markdown)</t>
        </is>
      </c>
      <c r="D28" s="150" t="n">
        <v>1</v>
      </c>
      <c r="E28" s="147" t="n">
        <v>19</v>
      </c>
      <c r="F28" s="147" t="n">
        <v>129</v>
      </c>
      <c r="G28" s="147" t="n">
        <v>20</v>
      </c>
      <c r="H28" s="150" t="n">
        <v>149</v>
      </c>
      <c r="I28" s="119" t="inlineStr">
        <is>
          <t>$2,382</t>
        </is>
      </c>
      <c r="J28" s="119" t="inlineStr">
        <is>
          <t>$0.00</t>
        </is>
      </c>
      <c r="K28" s="119" t="inlineStr">
        <is>
          <t>$600</t>
        </is>
      </c>
      <c r="L28" s="119" t="inlineStr">
        <is>
          <t>Flash Sale (US) + Transfer to China</t>
        </is>
      </c>
      <c r="M28" s="351" t="n">
        <v>10</v>
      </c>
      <c r="N28" s="175">
        <f>M28*G28</f>
        <v/>
      </c>
      <c r="O28" s="175">
        <f>M28*H28</f>
        <v/>
      </c>
    </row>
    <row r="29" ht="18" customHeight="1" s="229">
      <c r="A29" s="117" t="inlineStr">
        <is>
          <t>UltraFlex Light Bra</t>
        </is>
      </c>
      <c r="B29" s="117" t="inlineStr">
        <is>
          <t>Underwear</t>
        </is>
      </c>
      <c r="C29" s="117" t="inlineStr">
        <is>
          <t>4 — LOW (natural sellthrough)</t>
        </is>
      </c>
      <c r="D29" s="135" t="n">
        <v>1</v>
      </c>
      <c r="E29" s="147" t="n">
        <v>1</v>
      </c>
      <c r="F29" s="147" t="n">
        <v>0</v>
      </c>
      <c r="G29" s="147" t="n">
        <v>2</v>
      </c>
      <c r="H29" s="135" t="n">
        <v>2</v>
      </c>
      <c r="I29" s="117" t="inlineStr">
        <is>
          <t>$4,430</t>
        </is>
      </c>
      <c r="J29" s="117" t="inlineStr">
        <is>
          <t>$0.00</t>
        </is>
      </c>
      <c r="K29" s="117" t="inlineStr">
        <is>
          <t>$30</t>
        </is>
      </c>
      <c r="L29" s="117" t="inlineStr">
        <is>
          <t>Flash Sale (US) + Transfer to China</t>
        </is>
      </c>
      <c r="M29" s="350" t="n">
        <v>10</v>
      </c>
      <c r="N29" s="174">
        <f>M29*G29</f>
        <v/>
      </c>
      <c r="O29" s="174">
        <f>M29*H29</f>
        <v/>
      </c>
    </row>
    <row r="30" ht="18" customHeight="1" s="229">
      <c r="A30" s="117" t="inlineStr">
        <is>
          <t>Barely Zero T-Shirt Bra</t>
        </is>
      </c>
      <c r="B30" s="117" t="inlineStr">
        <is>
          <t>Underwear</t>
        </is>
      </c>
      <c r="C30" s="117" t="inlineStr">
        <is>
          <t>2 — HIGH (dead product)</t>
        </is>
      </c>
      <c r="D30" s="135" t="n">
        <v>1</v>
      </c>
      <c r="E30" s="147" t="n">
        <v>0</v>
      </c>
      <c r="F30" s="147" t="n">
        <v>0</v>
      </c>
      <c r="G30" s="147" t="n">
        <v>1</v>
      </c>
      <c r="H30" s="135" t="n">
        <v>1</v>
      </c>
      <c r="I30" s="117" t="inlineStr">
        <is>
          <t>$0</t>
        </is>
      </c>
      <c r="J30" s="117" t="inlineStr">
        <is>
          <t>$0.00</t>
        </is>
      </c>
      <c r="K30" s="117" t="inlineStr">
        <is>
          <t>$10</t>
        </is>
      </c>
      <c r="L30" s="117" t="inlineStr">
        <is>
          <t>US Flash Sale Only</t>
        </is>
      </c>
      <c r="M30" s="350" t="n">
        <v>10</v>
      </c>
      <c r="N30" s="174">
        <f>M30*G30</f>
        <v/>
      </c>
      <c r="O30" s="174">
        <f>M30*H30</f>
        <v/>
      </c>
    </row>
    <row r="31" ht="18" customHeight="1" s="229">
      <c r="A31" s="117" t="inlineStr">
        <is>
          <t>Ultraflex Light Bra</t>
        </is>
      </c>
      <c r="B31" s="117" t="inlineStr">
        <is>
          <t>Underwear</t>
        </is>
      </c>
      <c r="C31" s="117" t="inlineStr">
        <is>
          <t>2 — HIGH (dead product)</t>
        </is>
      </c>
      <c r="D31" s="135" t="n">
        <v>1</v>
      </c>
      <c r="E31" s="147" t="n">
        <v>1</v>
      </c>
      <c r="F31" s="147" t="n">
        <v>0</v>
      </c>
      <c r="G31" s="147" t="n">
        <v>2</v>
      </c>
      <c r="H31" s="135" t="n">
        <v>2</v>
      </c>
      <c r="I31" s="117" t="inlineStr">
        <is>
          <t>$0</t>
        </is>
      </c>
      <c r="J31" s="117" t="inlineStr">
        <is>
          <t>$0.00</t>
        </is>
      </c>
      <c r="K31" s="117" t="inlineStr">
        <is>
          <t>$0</t>
        </is>
      </c>
      <c r="L31" s="117" t="inlineStr">
        <is>
          <t>Flash Sale (US) + Transfer to China</t>
        </is>
      </c>
      <c r="M31" s="350" t="n">
        <v>10</v>
      </c>
      <c r="N31" s="174">
        <f>M31*G31</f>
        <v/>
      </c>
      <c r="O31" s="174">
        <f>M31*H31</f>
        <v/>
      </c>
    </row>
    <row r="32" ht="16" customHeight="1" s="229">
      <c r="A32" s="558" t="inlineStr">
        <is>
          <t>▸  LOUNGEWEAR  —  40 products  |  328 US units  |  4947 China units</t>
        </is>
      </c>
      <c r="B32" s="559" t="n"/>
      <c r="C32" s="559" t="n"/>
      <c r="D32" s="559" t="n"/>
      <c r="E32" s="559" t="n"/>
      <c r="F32" s="559" t="n"/>
      <c r="G32" s="559" t="n"/>
      <c r="H32" s="559" t="n"/>
      <c r="I32" s="559" t="n"/>
      <c r="J32" s="559" t="n"/>
      <c r="K32" s="559" t="n"/>
      <c r="L32" s="559" t="n"/>
      <c r="M32" s="560" t="n"/>
      <c r="N32" s="560" t="n"/>
      <c r="O32" s="560" t="n"/>
    </row>
    <row r="33" ht="18" customHeight="1" s="229">
      <c r="A33" s="117" t="inlineStr">
        <is>
          <t>UltraFlex Cotton Padded Camisole</t>
        </is>
      </c>
      <c r="B33" s="117" t="inlineStr">
        <is>
          <t>Loungewear</t>
        </is>
      </c>
      <c r="C33" s="117" t="inlineStr">
        <is>
          <t>4 — LOW (natural sellthrough)</t>
        </is>
      </c>
      <c r="D33" s="135" t="n">
        <v>26</v>
      </c>
      <c r="E33" s="147" t="n">
        <v>5</v>
      </c>
      <c r="F33" s="147" t="n">
        <v>0</v>
      </c>
      <c r="G33" s="147" t="n">
        <v>31</v>
      </c>
      <c r="H33" s="135" t="n">
        <v>31</v>
      </c>
      <c r="I33" s="117" t="inlineStr">
        <is>
          <t>$1,394</t>
        </is>
      </c>
      <c r="J33" s="117" t="inlineStr">
        <is>
          <t>$0.00</t>
        </is>
      </c>
      <c r="K33" s="117" t="inlineStr">
        <is>
          <t>$660</t>
        </is>
      </c>
      <c r="L33" s="117" t="inlineStr">
        <is>
          <t>Flash Sale (US) + Transfer to China</t>
        </is>
      </c>
      <c r="M33" s="350" t="n">
        <v>15</v>
      </c>
      <c r="N33" s="174">
        <f>M33*G33</f>
        <v/>
      </c>
      <c r="O33" s="174">
        <f>M33*H33</f>
        <v/>
      </c>
    </row>
    <row r="34" ht="18" customHeight="1" s="229">
      <c r="A34" s="117" t="inlineStr">
        <is>
          <t>Laid Back Ribbed Cardigan 2.0</t>
        </is>
      </c>
      <c r="B34" s="117" t="inlineStr">
        <is>
          <t>Loungewear</t>
        </is>
      </c>
      <c r="C34" s="117" t="inlineStr">
        <is>
          <t>3 — MEDIUM (selldown or markdown)</t>
        </is>
      </c>
      <c r="D34" s="135" t="n">
        <v>22</v>
      </c>
      <c r="E34" s="147" t="n">
        <v>13</v>
      </c>
      <c r="F34" s="147" t="n">
        <v>251</v>
      </c>
      <c r="G34" s="147" t="n">
        <v>35</v>
      </c>
      <c r="H34" s="135" t="n">
        <v>286</v>
      </c>
      <c r="I34" s="117" t="inlineStr">
        <is>
          <t>$545</t>
        </is>
      </c>
      <c r="J34" s="117" t="inlineStr">
        <is>
          <t>$0.00</t>
        </is>
      </c>
      <c r="K34" s="117" t="inlineStr">
        <is>
          <t>$1,140</t>
        </is>
      </c>
      <c r="L34" s="117" t="inlineStr">
        <is>
          <t>Flash Sale (US) + Transfer to China</t>
        </is>
      </c>
      <c r="M34" s="350" t="n">
        <v>15</v>
      </c>
      <c r="N34" s="174">
        <f>M34*G34</f>
        <v/>
      </c>
      <c r="O34" s="174">
        <f>M34*H34</f>
        <v/>
      </c>
    </row>
    <row r="35" ht="18" customHeight="1" s="229">
      <c r="A35" s="117" t="inlineStr">
        <is>
          <t>Sun Block Shirt</t>
        </is>
      </c>
      <c r="B35" s="117" t="inlineStr">
        <is>
          <t>Loungewear</t>
        </is>
      </c>
      <c r="C35" s="117" t="inlineStr">
        <is>
          <t>2 — HIGH (excess inventory vs demand)</t>
        </is>
      </c>
      <c r="D35" s="135" t="n">
        <v>21</v>
      </c>
      <c r="E35" s="147" t="n">
        <v>48</v>
      </c>
      <c r="F35" s="147" t="n">
        <v>0</v>
      </c>
      <c r="G35" s="147" t="n">
        <v>69</v>
      </c>
      <c r="H35" s="135" t="n">
        <v>69</v>
      </c>
      <c r="I35" s="117" t="inlineStr">
        <is>
          <t>$352</t>
        </is>
      </c>
      <c r="J35" s="117" t="inlineStr">
        <is>
          <t>$0.00</t>
        </is>
      </c>
      <c r="K35" s="117" t="inlineStr">
        <is>
          <t>$2,475</t>
        </is>
      </c>
      <c r="L35" s="117" t="inlineStr">
        <is>
          <t>Flash Sale (US) + Transfer to China</t>
        </is>
      </c>
      <c r="M35" s="350" t="n">
        <v>15</v>
      </c>
      <c r="N35" s="174">
        <f>M35*G35</f>
        <v/>
      </c>
      <c r="O35" s="174">
        <f>M35*H35</f>
        <v/>
      </c>
    </row>
    <row r="36" ht="18" customHeight="1" s="229">
      <c r="A36" s="117" t="inlineStr">
        <is>
          <t>Hang Out Casual Pants</t>
        </is>
      </c>
      <c r="B36" s="117" t="inlineStr">
        <is>
          <t>Loungewear</t>
        </is>
      </c>
      <c r="C36" s="117" t="inlineStr">
        <is>
          <t>4 — LOW (natural sellthrough)</t>
        </is>
      </c>
      <c r="D36" s="135" t="n">
        <v>18</v>
      </c>
      <c r="E36" s="147" t="n">
        <v>6</v>
      </c>
      <c r="F36" s="147" t="n">
        <v>58</v>
      </c>
      <c r="G36" s="147" t="n">
        <v>24</v>
      </c>
      <c r="H36" s="135" t="n">
        <v>82</v>
      </c>
      <c r="I36" s="117" t="inlineStr">
        <is>
          <t>$613</t>
        </is>
      </c>
      <c r="J36" s="117" t="inlineStr">
        <is>
          <t>$0.00</t>
        </is>
      </c>
      <c r="K36" s="117" t="inlineStr">
        <is>
          <t>$570</t>
        </is>
      </c>
      <c r="L36" s="117" t="inlineStr">
        <is>
          <t>Flash Sale (US) + Transfer to China</t>
        </is>
      </c>
      <c r="M36" s="350" t="n">
        <v>15</v>
      </c>
      <c r="N36" s="174">
        <f>M36*G36</f>
        <v/>
      </c>
      <c r="O36" s="174">
        <f>M36*H36</f>
        <v/>
      </c>
    </row>
    <row r="37" ht="18" customHeight="1" s="229">
      <c r="A37" s="119" t="inlineStr">
        <is>
          <t>Classic Cozy Fleece Pajama Pants 2.0</t>
        </is>
      </c>
      <c r="B37" s="119" t="inlineStr">
        <is>
          <t>Loungewear</t>
        </is>
      </c>
      <c r="C37" s="119" t="inlineStr">
        <is>
          <t>3 — MEDIUM (selldown or markdown)</t>
        </is>
      </c>
      <c r="D37" s="150" t="n">
        <v>18</v>
      </c>
      <c r="E37" s="147" t="n">
        <v>21</v>
      </c>
      <c r="F37" s="147" t="n">
        <v>198</v>
      </c>
      <c r="G37" s="147" t="n">
        <v>39</v>
      </c>
      <c r="H37" s="150" t="n">
        <v>237</v>
      </c>
      <c r="I37" s="119" t="inlineStr">
        <is>
          <t>$2,876</t>
        </is>
      </c>
      <c r="J37" s="119" t="inlineStr">
        <is>
          <t>$0.00</t>
        </is>
      </c>
      <c r="K37" s="119" t="inlineStr">
        <is>
          <t>$1,395</t>
        </is>
      </c>
      <c r="L37" s="119" t="inlineStr">
        <is>
          <t>Flash Sale (US) + Transfer to China</t>
        </is>
      </c>
      <c r="M37" s="351" t="n">
        <v>15</v>
      </c>
      <c r="N37" s="175">
        <f>M37*G37</f>
        <v/>
      </c>
      <c r="O37" s="175">
        <f>M37*H37</f>
        <v/>
      </c>
    </row>
    <row r="38" ht="18" customHeight="1" s="229">
      <c r="A38" s="119" t="inlineStr">
        <is>
          <t>Silky Knit Hoodie</t>
        </is>
      </c>
      <c r="B38" s="119" t="inlineStr">
        <is>
          <t>Loungewear</t>
        </is>
      </c>
      <c r="C38" s="119" t="inlineStr">
        <is>
          <t>3 — MEDIUM (selldown or markdown)</t>
        </is>
      </c>
      <c r="D38" s="150" t="n">
        <v>16</v>
      </c>
      <c r="E38" s="147" t="n">
        <v>14</v>
      </c>
      <c r="F38" s="147" t="n">
        <v>12</v>
      </c>
      <c r="G38" s="147" t="n">
        <v>30</v>
      </c>
      <c r="H38" s="150" t="n">
        <v>42</v>
      </c>
      <c r="I38" s="119" t="inlineStr">
        <is>
          <t>$1,158</t>
        </is>
      </c>
      <c r="J38" s="119" t="inlineStr">
        <is>
          <t>$0.00</t>
        </is>
      </c>
      <c r="K38" s="119" t="inlineStr">
        <is>
          <t>$1,035</t>
        </is>
      </c>
      <c r="L38" s="119" t="inlineStr">
        <is>
          <t>Flash Sale (US) + Transfer to China</t>
        </is>
      </c>
      <c r="M38" s="351" t="n">
        <v>15</v>
      </c>
      <c r="N38" s="175">
        <f>M38*G38</f>
        <v/>
      </c>
      <c r="O38" s="175">
        <f>M38*H38</f>
        <v/>
      </c>
    </row>
    <row r="39" ht="18" customHeight="1" s="229">
      <c r="A39" s="117" t="inlineStr">
        <is>
          <t>Maternity Pajama Pants</t>
        </is>
      </c>
      <c r="B39" s="117" t="inlineStr">
        <is>
          <t>Loungewear</t>
        </is>
      </c>
      <c r="C39" s="117" t="inlineStr">
        <is>
          <t>4 — LOW (natural sellthrough)</t>
        </is>
      </c>
      <c r="D39" s="135" t="n">
        <v>14</v>
      </c>
      <c r="E39" s="147" t="n">
        <v>5</v>
      </c>
      <c r="F39" s="147" t="n">
        <v>27</v>
      </c>
      <c r="G39" s="147" t="n">
        <v>19</v>
      </c>
      <c r="H39" s="135" t="n">
        <v>46</v>
      </c>
      <c r="I39" s="117" t="inlineStr">
        <is>
          <t>$1,073</t>
        </is>
      </c>
      <c r="J39" s="117" t="inlineStr">
        <is>
          <t>$0.00</t>
        </is>
      </c>
      <c r="K39" s="117" t="inlineStr">
        <is>
          <t>$480</t>
        </is>
      </c>
      <c r="L39" s="117" t="inlineStr">
        <is>
          <t>Flash Sale (US) + Transfer to China</t>
        </is>
      </c>
      <c r="M39" s="350" t="n">
        <v>15</v>
      </c>
      <c r="N39" s="174">
        <f>M39*G39</f>
        <v/>
      </c>
      <c r="O39" s="174">
        <f>M39*H39</f>
        <v/>
      </c>
    </row>
    <row r="40" ht="18" customHeight="1" s="229">
      <c r="A40" s="119" t="inlineStr">
        <is>
          <t>Padded Thermal Set</t>
        </is>
      </c>
      <c r="B40" s="119" t="inlineStr">
        <is>
          <t>Loungewear</t>
        </is>
      </c>
      <c r="C40" s="119" t="inlineStr">
        <is>
          <t>4 — LOW (natural sellthrough)</t>
        </is>
      </c>
      <c r="D40" s="150" t="n">
        <v>14</v>
      </c>
      <c r="E40" s="147" t="n">
        <v>0</v>
      </c>
      <c r="F40" s="147" t="n">
        <v>25</v>
      </c>
      <c r="G40" s="147" t="n">
        <v>14</v>
      </c>
      <c r="H40" s="150" t="n">
        <v>39</v>
      </c>
      <c r="I40" s="119" t="inlineStr">
        <is>
          <t>$766</t>
        </is>
      </c>
      <c r="J40" s="119" t="inlineStr">
        <is>
          <t>$0.00</t>
        </is>
      </c>
      <c r="K40" s="119" t="inlineStr">
        <is>
          <t>$555</t>
        </is>
      </c>
      <c r="L40" s="119" t="inlineStr">
        <is>
          <t>Flash Sale (US) + Transfer to China</t>
        </is>
      </c>
      <c r="M40" s="351" t="n">
        <v>15</v>
      </c>
      <c r="N40" s="175">
        <f>M40*G40</f>
        <v/>
      </c>
      <c r="O40" s="175">
        <f>M40*H40</f>
        <v/>
      </c>
    </row>
    <row r="41" ht="18" customHeight="1" s="229">
      <c r="A41" s="117" t="inlineStr">
        <is>
          <t>Laid Back Ribbed Pajama Pants</t>
        </is>
      </c>
      <c r="B41" s="117" t="inlineStr">
        <is>
          <t>Loungewear</t>
        </is>
      </c>
      <c r="C41" s="117" t="inlineStr">
        <is>
          <t>3 — MEDIUM (selldown or markdown)</t>
        </is>
      </c>
      <c r="D41" s="135" t="n">
        <v>14</v>
      </c>
      <c r="E41" s="147" t="n">
        <v>29</v>
      </c>
      <c r="F41" s="147" t="n">
        <v>84</v>
      </c>
      <c r="G41" s="147" t="n">
        <v>43</v>
      </c>
      <c r="H41" s="135" t="n">
        <v>127</v>
      </c>
      <c r="I41" s="117" t="inlineStr">
        <is>
          <t>$563</t>
        </is>
      </c>
      <c r="J41" s="117" t="inlineStr">
        <is>
          <t>$0.00</t>
        </is>
      </c>
      <c r="K41" s="117" t="inlineStr">
        <is>
          <t>$840</t>
        </is>
      </c>
      <c r="L41" s="117" t="inlineStr">
        <is>
          <t>Flash Sale (US) + Transfer to China</t>
        </is>
      </c>
      <c r="M41" s="350" t="n">
        <v>15</v>
      </c>
      <c r="N41" s="174">
        <f>M41*G41</f>
        <v/>
      </c>
      <c r="O41" s="174">
        <f>M41*H41</f>
        <v/>
      </c>
    </row>
    <row r="42" ht="18" customHeight="1" s="229">
      <c r="A42" s="119" t="inlineStr">
        <is>
          <t>Boundless Soft Tapered Pants</t>
        </is>
      </c>
      <c r="B42" s="119" t="inlineStr">
        <is>
          <t>Loungewear</t>
        </is>
      </c>
      <c r="C42" s="119" t="inlineStr">
        <is>
          <t>4 — LOW (natural sellthrough)</t>
        </is>
      </c>
      <c r="D42" s="150" t="n">
        <v>13</v>
      </c>
      <c r="E42" s="147" t="n">
        <v>8</v>
      </c>
      <c r="F42" s="147" t="n">
        <v>96</v>
      </c>
      <c r="G42" s="147" t="n">
        <v>21</v>
      </c>
      <c r="H42" s="150" t="n">
        <v>117</v>
      </c>
      <c r="I42" s="119" t="inlineStr">
        <is>
          <t>$1,669</t>
        </is>
      </c>
      <c r="J42" s="119" t="inlineStr">
        <is>
          <t>$0.00</t>
        </is>
      </c>
      <c r="K42" s="119" t="inlineStr">
        <is>
          <t>$555</t>
        </is>
      </c>
      <c r="L42" s="119" t="inlineStr">
        <is>
          <t>Flash Sale (US) + Transfer to China</t>
        </is>
      </c>
      <c r="M42" s="351" t="n">
        <v>15</v>
      </c>
      <c r="N42" s="175">
        <f>M42*G42</f>
        <v/>
      </c>
      <c r="O42" s="175">
        <f>M42*H42</f>
        <v/>
      </c>
    </row>
    <row r="43" ht="18" customHeight="1" s="229">
      <c r="A43" s="117" t="inlineStr">
        <is>
          <t>Cotton Cozy Lounge Pants</t>
        </is>
      </c>
      <c r="B43" s="117" t="inlineStr">
        <is>
          <t>Loungewear</t>
        </is>
      </c>
      <c r="C43" s="117" t="inlineStr">
        <is>
          <t>3 — MEDIUM (selldown or markdown)</t>
        </is>
      </c>
      <c r="D43" s="135" t="n">
        <v>10</v>
      </c>
      <c r="E43" s="147" t="n">
        <v>23</v>
      </c>
      <c r="F43" s="147" t="n">
        <v>392</v>
      </c>
      <c r="G43" s="147" t="n">
        <v>33</v>
      </c>
      <c r="H43" s="135" t="n">
        <v>425</v>
      </c>
      <c r="I43" s="117" t="inlineStr">
        <is>
          <t>$3,317</t>
        </is>
      </c>
      <c r="J43" s="117" t="inlineStr">
        <is>
          <t>$0.00</t>
        </is>
      </c>
      <c r="K43" s="117" t="inlineStr">
        <is>
          <t>$1,290</t>
        </is>
      </c>
      <c r="L43" s="117" t="inlineStr">
        <is>
          <t>Flash Sale (US) + Transfer to China</t>
        </is>
      </c>
      <c r="M43" s="350" t="n">
        <v>15</v>
      </c>
      <c r="N43" s="174">
        <f>M43*G43</f>
        <v/>
      </c>
      <c r="O43" s="174">
        <f>M43*H43</f>
        <v/>
      </c>
    </row>
    <row r="44" ht="18" customHeight="1" s="229">
      <c r="A44" s="119" t="inlineStr">
        <is>
          <t>Plush Fleece Pajama Set</t>
        </is>
      </c>
      <c r="B44" s="119" t="inlineStr">
        <is>
          <t>Loungewear</t>
        </is>
      </c>
      <c r="C44" s="119" t="inlineStr">
        <is>
          <t>4 — LOW (natural sellthrough)</t>
        </is>
      </c>
      <c r="D44" s="150" t="n">
        <v>10</v>
      </c>
      <c r="E44" s="147" t="n">
        <v>5</v>
      </c>
      <c r="F44" s="147" t="n">
        <v>6</v>
      </c>
      <c r="G44" s="147" t="n">
        <v>15</v>
      </c>
      <c r="H44" s="150" t="n">
        <v>21</v>
      </c>
      <c r="I44" s="119" t="inlineStr">
        <is>
          <t>$1,326</t>
        </is>
      </c>
      <c r="J44" s="119" t="inlineStr">
        <is>
          <t>$0.00</t>
        </is>
      </c>
      <c r="K44" s="119" t="inlineStr">
        <is>
          <t>$675</t>
        </is>
      </c>
      <c r="L44" s="119" t="inlineStr">
        <is>
          <t>Flash Sale (US) + Transfer to China</t>
        </is>
      </c>
      <c r="M44" s="351" t="n">
        <v>15</v>
      </c>
      <c r="N44" s="175">
        <f>M44*G44</f>
        <v/>
      </c>
      <c r="O44" s="175">
        <f>M44*H44</f>
        <v/>
      </c>
    </row>
    <row r="45" ht="18" customHeight="1" s="229">
      <c r="A45" s="119" t="inlineStr">
        <is>
          <t>Laid Back U-Neck Padded Camisole</t>
        </is>
      </c>
      <c r="B45" s="119" t="inlineStr">
        <is>
          <t>Loungewear</t>
        </is>
      </c>
      <c r="C45" s="119" t="inlineStr">
        <is>
          <t>4 — LOW (natural sellthrough)</t>
        </is>
      </c>
      <c r="D45" s="150" t="n">
        <v>10</v>
      </c>
      <c r="E45" s="147" t="n">
        <v>0</v>
      </c>
      <c r="F45" s="147" t="n">
        <v>38</v>
      </c>
      <c r="G45" s="147" t="n">
        <v>10</v>
      </c>
      <c r="H45" s="150" t="n">
        <v>48</v>
      </c>
      <c r="I45" s="119" t="inlineStr">
        <is>
          <t>$184</t>
        </is>
      </c>
      <c r="J45" s="119" t="inlineStr">
        <is>
          <t>$0.00</t>
        </is>
      </c>
      <c r="K45" s="119" t="inlineStr">
        <is>
          <t>$450</t>
        </is>
      </c>
      <c r="L45" s="119" t="inlineStr">
        <is>
          <t>Flash Sale (US) + Transfer to China</t>
        </is>
      </c>
      <c r="M45" s="351" t="n">
        <v>15</v>
      </c>
      <c r="N45" s="175">
        <f>M45*G45</f>
        <v/>
      </c>
      <c r="O45" s="175">
        <f>M45*H45</f>
        <v/>
      </c>
    </row>
    <row r="46" ht="18" customHeight="1" s="229">
      <c r="A46" s="117" t="inlineStr">
        <is>
          <t>Maternity Wrap Top</t>
        </is>
      </c>
      <c r="B46" s="117" t="inlineStr">
        <is>
          <t>Loungewear</t>
        </is>
      </c>
      <c r="C46" s="117" t="inlineStr">
        <is>
          <t>3 — MEDIUM (selldown or markdown)</t>
        </is>
      </c>
      <c r="D46" s="135" t="n">
        <v>9</v>
      </c>
      <c r="E46" s="147" t="n">
        <v>11</v>
      </c>
      <c r="F46" s="147" t="n">
        <v>35</v>
      </c>
      <c r="G46" s="147" t="n">
        <v>20</v>
      </c>
      <c r="H46" s="135" t="n">
        <v>55</v>
      </c>
      <c r="I46" s="117" t="inlineStr">
        <is>
          <t>$951</t>
        </is>
      </c>
      <c r="J46" s="117" t="inlineStr">
        <is>
          <t>$0.00</t>
        </is>
      </c>
      <c r="K46" s="117" t="inlineStr">
        <is>
          <t>$840</t>
        </is>
      </c>
      <c r="L46" s="117" t="inlineStr">
        <is>
          <t>Flash Sale (US) + Transfer to China</t>
        </is>
      </c>
      <c r="M46" s="350" t="n">
        <v>15</v>
      </c>
      <c r="N46" s="174">
        <f>M46*G46</f>
        <v/>
      </c>
      <c r="O46" s="174">
        <f>M46*H46</f>
        <v/>
      </c>
    </row>
    <row r="47" ht="18" customHeight="1" s="229">
      <c r="A47" s="117" t="inlineStr">
        <is>
          <t>Cotton Cozy Long Sleeve Shirt</t>
        </is>
      </c>
      <c r="B47" s="117" t="inlineStr">
        <is>
          <t>Loungewear</t>
        </is>
      </c>
      <c r="C47" s="117" t="inlineStr">
        <is>
          <t>4 — LOW (natural sellthrough)</t>
        </is>
      </c>
      <c r="D47" s="135" t="n">
        <v>8</v>
      </c>
      <c r="E47" s="147" t="n">
        <v>8</v>
      </c>
      <c r="F47" s="147" t="n">
        <v>147</v>
      </c>
      <c r="G47" s="147" t="n">
        <v>16</v>
      </c>
      <c r="H47" s="135" t="n">
        <v>163</v>
      </c>
      <c r="I47" s="117" t="inlineStr">
        <is>
          <t>$2,075</t>
        </is>
      </c>
      <c r="J47" s="117" t="inlineStr">
        <is>
          <t>$0.00</t>
        </is>
      </c>
      <c r="K47" s="117" t="inlineStr">
        <is>
          <t>$375</t>
        </is>
      </c>
      <c r="L47" s="117" t="inlineStr">
        <is>
          <t>Flash Sale (US) + Transfer to China</t>
        </is>
      </c>
      <c r="M47" s="350" t="n">
        <v>15</v>
      </c>
      <c r="N47" s="174">
        <f>M47*G47</f>
        <v/>
      </c>
      <c r="O47" s="174">
        <f>M47*H47</f>
        <v/>
      </c>
    </row>
    <row r="48" ht="18" customHeight="1" s="229">
      <c r="A48" s="119" t="inlineStr">
        <is>
          <t>Nude Skin Padded Camisole</t>
        </is>
      </c>
      <c r="B48" s="119" t="inlineStr">
        <is>
          <t>Loungewear</t>
        </is>
      </c>
      <c r="C48" s="119" t="inlineStr">
        <is>
          <t>4 — LOW (natural sellthrough)</t>
        </is>
      </c>
      <c r="D48" s="150" t="n">
        <v>8</v>
      </c>
      <c r="E48" s="147" t="n">
        <v>10</v>
      </c>
      <c r="F48" s="147" t="n">
        <v>155</v>
      </c>
      <c r="G48" s="147" t="n">
        <v>18</v>
      </c>
      <c r="H48" s="150" t="n">
        <v>173</v>
      </c>
      <c r="I48" s="119" t="inlineStr">
        <is>
          <t>$2,514</t>
        </is>
      </c>
      <c r="J48" s="119" t="inlineStr">
        <is>
          <t>$0.00</t>
        </is>
      </c>
      <c r="K48" s="119" t="inlineStr">
        <is>
          <t>$705</t>
        </is>
      </c>
      <c r="L48" s="119" t="inlineStr">
        <is>
          <t>Flash Sale (US) + Transfer to China</t>
        </is>
      </c>
      <c r="M48" s="351" t="n">
        <v>15</v>
      </c>
      <c r="N48" s="175">
        <f>M48*G48</f>
        <v/>
      </c>
      <c r="O48" s="175">
        <f>M48*H48</f>
        <v/>
      </c>
    </row>
    <row r="49" ht="18" customHeight="1" s="229">
      <c r="A49" s="117" t="inlineStr">
        <is>
          <t>Short Sleeve Drape-Front Sweater</t>
        </is>
      </c>
      <c r="B49" s="117" t="inlineStr">
        <is>
          <t>Loungewear</t>
        </is>
      </c>
      <c r="C49" s="117" t="inlineStr">
        <is>
          <t>4 — LOW (natural sellthrough)</t>
        </is>
      </c>
      <c r="D49" s="135" t="n">
        <v>7</v>
      </c>
      <c r="E49" s="147" t="n">
        <v>18</v>
      </c>
      <c r="F49" s="147" t="n">
        <v>52</v>
      </c>
      <c r="G49" s="147" t="n">
        <v>25</v>
      </c>
      <c r="H49" s="135" t="n">
        <v>77</v>
      </c>
      <c r="I49" s="117" t="inlineStr">
        <is>
          <t>$498</t>
        </is>
      </c>
      <c r="J49" s="117" t="inlineStr">
        <is>
          <t>$0.00</t>
        </is>
      </c>
      <c r="K49" s="117" t="inlineStr">
        <is>
          <t>$690</t>
        </is>
      </c>
      <c r="L49" s="117" t="inlineStr">
        <is>
          <t>Flash Sale (US) + Transfer to China</t>
        </is>
      </c>
      <c r="M49" s="350" t="n">
        <v>15</v>
      </c>
      <c r="N49" s="174">
        <f>M49*G49</f>
        <v/>
      </c>
      <c r="O49" s="174">
        <f>M49*H49</f>
        <v/>
      </c>
    </row>
    <row r="50" ht="18" customHeight="1" s="229">
      <c r="A50" s="119" t="inlineStr">
        <is>
          <t>Flower Print Classic Embroidered Pajama Top</t>
        </is>
      </c>
      <c r="B50" s="119" t="inlineStr">
        <is>
          <t>Loungewear</t>
        </is>
      </c>
      <c r="C50" s="119" t="inlineStr">
        <is>
          <t>4 — LOW (natural sellthrough)</t>
        </is>
      </c>
      <c r="D50" s="150" t="n">
        <v>7</v>
      </c>
      <c r="E50" s="147" t="n">
        <v>6</v>
      </c>
      <c r="F50" s="147" t="n">
        <v>0</v>
      </c>
      <c r="G50" s="147" t="n">
        <v>13</v>
      </c>
      <c r="H50" s="150" t="n">
        <v>13</v>
      </c>
      <c r="I50" s="119" t="inlineStr">
        <is>
          <t>$136</t>
        </is>
      </c>
      <c r="J50" s="119" t="inlineStr">
        <is>
          <t>$0.00</t>
        </is>
      </c>
      <c r="K50" s="119" t="inlineStr">
        <is>
          <t>$495</t>
        </is>
      </c>
      <c r="L50" s="119" t="inlineStr">
        <is>
          <t>Flash Sale (US) + Transfer to China</t>
        </is>
      </c>
      <c r="M50" s="351" t="n">
        <v>15</v>
      </c>
      <c r="N50" s="175">
        <f>M50*G50</f>
        <v/>
      </c>
      <c r="O50" s="175">
        <f>M50*H50</f>
        <v/>
      </c>
    </row>
    <row r="51" ht="18" customHeight="1" s="229">
      <c r="A51" s="117" t="inlineStr">
        <is>
          <t>Boundless Side Slit Sweatshirt</t>
        </is>
      </c>
      <c r="B51" s="117" t="inlineStr">
        <is>
          <t>Loungewear</t>
        </is>
      </c>
      <c r="C51" s="117" t="inlineStr">
        <is>
          <t>3 — MEDIUM (selldown or markdown)</t>
        </is>
      </c>
      <c r="D51" s="135" t="n">
        <v>7</v>
      </c>
      <c r="E51" s="147" t="n">
        <v>27</v>
      </c>
      <c r="F51" s="147" t="n">
        <v>157</v>
      </c>
      <c r="G51" s="147" t="n">
        <v>34</v>
      </c>
      <c r="H51" s="135" t="n">
        <v>191</v>
      </c>
      <c r="I51" s="117" t="inlineStr">
        <is>
          <t>$948</t>
        </is>
      </c>
      <c r="J51" s="117" t="inlineStr">
        <is>
          <t>$0.00</t>
        </is>
      </c>
      <c r="K51" s="117" t="inlineStr">
        <is>
          <t>$1,065</t>
        </is>
      </c>
      <c r="L51" s="117" t="inlineStr">
        <is>
          <t>Flash Sale (US) + Transfer to China</t>
        </is>
      </c>
      <c r="M51" s="350" t="n">
        <v>15</v>
      </c>
      <c r="N51" s="174">
        <f>M51*G51</f>
        <v/>
      </c>
      <c r="O51" s="174">
        <f>M51*H51</f>
        <v/>
      </c>
    </row>
    <row r="52" ht="18" customHeight="1" s="229">
      <c r="A52" s="117" t="inlineStr">
        <is>
          <t>Sofa Pajama Dress</t>
        </is>
      </c>
      <c r="B52" s="117" t="inlineStr">
        <is>
          <t>Loungewear</t>
        </is>
      </c>
      <c r="C52" s="117" t="inlineStr">
        <is>
          <t>2 — HIGH (dead product)</t>
        </is>
      </c>
      <c r="D52" s="135" t="n">
        <v>6</v>
      </c>
      <c r="E52" s="147" t="n">
        <v>0</v>
      </c>
      <c r="F52" s="147" t="n">
        <v>0</v>
      </c>
      <c r="G52" s="147" t="n">
        <v>6</v>
      </c>
      <c r="H52" s="135" t="n">
        <v>6</v>
      </c>
      <c r="I52" s="117" t="inlineStr">
        <is>
          <t>$0</t>
        </is>
      </c>
      <c r="J52" s="117" t="inlineStr">
        <is>
          <t>$0.00</t>
        </is>
      </c>
      <c r="K52" s="117" t="inlineStr">
        <is>
          <t>$180</t>
        </is>
      </c>
      <c r="L52" s="117" t="inlineStr">
        <is>
          <t>US Flash Sale Only</t>
        </is>
      </c>
      <c r="M52" s="350" t="n">
        <v>15</v>
      </c>
      <c r="N52" s="174">
        <f>M52*G52</f>
        <v/>
      </c>
      <c r="O52" s="174">
        <f>M52*H52</f>
        <v/>
      </c>
    </row>
    <row r="53" ht="18" customHeight="1" s="229">
      <c r="A53" s="119" t="inlineStr">
        <is>
          <t>Ruched Collarless Pajama Top</t>
        </is>
      </c>
      <c r="B53" s="119" t="inlineStr">
        <is>
          <t>Loungewear</t>
        </is>
      </c>
      <c r="C53" s="119" t="inlineStr">
        <is>
          <t>4 — LOW (natural sellthrough)</t>
        </is>
      </c>
      <c r="D53" s="150" t="n">
        <v>6</v>
      </c>
      <c r="E53" s="147" t="n">
        <v>41</v>
      </c>
      <c r="F53" s="147" t="n">
        <v>150</v>
      </c>
      <c r="G53" s="147" t="n">
        <v>47</v>
      </c>
      <c r="H53" s="150" t="n">
        <v>197</v>
      </c>
      <c r="I53" s="119" t="inlineStr">
        <is>
          <t>$344</t>
        </is>
      </c>
      <c r="J53" s="119" t="inlineStr">
        <is>
          <t>$0.00</t>
        </is>
      </c>
      <c r="K53" s="119" t="inlineStr">
        <is>
          <t>$705</t>
        </is>
      </c>
      <c r="L53" s="119" t="inlineStr">
        <is>
          <t>Flash Sale (US) + Transfer to China</t>
        </is>
      </c>
      <c r="M53" s="351" t="n">
        <v>15</v>
      </c>
      <c r="N53" s="175">
        <f>M53*G53</f>
        <v/>
      </c>
      <c r="O53" s="175">
        <f>M53*H53</f>
        <v/>
      </c>
    </row>
    <row r="54" ht="18" customHeight="1" s="229">
      <c r="A54" s="117" t="inlineStr">
        <is>
          <t>Classic Cozy Pajama Pants</t>
        </is>
      </c>
      <c r="B54" s="117" t="inlineStr">
        <is>
          <t>Loungewear</t>
        </is>
      </c>
      <c r="C54" s="117" t="inlineStr">
        <is>
          <t>3 — MEDIUM (selldown or markdown)</t>
        </is>
      </c>
      <c r="D54" s="135" t="n">
        <v>6</v>
      </c>
      <c r="E54" s="147" t="n">
        <v>68</v>
      </c>
      <c r="F54" s="147" t="n">
        <v>286</v>
      </c>
      <c r="G54" s="147" t="n">
        <v>74</v>
      </c>
      <c r="H54" s="135" t="n">
        <v>360</v>
      </c>
      <c r="I54" s="117" t="inlineStr">
        <is>
          <t>$1,909</t>
        </is>
      </c>
      <c r="J54" s="117" t="inlineStr">
        <is>
          <t>$0.00</t>
        </is>
      </c>
      <c r="K54" s="117" t="inlineStr">
        <is>
          <t>$1,590</t>
        </is>
      </c>
      <c r="L54" s="117" t="inlineStr">
        <is>
          <t>Flash Sale (US) + Transfer to China</t>
        </is>
      </c>
      <c r="M54" s="350" t="n">
        <v>15</v>
      </c>
      <c r="N54" s="174">
        <f>M54*G54</f>
        <v/>
      </c>
      <c r="O54" s="174">
        <f>M54*H54</f>
        <v/>
      </c>
    </row>
    <row r="55" ht="18" customHeight="1" s="229">
      <c r="A55" s="119" t="inlineStr">
        <is>
          <t>Classic Cozy Pajama Shirt</t>
        </is>
      </c>
      <c r="B55" s="119" t="inlineStr">
        <is>
          <t>Loungewear</t>
        </is>
      </c>
      <c r="C55" s="119" t="inlineStr">
        <is>
          <t>3 — MEDIUM (selldown or markdown)</t>
        </is>
      </c>
      <c r="D55" s="150" t="n">
        <v>6</v>
      </c>
      <c r="E55" s="147" t="n">
        <v>57</v>
      </c>
      <c r="F55" s="147" t="n">
        <v>265</v>
      </c>
      <c r="G55" s="147" t="n">
        <v>63</v>
      </c>
      <c r="H55" s="150" t="n">
        <v>328</v>
      </c>
      <c r="I55" s="119" t="inlineStr">
        <is>
          <t>$1,239</t>
        </is>
      </c>
      <c r="J55" s="119" t="inlineStr">
        <is>
          <t>$0.00</t>
        </is>
      </c>
      <c r="K55" s="119" t="inlineStr">
        <is>
          <t>$1,230</t>
        </is>
      </c>
      <c r="L55" s="119" t="inlineStr">
        <is>
          <t>Flash Sale (US) + Transfer to China</t>
        </is>
      </c>
      <c r="M55" s="351" t="n">
        <v>15</v>
      </c>
      <c r="N55" s="175">
        <f>M55*G55</f>
        <v/>
      </c>
      <c r="O55" s="175">
        <f>M55*H55</f>
        <v/>
      </c>
    </row>
    <row r="56" ht="18" customHeight="1" s="229">
      <c r="A56" s="117" t="inlineStr">
        <is>
          <t>Low-Rise Trousers</t>
        </is>
      </c>
      <c r="B56" s="117" t="inlineStr">
        <is>
          <t>Loungewear</t>
        </is>
      </c>
      <c r="C56" s="117" t="inlineStr">
        <is>
          <t>2 — HIGH (dead product)</t>
        </is>
      </c>
      <c r="D56" s="135" t="n">
        <v>5</v>
      </c>
      <c r="E56" s="147" t="n">
        <v>38</v>
      </c>
      <c r="F56" s="147" t="n">
        <v>48</v>
      </c>
      <c r="G56" s="147" t="n">
        <v>43</v>
      </c>
      <c r="H56" s="135" t="n">
        <v>91</v>
      </c>
      <c r="I56" s="117" t="inlineStr">
        <is>
          <t>$0</t>
        </is>
      </c>
      <c r="J56" s="117" t="inlineStr">
        <is>
          <t>$0.00</t>
        </is>
      </c>
      <c r="K56" s="117" t="inlineStr">
        <is>
          <t>$15</t>
        </is>
      </c>
      <c r="L56" s="117" t="inlineStr">
        <is>
          <t>Flash Sale (US) + Transfer to China</t>
        </is>
      </c>
      <c r="M56" s="350" t="n">
        <v>15</v>
      </c>
      <c r="N56" s="174">
        <f>M56*G56</f>
        <v/>
      </c>
      <c r="O56" s="174">
        <f>M56*H56</f>
        <v/>
      </c>
    </row>
    <row r="57" ht="18" customHeight="1" s="229">
      <c r="A57" s="117" t="inlineStr">
        <is>
          <t>Silky Wool Zip Up Cardigan</t>
        </is>
      </c>
      <c r="B57" s="117" t="inlineStr">
        <is>
          <t>Loungewear</t>
        </is>
      </c>
      <c r="C57" s="117" t="inlineStr">
        <is>
          <t>4 — LOW (natural sellthrough)</t>
        </is>
      </c>
      <c r="D57" s="135" t="n">
        <v>5</v>
      </c>
      <c r="E57" s="147" t="n">
        <v>21</v>
      </c>
      <c r="F57" s="147" t="n">
        <v>65</v>
      </c>
      <c r="G57" s="147" t="n">
        <v>26</v>
      </c>
      <c r="H57" s="135" t="n">
        <v>91</v>
      </c>
      <c r="I57" s="117" t="inlineStr">
        <is>
          <t>$2,627</t>
        </is>
      </c>
      <c r="J57" s="117" t="inlineStr">
        <is>
          <t>$0.00</t>
        </is>
      </c>
      <c r="K57" s="117" t="inlineStr">
        <is>
          <t>$720</t>
        </is>
      </c>
      <c r="L57" s="117" t="inlineStr">
        <is>
          <t>Flash Sale (US) + Transfer to China</t>
        </is>
      </c>
      <c r="M57" s="350" t="n">
        <v>15</v>
      </c>
      <c r="N57" s="174">
        <f>M57*G57</f>
        <v/>
      </c>
      <c r="O57" s="174">
        <f>M57*H57</f>
        <v/>
      </c>
    </row>
    <row r="58" ht="18" customHeight="1" s="229">
      <c r="A58" s="117" t="inlineStr">
        <is>
          <t>Light Lift Shaping Leggings</t>
        </is>
      </c>
      <c r="B58" s="117" t="inlineStr">
        <is>
          <t>Loungewear</t>
        </is>
      </c>
      <c r="C58" s="117" t="inlineStr">
        <is>
          <t>3 — MEDIUM (selldown or markdown)</t>
        </is>
      </c>
      <c r="D58" s="135" t="n">
        <v>4</v>
      </c>
      <c r="E58" s="147" t="n">
        <v>23</v>
      </c>
      <c r="F58" s="147" t="n">
        <v>246</v>
      </c>
      <c r="G58" s="147" t="n">
        <v>27</v>
      </c>
      <c r="H58" s="135" t="n">
        <v>273</v>
      </c>
      <c r="I58" s="117" t="inlineStr">
        <is>
          <t>$1,877</t>
        </is>
      </c>
      <c r="J58" s="117" t="inlineStr">
        <is>
          <t>$0.00</t>
        </is>
      </c>
      <c r="K58" s="117" t="inlineStr">
        <is>
          <t>$945</t>
        </is>
      </c>
      <c r="L58" s="117" t="inlineStr">
        <is>
          <t>Flash Sale (US) + Transfer to China</t>
        </is>
      </c>
      <c r="M58" s="350" t="n">
        <v>15</v>
      </c>
      <c r="N58" s="174">
        <f>M58*G58</f>
        <v/>
      </c>
      <c r="O58" s="174">
        <f>M58*H58</f>
        <v/>
      </c>
    </row>
    <row r="59" ht="18" customHeight="1" s="229">
      <c r="A59" s="119" t="inlineStr">
        <is>
          <t>Silk Cotton Slip Pajama Dress</t>
        </is>
      </c>
      <c r="B59" s="119" t="inlineStr">
        <is>
          <t>Loungewear</t>
        </is>
      </c>
      <c r="C59" s="119" t="inlineStr">
        <is>
          <t>4 — LOW (natural sellthrough)</t>
        </is>
      </c>
      <c r="D59" s="150" t="n">
        <v>4</v>
      </c>
      <c r="E59" s="147" t="n">
        <v>0</v>
      </c>
      <c r="F59" s="147" t="n">
        <v>0</v>
      </c>
      <c r="G59" s="147" t="n">
        <v>4</v>
      </c>
      <c r="H59" s="150" t="n">
        <v>4</v>
      </c>
      <c r="I59" s="119" t="inlineStr">
        <is>
          <t>$36</t>
        </is>
      </c>
      <c r="J59" s="119" t="inlineStr">
        <is>
          <t>$0.00</t>
        </is>
      </c>
      <c r="K59" s="119" t="inlineStr">
        <is>
          <t>$60</t>
        </is>
      </c>
      <c r="L59" s="119" t="inlineStr">
        <is>
          <t>US Flash Sale Only</t>
        </is>
      </c>
      <c r="M59" s="351" t="n">
        <v>15</v>
      </c>
      <c r="N59" s="175">
        <f>M59*G59</f>
        <v/>
      </c>
      <c r="O59" s="175">
        <f>M59*H59</f>
        <v/>
      </c>
    </row>
    <row r="60" ht="18" customHeight="1" s="229">
      <c r="A60" s="119" t="inlineStr">
        <is>
          <t>Silky Knit Joggers</t>
        </is>
      </c>
      <c r="B60" s="119" t="inlineStr">
        <is>
          <t>Loungewear</t>
        </is>
      </c>
      <c r="C60" s="119" t="inlineStr">
        <is>
          <t>4 — LOW (natural sellthrough)</t>
        </is>
      </c>
      <c r="D60" s="150" t="n">
        <v>4</v>
      </c>
      <c r="E60" s="147" t="n">
        <v>31</v>
      </c>
      <c r="F60" s="147" t="n">
        <v>132</v>
      </c>
      <c r="G60" s="147" t="n">
        <v>35</v>
      </c>
      <c r="H60" s="150" t="n">
        <v>167</v>
      </c>
      <c r="I60" s="119" t="inlineStr">
        <is>
          <t>$678</t>
        </is>
      </c>
      <c r="J60" s="119" t="inlineStr">
        <is>
          <t>$0.00</t>
        </is>
      </c>
      <c r="K60" s="119" t="inlineStr">
        <is>
          <t>$660</t>
        </is>
      </c>
      <c r="L60" s="119" t="inlineStr">
        <is>
          <t>Flash Sale (US) + Transfer to China</t>
        </is>
      </c>
      <c r="M60" s="351" t="n">
        <v>15</v>
      </c>
      <c r="N60" s="175">
        <f>M60*G60</f>
        <v/>
      </c>
      <c r="O60" s="175">
        <f>M60*H60</f>
        <v/>
      </c>
    </row>
    <row r="61" ht="18" customHeight="1" s="229">
      <c r="A61" s="117" t="inlineStr">
        <is>
          <t>Lyocell Straight Leg Pants</t>
        </is>
      </c>
      <c r="B61" s="117" t="inlineStr">
        <is>
          <t>Loungewear</t>
        </is>
      </c>
      <c r="C61" s="117" t="inlineStr">
        <is>
          <t>3 — MEDIUM (selldown or markdown)</t>
        </is>
      </c>
      <c r="D61" s="135" t="n">
        <v>4</v>
      </c>
      <c r="E61" s="147" t="n">
        <v>45</v>
      </c>
      <c r="F61" s="147" t="n">
        <v>380</v>
      </c>
      <c r="G61" s="147" t="n">
        <v>49</v>
      </c>
      <c r="H61" s="135" t="n">
        <v>429</v>
      </c>
      <c r="I61" s="117" t="inlineStr">
        <is>
          <t>$538</t>
        </is>
      </c>
      <c r="J61" s="117" t="inlineStr">
        <is>
          <t>$0.00</t>
        </is>
      </c>
      <c r="K61" s="117" t="inlineStr">
        <is>
          <t>$945</t>
        </is>
      </c>
      <c r="L61" s="117" t="inlineStr">
        <is>
          <t>Flash Sale (US) + Transfer to China</t>
        </is>
      </c>
      <c r="M61" s="350" t="n">
        <v>15</v>
      </c>
      <c r="N61" s="174">
        <f>M61*G61</f>
        <v/>
      </c>
      <c r="O61" s="174">
        <f>M61*H61</f>
        <v/>
      </c>
    </row>
    <row r="62" ht="18" customHeight="1" s="229">
      <c r="A62" s="119" t="inlineStr">
        <is>
          <t>Classic Cozy Fleece Pajama Top</t>
        </is>
      </c>
      <c r="B62" s="119" t="inlineStr">
        <is>
          <t>Loungewear</t>
        </is>
      </c>
      <c r="C62" s="119" t="inlineStr">
        <is>
          <t>4 — LOW (natural sellthrough)</t>
        </is>
      </c>
      <c r="D62" s="150" t="n">
        <v>3</v>
      </c>
      <c r="E62" s="147" t="n">
        <v>11</v>
      </c>
      <c r="F62" s="147" t="n">
        <v>0</v>
      </c>
      <c r="G62" s="147" t="n">
        <v>14</v>
      </c>
      <c r="H62" s="150" t="n">
        <v>14</v>
      </c>
      <c r="I62" s="119" t="inlineStr">
        <is>
          <t>$401</t>
        </is>
      </c>
      <c r="J62" s="119" t="inlineStr">
        <is>
          <t>$0.00</t>
        </is>
      </c>
      <c r="K62" s="119" t="inlineStr">
        <is>
          <t>$495</t>
        </is>
      </c>
      <c r="L62" s="119" t="inlineStr">
        <is>
          <t>Flash Sale (US) + Transfer to China</t>
        </is>
      </c>
      <c r="M62" s="351" t="n">
        <v>15</v>
      </c>
      <c r="N62" s="175">
        <f>M62*G62</f>
        <v/>
      </c>
      <c r="O62" s="175">
        <f>M62*H62</f>
        <v/>
      </c>
    </row>
    <row r="63" ht="18" customHeight="1" s="229">
      <c r="A63" s="119" t="inlineStr">
        <is>
          <t>Box Fit Pajama Top</t>
        </is>
      </c>
      <c r="B63" s="119" t="inlineStr">
        <is>
          <t>Loungewear</t>
        </is>
      </c>
      <c r="C63" s="119" t="inlineStr">
        <is>
          <t>4 — LOW (natural sellthrough)</t>
        </is>
      </c>
      <c r="D63" s="150" t="n">
        <v>3</v>
      </c>
      <c r="E63" s="147" t="n">
        <v>7</v>
      </c>
      <c r="F63" s="147" t="n">
        <v>31</v>
      </c>
      <c r="G63" s="147" t="n">
        <v>10</v>
      </c>
      <c r="H63" s="150" t="n">
        <v>41</v>
      </c>
      <c r="I63" s="119" t="inlineStr">
        <is>
          <t>$240</t>
        </is>
      </c>
      <c r="J63" s="119" t="inlineStr">
        <is>
          <t>$0.00</t>
        </is>
      </c>
      <c r="K63" s="119" t="inlineStr">
        <is>
          <t>$210</t>
        </is>
      </c>
      <c r="L63" s="119" t="inlineStr">
        <is>
          <t>Flash Sale (US) + Transfer to China</t>
        </is>
      </c>
      <c r="M63" s="351" t="n">
        <v>15</v>
      </c>
      <c r="N63" s="175">
        <f>M63*G63</f>
        <v/>
      </c>
      <c r="O63" s="175">
        <f>M63*H63</f>
        <v/>
      </c>
    </row>
    <row r="64" ht="18" customHeight="1" s="229">
      <c r="A64" s="119" t="inlineStr">
        <is>
          <t>Stroll Short Sleeve Pajama Top</t>
        </is>
      </c>
      <c r="B64" s="119" t="inlineStr">
        <is>
          <t>Loungewear</t>
        </is>
      </c>
      <c r="C64" s="119" t="inlineStr">
        <is>
          <t>4 — LOW (natural sellthrough)</t>
        </is>
      </c>
      <c r="D64" s="150" t="n">
        <v>3</v>
      </c>
      <c r="E64" s="147" t="n">
        <v>8</v>
      </c>
      <c r="F64" s="147" t="n">
        <v>109</v>
      </c>
      <c r="G64" s="147" t="n">
        <v>11</v>
      </c>
      <c r="H64" s="150" t="n">
        <v>120</v>
      </c>
      <c r="I64" s="119" t="inlineStr">
        <is>
          <t>$27</t>
        </is>
      </c>
      <c r="J64" s="119" t="inlineStr">
        <is>
          <t>$0.00</t>
        </is>
      </c>
      <c r="K64" s="119" t="inlineStr">
        <is>
          <t>$180</t>
        </is>
      </c>
      <c r="L64" s="119" t="inlineStr">
        <is>
          <t>Flash Sale (US) + Transfer to China</t>
        </is>
      </c>
      <c r="M64" s="351" t="n">
        <v>15</v>
      </c>
      <c r="N64" s="175">
        <f>M64*G64</f>
        <v/>
      </c>
      <c r="O64" s="175">
        <f>M64*H64</f>
        <v/>
      </c>
    </row>
    <row r="65" ht="18" customHeight="1" s="229">
      <c r="A65" s="117" t="inlineStr">
        <is>
          <t>Cocoon Pajama Pants</t>
        </is>
      </c>
      <c r="B65" s="117" t="inlineStr">
        <is>
          <t>Loungewear</t>
        </is>
      </c>
      <c r="C65" s="117" t="inlineStr">
        <is>
          <t>4 — LOW (natural sellthrough)</t>
        </is>
      </c>
      <c r="D65" s="135" t="n">
        <v>3</v>
      </c>
      <c r="E65" s="147" t="n">
        <v>0</v>
      </c>
      <c r="F65" s="147" t="n">
        <v>0</v>
      </c>
      <c r="G65" s="147" t="n">
        <v>3</v>
      </c>
      <c r="H65" s="135" t="n">
        <v>3</v>
      </c>
      <c r="I65" s="117" t="inlineStr">
        <is>
          <t>$27</t>
        </is>
      </c>
      <c r="J65" s="117" t="inlineStr">
        <is>
          <t>$0.00</t>
        </is>
      </c>
      <c r="K65" s="117" t="inlineStr">
        <is>
          <t>$0</t>
        </is>
      </c>
      <c r="L65" s="117" t="inlineStr">
        <is>
          <t>US Flash Sale Only</t>
        </is>
      </c>
      <c r="M65" s="350" t="n">
        <v>15</v>
      </c>
      <c r="N65" s="174">
        <f>M65*G65</f>
        <v/>
      </c>
      <c r="O65" s="174">
        <f>M65*H65</f>
        <v/>
      </c>
    </row>
    <row r="66" ht="18" customHeight="1" s="229">
      <c r="A66" s="119" t="inlineStr">
        <is>
          <t>Classic Cozy Button-Up Pajama Top 2.0</t>
        </is>
      </c>
      <c r="B66" s="119" t="inlineStr">
        <is>
          <t>Loungewear</t>
        </is>
      </c>
      <c r="C66" s="119" t="inlineStr">
        <is>
          <t>2 — HIGH (dead product)</t>
        </is>
      </c>
      <c r="D66" s="150" t="n">
        <v>3</v>
      </c>
      <c r="E66" s="147" t="n">
        <v>0</v>
      </c>
      <c r="F66" s="147" t="n">
        <v>0</v>
      </c>
      <c r="G66" s="147" t="n">
        <v>3</v>
      </c>
      <c r="H66" s="150" t="n">
        <v>3</v>
      </c>
      <c r="I66" s="119" t="inlineStr">
        <is>
          <t>$0</t>
        </is>
      </c>
      <c r="J66" s="119" t="inlineStr">
        <is>
          <t>$0.00</t>
        </is>
      </c>
      <c r="K66" s="119" t="inlineStr">
        <is>
          <t>$0</t>
        </is>
      </c>
      <c r="L66" s="119" t="inlineStr">
        <is>
          <t>US Flash Sale Only</t>
        </is>
      </c>
      <c r="M66" s="351" t="n">
        <v>15</v>
      </c>
      <c r="N66" s="175">
        <f>M66*G66</f>
        <v/>
      </c>
      <c r="O66" s="175">
        <f>M66*H66</f>
        <v/>
      </c>
    </row>
    <row r="67" ht="18" customHeight="1" s="229">
      <c r="A67" s="117" t="inlineStr">
        <is>
          <t>Silky Knit Tank</t>
        </is>
      </c>
      <c r="B67" s="117" t="inlineStr">
        <is>
          <t>Loungewear</t>
        </is>
      </c>
      <c r="C67" s="117" t="inlineStr">
        <is>
          <t>4 — LOW (natural sellthrough)</t>
        </is>
      </c>
      <c r="D67" s="135" t="n">
        <v>3</v>
      </c>
      <c r="E67" s="147" t="n">
        <v>8</v>
      </c>
      <c r="F67" s="147" t="n">
        <v>385</v>
      </c>
      <c r="G67" s="147" t="n">
        <v>11</v>
      </c>
      <c r="H67" s="135" t="n">
        <v>396</v>
      </c>
      <c r="I67" s="117" t="inlineStr">
        <is>
          <t>$352</t>
        </is>
      </c>
      <c r="J67" s="117" t="inlineStr">
        <is>
          <t>$0.00</t>
        </is>
      </c>
      <c r="K67" s="117" t="inlineStr">
        <is>
          <t>$405</t>
        </is>
      </c>
      <c r="L67" s="117" t="inlineStr">
        <is>
          <t>Flash Sale (US) + Transfer to China</t>
        </is>
      </c>
      <c r="M67" s="350" t="n">
        <v>15</v>
      </c>
      <c r="N67" s="174">
        <f>M67*G67</f>
        <v/>
      </c>
      <c r="O67" s="174">
        <f>M67*H67</f>
        <v/>
      </c>
    </row>
    <row r="68" ht="18" customHeight="1" s="229">
      <c r="A68" s="119" t="inlineStr">
        <is>
          <t>NEIWAI X SAVISLOOK Knit Camisole</t>
        </is>
      </c>
      <c r="B68" s="119" t="inlineStr">
        <is>
          <t>Loungewear</t>
        </is>
      </c>
      <c r="C68" s="119" t="inlineStr">
        <is>
          <t>4 — LOW (natural sellthrough)</t>
        </is>
      </c>
      <c r="D68" s="150" t="n">
        <v>2</v>
      </c>
      <c r="E68" s="147" t="n">
        <v>0</v>
      </c>
      <c r="F68" s="147" t="n">
        <v>0</v>
      </c>
      <c r="G68" s="147" t="n">
        <v>2</v>
      </c>
      <c r="H68" s="150" t="n">
        <v>2</v>
      </c>
      <c r="I68" s="119" t="inlineStr">
        <is>
          <t>$37</t>
        </is>
      </c>
      <c r="J68" s="119" t="inlineStr">
        <is>
          <t>$0.00</t>
        </is>
      </c>
      <c r="K68" s="119" t="inlineStr">
        <is>
          <t>$15</t>
        </is>
      </c>
      <c r="L68" s="119" t="inlineStr">
        <is>
          <t>US Flash Sale Only</t>
        </is>
      </c>
      <c r="M68" s="351" t="n">
        <v>15</v>
      </c>
      <c r="N68" s="175">
        <f>M68*G68</f>
        <v/>
      </c>
      <c r="O68" s="175">
        <f>M68*H68</f>
        <v/>
      </c>
    </row>
    <row r="69" ht="18" customHeight="1" s="229">
      <c r="A69" s="119" t="inlineStr">
        <is>
          <t>Classic Cozy Fleece Robe 2.0</t>
        </is>
      </c>
      <c r="B69" s="119" t="inlineStr">
        <is>
          <t>Loungewear</t>
        </is>
      </c>
      <c r="C69" s="119" t="inlineStr">
        <is>
          <t>4 — LOW (natural sellthrough)</t>
        </is>
      </c>
      <c r="D69" s="150" t="n">
        <v>2</v>
      </c>
      <c r="E69" s="147" t="n">
        <v>5</v>
      </c>
      <c r="F69" s="147" t="n">
        <v>122</v>
      </c>
      <c r="G69" s="147" t="n">
        <v>7</v>
      </c>
      <c r="H69" s="150" t="n">
        <v>129</v>
      </c>
      <c r="I69" s="119" t="inlineStr">
        <is>
          <t>$1,943</t>
        </is>
      </c>
      <c r="J69" s="119" t="inlineStr">
        <is>
          <t>$0.00</t>
        </is>
      </c>
      <c r="K69" s="119" t="inlineStr">
        <is>
          <t>$315</t>
        </is>
      </c>
      <c r="L69" s="119" t="inlineStr">
        <is>
          <t>Flash Sale (US) + Transfer to China</t>
        </is>
      </c>
      <c r="M69" s="351" t="n">
        <v>15</v>
      </c>
      <c r="N69" s="175">
        <f>M69*G69</f>
        <v/>
      </c>
      <c r="O69" s="175">
        <f>M69*H69</f>
        <v/>
      </c>
    </row>
    <row r="70" ht="18" customHeight="1" s="229">
      <c r="A70" s="119" t="inlineStr">
        <is>
          <t>Essential Classic Tee</t>
        </is>
      </c>
      <c r="B70" s="119" t="inlineStr">
        <is>
          <t>Loungewear</t>
        </is>
      </c>
      <c r="C70" s="119" t="inlineStr">
        <is>
          <t>4 — LOW (natural sellthrough)</t>
        </is>
      </c>
      <c r="D70" s="150" t="n">
        <v>2</v>
      </c>
      <c r="E70" s="147" t="n">
        <v>10</v>
      </c>
      <c r="F70" s="147" t="n">
        <v>122</v>
      </c>
      <c r="G70" s="147" t="n">
        <v>12</v>
      </c>
      <c r="H70" s="150" t="n">
        <v>134</v>
      </c>
      <c r="I70" s="119" t="inlineStr">
        <is>
          <t>$228</t>
        </is>
      </c>
      <c r="J70" s="119" t="inlineStr">
        <is>
          <t>$0.00</t>
        </is>
      </c>
      <c r="K70" s="119" t="inlineStr">
        <is>
          <t>$210</t>
        </is>
      </c>
      <c r="L70" s="119" t="inlineStr">
        <is>
          <t>Flash Sale (US) + Transfer to China</t>
        </is>
      </c>
      <c r="M70" s="351" t="n">
        <v>15</v>
      </c>
      <c r="N70" s="175">
        <f>M70*G70</f>
        <v/>
      </c>
      <c r="O70" s="175">
        <f>M70*H70</f>
        <v/>
      </c>
    </row>
    <row r="71" ht="18" customHeight="1" s="229">
      <c r="A71" s="119" t="inlineStr">
        <is>
          <t>Straight Leg Pajama Pants</t>
        </is>
      </c>
      <c r="B71" s="119" t="inlineStr">
        <is>
          <t>Loungewear</t>
        </is>
      </c>
      <c r="C71" s="119" t="inlineStr">
        <is>
          <t>4 — LOW (natural sellthrough)</t>
        </is>
      </c>
      <c r="D71" s="150" t="n">
        <v>1</v>
      </c>
      <c r="E71" s="147" t="n">
        <v>8</v>
      </c>
      <c r="F71" s="147" t="n">
        <v>71</v>
      </c>
      <c r="G71" s="147" t="n">
        <v>9</v>
      </c>
      <c r="H71" s="150" t="n">
        <v>80</v>
      </c>
      <c r="I71" s="119" t="inlineStr">
        <is>
          <t>$422</t>
        </is>
      </c>
      <c r="J71" s="119" t="inlineStr">
        <is>
          <t>$0.00</t>
        </is>
      </c>
      <c r="K71" s="119" t="inlineStr">
        <is>
          <t>$255</t>
        </is>
      </c>
      <c r="L71" s="119" t="inlineStr">
        <is>
          <t>Flash Sale (US) + Transfer to China</t>
        </is>
      </c>
      <c r="M71" s="351" t="n">
        <v>15</v>
      </c>
      <c r="N71" s="175">
        <f>M71*G71</f>
        <v/>
      </c>
      <c r="O71" s="175">
        <f>M71*H71</f>
        <v/>
      </c>
    </row>
    <row r="72" ht="18" customHeight="1" s="229">
      <c r="A72" s="119" t="inlineStr">
        <is>
          <t>Linen-Blend Bermuda Shorts</t>
        </is>
      </c>
      <c r="B72" s="119" t="inlineStr">
        <is>
          <t>Loungewear</t>
        </is>
      </c>
      <c r="C72" s="119" t="inlineStr">
        <is>
          <t>2 — HIGH (dead product)</t>
        </is>
      </c>
      <c r="D72" s="150" t="n">
        <v>1</v>
      </c>
      <c r="E72" s="147" t="n">
        <v>164</v>
      </c>
      <c r="F72" s="147" t="n">
        <v>0</v>
      </c>
      <c r="G72" s="147" t="n">
        <v>165</v>
      </c>
      <c r="H72" s="150" t="n">
        <v>165</v>
      </c>
      <c r="I72" s="119" t="inlineStr">
        <is>
          <t>$0</t>
        </is>
      </c>
      <c r="J72" s="119" t="inlineStr">
        <is>
          <t>$0.00</t>
        </is>
      </c>
      <c r="K72" s="119" t="inlineStr">
        <is>
          <t>$30</t>
        </is>
      </c>
      <c r="L72" s="119" t="inlineStr">
        <is>
          <t>Flash Sale (US) + Transfer to China</t>
        </is>
      </c>
      <c r="M72" s="351" t="n">
        <v>15</v>
      </c>
      <c r="N72" s="175">
        <f>M72*G72</f>
        <v/>
      </c>
      <c r="O72" s="175">
        <f>M72*H72</f>
        <v/>
      </c>
    </row>
    <row r="73" ht="16" customHeight="1" s="229">
      <c r="A73" s="561" t="inlineStr">
        <is>
          <t>▸  ACTIVE  —  37 products  |  265 US units  |  3458 China units</t>
        </is>
      </c>
      <c r="B73" s="562" t="n"/>
      <c r="C73" s="562" t="n"/>
      <c r="D73" s="562" t="n"/>
      <c r="E73" s="562" t="n"/>
      <c r="F73" s="562" t="n"/>
      <c r="G73" s="562" t="n"/>
      <c r="H73" s="562" t="n"/>
      <c r="I73" s="562" t="n"/>
      <c r="J73" s="562" t="n"/>
      <c r="K73" s="562" t="n"/>
      <c r="L73" s="562" t="n"/>
      <c r="M73" s="563" t="n"/>
      <c r="N73" s="563" t="n"/>
      <c r="O73" s="563" t="n"/>
    </row>
    <row r="74" ht="18" customHeight="1" s="229">
      <c r="A74" s="119" t="inlineStr">
        <is>
          <t>Retro Bikini Top</t>
        </is>
      </c>
      <c r="B74" s="119" t="inlineStr">
        <is>
          <t>Active</t>
        </is>
      </c>
      <c r="C74" s="119" t="inlineStr">
        <is>
          <t>3 — MEDIUM (selldown or markdown)</t>
        </is>
      </c>
      <c r="D74" s="150" t="n">
        <v>52</v>
      </c>
      <c r="E74" s="147" t="n">
        <v>7</v>
      </c>
      <c r="F74" s="147" t="n">
        <v>0</v>
      </c>
      <c r="G74" s="147" t="n">
        <v>59</v>
      </c>
      <c r="H74" s="150" t="n">
        <v>59</v>
      </c>
      <c r="I74" s="119" t="inlineStr">
        <is>
          <t>$157</t>
        </is>
      </c>
      <c r="J74" s="119" t="inlineStr">
        <is>
          <t>$0.00</t>
        </is>
      </c>
      <c r="K74" s="119" t="inlineStr">
        <is>
          <t>$1,512</t>
        </is>
      </c>
      <c r="L74" s="119" t="inlineStr">
        <is>
          <t>Flash Sale (US) + Transfer to China</t>
        </is>
      </c>
      <c r="M74" s="351" t="n">
        <v>18</v>
      </c>
      <c r="N74" s="175">
        <f>M74*G74</f>
        <v/>
      </c>
      <c r="O74" s="175">
        <f>M74*H74</f>
        <v/>
      </c>
    </row>
    <row r="75" ht="18" customHeight="1" s="229">
      <c r="A75" s="119" t="inlineStr">
        <is>
          <t>High Support Sports Bra</t>
        </is>
      </c>
      <c r="B75" s="119" t="inlineStr">
        <is>
          <t>Active</t>
        </is>
      </c>
      <c r="C75" s="119" t="inlineStr">
        <is>
          <t>3 — MEDIUM (selldown or markdown)</t>
        </is>
      </c>
      <c r="D75" s="150" t="n">
        <v>27</v>
      </c>
      <c r="E75" s="147" t="n">
        <v>59</v>
      </c>
      <c r="F75" s="147" t="n">
        <v>444</v>
      </c>
      <c r="G75" s="147" t="n">
        <v>86</v>
      </c>
      <c r="H75" s="150" t="n">
        <v>530</v>
      </c>
      <c r="I75" s="119" t="inlineStr">
        <is>
          <t>$2,423</t>
        </is>
      </c>
      <c r="J75" s="119" t="inlineStr">
        <is>
          <t>$0.00</t>
        </is>
      </c>
      <c r="K75" s="119" t="inlineStr">
        <is>
          <t>$2,952</t>
        </is>
      </c>
      <c r="L75" s="119" t="inlineStr">
        <is>
          <t>Flash Sale (US) + Transfer to China</t>
        </is>
      </c>
      <c r="M75" s="351" t="n">
        <v>18</v>
      </c>
      <c r="N75" s="175">
        <f>M75*G75</f>
        <v/>
      </c>
      <c r="O75" s="175">
        <f>M75*H75</f>
        <v/>
      </c>
    </row>
    <row r="76" ht="18" customHeight="1" s="229">
      <c r="A76" s="117" t="inlineStr">
        <is>
          <t>Mousse Light Support Long Sports Bra</t>
        </is>
      </c>
      <c r="B76" s="117" t="inlineStr">
        <is>
          <t>Active</t>
        </is>
      </c>
      <c r="C76" s="117" t="inlineStr">
        <is>
          <t>3 — MEDIUM (selldown or markdown)</t>
        </is>
      </c>
      <c r="D76" s="135" t="n">
        <v>26</v>
      </c>
      <c r="E76" s="147" t="n">
        <v>17</v>
      </c>
      <c r="F76" s="147" t="n">
        <v>64</v>
      </c>
      <c r="G76" s="147" t="n">
        <v>43</v>
      </c>
      <c r="H76" s="135" t="n">
        <v>107</v>
      </c>
      <c r="I76" s="117" t="inlineStr">
        <is>
          <t>$1,642</t>
        </is>
      </c>
      <c r="J76" s="117" t="inlineStr">
        <is>
          <t>$0.00</t>
        </is>
      </c>
      <c r="K76" s="117" t="inlineStr">
        <is>
          <t>$1,980</t>
        </is>
      </c>
      <c r="L76" s="117" t="inlineStr">
        <is>
          <t>Flash Sale (US) + Transfer to China</t>
        </is>
      </c>
      <c r="M76" s="350" t="n">
        <v>18</v>
      </c>
      <c r="N76" s="174">
        <f>M76*G76</f>
        <v/>
      </c>
      <c r="O76" s="174">
        <f>M76*H76</f>
        <v/>
      </c>
    </row>
    <row r="77" ht="18" customHeight="1" s="229">
      <c r="A77" s="119" t="inlineStr">
        <is>
          <t>Long Bikini Top</t>
        </is>
      </c>
      <c r="B77" s="119" t="inlineStr">
        <is>
          <t>Active</t>
        </is>
      </c>
      <c r="C77" s="119" t="inlineStr">
        <is>
          <t>4 — LOW (natural sellthrough)</t>
        </is>
      </c>
      <c r="D77" s="150" t="n">
        <v>21</v>
      </c>
      <c r="E77" s="147" t="n">
        <v>0</v>
      </c>
      <c r="F77" s="147" t="n">
        <v>21</v>
      </c>
      <c r="G77" s="147" t="n">
        <v>21</v>
      </c>
      <c r="H77" s="150" t="n">
        <v>42</v>
      </c>
      <c r="I77" s="119" t="inlineStr">
        <is>
          <t>$159</t>
        </is>
      </c>
      <c r="J77" s="119" t="inlineStr">
        <is>
          <t>$0.00</t>
        </is>
      </c>
      <c r="K77" s="119" t="inlineStr">
        <is>
          <t>$504</t>
        </is>
      </c>
      <c r="L77" s="119" t="inlineStr">
        <is>
          <t>Flash Sale (US) + Transfer to China</t>
        </is>
      </c>
      <c r="M77" s="351" t="n">
        <v>18</v>
      </c>
      <c r="N77" s="175">
        <f>M77*G77</f>
        <v/>
      </c>
      <c r="O77" s="175">
        <f>M77*H77</f>
        <v/>
      </c>
    </row>
    <row r="78" ht="18" customHeight="1" s="229">
      <c r="A78" s="117" t="inlineStr">
        <is>
          <t>NEIWAI ACTIVE X NYCB Mousse Fixed Cup Light Support Sports Bra</t>
        </is>
      </c>
      <c r="B78" s="117" t="inlineStr">
        <is>
          <t>Active</t>
        </is>
      </c>
      <c r="C78" s="117" t="inlineStr">
        <is>
          <t>4 — LOW (natural sellthrough)</t>
        </is>
      </c>
      <c r="D78" s="135" t="n">
        <v>16</v>
      </c>
      <c r="E78" s="147" t="n">
        <v>7</v>
      </c>
      <c r="F78" s="147" t="n">
        <v>7</v>
      </c>
      <c r="G78" s="147" t="n">
        <v>23</v>
      </c>
      <c r="H78" s="135" t="n">
        <v>30</v>
      </c>
      <c r="I78" s="117" t="inlineStr">
        <is>
          <t>$187</t>
        </is>
      </c>
      <c r="J78" s="117" t="inlineStr">
        <is>
          <t>$0.00</t>
        </is>
      </c>
      <c r="K78" s="117" t="inlineStr">
        <is>
          <t>$234</t>
        </is>
      </c>
      <c r="L78" s="117" t="inlineStr">
        <is>
          <t>Flash Sale (US) + Transfer to China</t>
        </is>
      </c>
      <c r="M78" s="350" t="n">
        <v>18</v>
      </c>
      <c r="N78" s="174">
        <f>M78*G78</f>
        <v/>
      </c>
      <c r="O78" s="174">
        <f>M78*H78</f>
        <v/>
      </c>
    </row>
    <row r="79" ht="18" customHeight="1" s="229">
      <c r="A79" s="119" t="inlineStr">
        <is>
          <t>Seamless Light Support Long Sports Bra</t>
        </is>
      </c>
      <c r="B79" s="119" t="inlineStr">
        <is>
          <t>Active</t>
        </is>
      </c>
      <c r="C79" s="119" t="inlineStr">
        <is>
          <t>3 — MEDIUM (selldown or markdown)</t>
        </is>
      </c>
      <c r="D79" s="150" t="n">
        <v>11</v>
      </c>
      <c r="E79" s="147" t="n">
        <v>6</v>
      </c>
      <c r="F79" s="147" t="n">
        <v>0</v>
      </c>
      <c r="G79" s="147" t="n">
        <v>17</v>
      </c>
      <c r="H79" s="150" t="n">
        <v>17</v>
      </c>
      <c r="I79" s="119" t="inlineStr">
        <is>
          <t>$1,244</t>
        </is>
      </c>
      <c r="J79" s="119" t="inlineStr">
        <is>
          <t>$0.00</t>
        </is>
      </c>
      <c r="K79" s="119" t="inlineStr">
        <is>
          <t>$918</t>
        </is>
      </c>
      <c r="L79" s="119" t="inlineStr">
        <is>
          <t>Flash Sale (US) + Transfer to China</t>
        </is>
      </c>
      <c r="M79" s="351" t="n">
        <v>18</v>
      </c>
      <c r="N79" s="175">
        <f>M79*G79</f>
        <v/>
      </c>
      <c r="O79" s="175">
        <f>M79*H79</f>
        <v/>
      </c>
    </row>
    <row r="80" ht="18" customHeight="1" s="229">
      <c r="A80" s="119" t="inlineStr">
        <is>
          <t>Mousse Drawstring Wide Leg Pants</t>
        </is>
      </c>
      <c r="B80" s="119" t="inlineStr">
        <is>
          <t>Active</t>
        </is>
      </c>
      <c r="C80" s="119" t="inlineStr">
        <is>
          <t>4 — LOW (natural sellthrough)</t>
        </is>
      </c>
      <c r="D80" s="150" t="n">
        <v>9</v>
      </c>
      <c r="E80" s="147" t="n">
        <v>0</v>
      </c>
      <c r="F80" s="147" t="n">
        <v>88</v>
      </c>
      <c r="G80" s="147" t="n">
        <v>9</v>
      </c>
      <c r="H80" s="150" t="n">
        <v>97</v>
      </c>
      <c r="I80" s="119" t="inlineStr">
        <is>
          <t>$842</t>
        </is>
      </c>
      <c r="J80" s="119" t="inlineStr">
        <is>
          <t>$0.00</t>
        </is>
      </c>
      <c r="K80" s="119" t="inlineStr">
        <is>
          <t>$486</t>
        </is>
      </c>
      <c r="L80" s="119" t="inlineStr">
        <is>
          <t>Flash Sale (US) + Transfer to China</t>
        </is>
      </c>
      <c r="M80" s="351" t="n">
        <v>18</v>
      </c>
      <c r="N80" s="175">
        <f>M80*G80</f>
        <v/>
      </c>
      <c r="O80" s="175">
        <f>M80*H80</f>
        <v/>
      </c>
    </row>
    <row r="81" ht="18" customHeight="1" s="229">
      <c r="A81" s="119" t="inlineStr">
        <is>
          <t>NEIWAI ACTIVE X NYCB Beanie</t>
        </is>
      </c>
      <c r="B81" s="119" t="inlineStr">
        <is>
          <t>Active</t>
        </is>
      </c>
      <c r="C81" s="119" t="inlineStr">
        <is>
          <t>2 — HIGH (excess inventory vs demand)</t>
        </is>
      </c>
      <c r="D81" s="150" t="n">
        <v>9</v>
      </c>
      <c r="E81" s="147" t="n">
        <v>58</v>
      </c>
      <c r="F81" s="147" t="n">
        <v>0</v>
      </c>
      <c r="G81" s="147" t="n">
        <v>67</v>
      </c>
      <c r="H81" s="150" t="n">
        <v>67</v>
      </c>
      <c r="I81" s="119" t="inlineStr">
        <is>
          <t>$313</t>
        </is>
      </c>
      <c r="J81" s="119" t="inlineStr">
        <is>
          <t>$0.00</t>
        </is>
      </c>
      <c r="K81" s="119" t="inlineStr">
        <is>
          <t>$2,772</t>
        </is>
      </c>
      <c r="L81" s="119" t="inlineStr">
        <is>
          <t>Flash Sale (US) + Transfer to China</t>
        </is>
      </c>
      <c r="M81" s="351" t="n">
        <v>18</v>
      </c>
      <c r="N81" s="175">
        <f>M81*G81</f>
        <v/>
      </c>
      <c r="O81" s="175">
        <f>M81*H81</f>
        <v/>
      </c>
    </row>
    <row r="82" ht="18" customHeight="1" s="229">
      <c r="A82" s="119" t="inlineStr">
        <is>
          <t>NEIWAI ACTIVE X NYCB Waffle Long-Sleeve T-Shirt</t>
        </is>
      </c>
      <c r="B82" s="119" t="inlineStr">
        <is>
          <t>Active</t>
        </is>
      </c>
      <c r="C82" s="119" t="inlineStr">
        <is>
          <t>2 — HIGH (excess inventory vs demand)</t>
        </is>
      </c>
      <c r="D82" s="150" t="n">
        <v>8</v>
      </c>
      <c r="E82" s="147" t="n">
        <v>65</v>
      </c>
      <c r="F82" s="147" t="n">
        <v>0</v>
      </c>
      <c r="G82" s="147" t="n">
        <v>73</v>
      </c>
      <c r="H82" s="150" t="n">
        <v>73</v>
      </c>
      <c r="I82" s="119" t="inlineStr">
        <is>
          <t>$529</t>
        </is>
      </c>
      <c r="J82" s="119" t="inlineStr">
        <is>
          <t>$0.00</t>
        </is>
      </c>
      <c r="K82" s="119" t="inlineStr">
        <is>
          <t>$2,466</t>
        </is>
      </c>
      <c r="L82" s="119" t="inlineStr">
        <is>
          <t>Flash Sale (US) + Transfer to China</t>
        </is>
      </c>
      <c r="M82" s="351" t="n">
        <v>18</v>
      </c>
      <c r="N82" s="175">
        <f>M82*G82</f>
        <v/>
      </c>
      <c r="O82" s="175">
        <f>M82*H82</f>
        <v/>
      </c>
    </row>
    <row r="83" ht="18" customHeight="1" s="229">
      <c r="A83" s="117" t="inlineStr">
        <is>
          <t>Cocoon Wide Leg Pants 2.0</t>
        </is>
      </c>
      <c r="B83" s="117" t="inlineStr">
        <is>
          <t>Active</t>
        </is>
      </c>
      <c r="C83" s="117" t="inlineStr">
        <is>
          <t>3 — MEDIUM (selldown or markdown)</t>
        </is>
      </c>
      <c r="D83" s="135" t="n">
        <v>7</v>
      </c>
      <c r="E83" s="147" t="n">
        <v>15</v>
      </c>
      <c r="F83" s="147" t="n">
        <v>65</v>
      </c>
      <c r="G83" s="147" t="n">
        <v>22</v>
      </c>
      <c r="H83" s="135" t="n">
        <v>87</v>
      </c>
      <c r="I83" s="117" t="inlineStr">
        <is>
          <t>$1,988</t>
        </is>
      </c>
      <c r="J83" s="117" t="inlineStr">
        <is>
          <t>$0.00</t>
        </is>
      </c>
      <c r="K83" s="117" t="inlineStr">
        <is>
          <t>$1,116</t>
        </is>
      </c>
      <c r="L83" s="117" t="inlineStr">
        <is>
          <t>Flash Sale (US) + Transfer to China</t>
        </is>
      </c>
      <c r="M83" s="350" t="n">
        <v>18</v>
      </c>
      <c r="N83" s="174">
        <f>M83*G83</f>
        <v/>
      </c>
      <c r="O83" s="174">
        <f>M83*H83</f>
        <v/>
      </c>
    </row>
    <row r="84" ht="18" customHeight="1" s="229">
      <c r="A84" s="119" t="inlineStr">
        <is>
          <t>Down Vest</t>
        </is>
      </c>
      <c r="B84" s="119" t="inlineStr">
        <is>
          <t>Active</t>
        </is>
      </c>
      <c r="C84" s="119" t="inlineStr">
        <is>
          <t>3 — MEDIUM (selldown or markdown)</t>
        </is>
      </c>
      <c r="D84" s="150" t="n">
        <v>7</v>
      </c>
      <c r="E84" s="147" t="n">
        <v>20</v>
      </c>
      <c r="F84" s="147" t="n">
        <v>14</v>
      </c>
      <c r="G84" s="147" t="n">
        <v>27</v>
      </c>
      <c r="H84" s="150" t="n">
        <v>41</v>
      </c>
      <c r="I84" s="119" t="inlineStr">
        <is>
          <t>$7,650</t>
        </is>
      </c>
      <c r="J84" s="119" t="inlineStr">
        <is>
          <t>$0.00</t>
        </is>
      </c>
      <c r="K84" s="119" t="inlineStr">
        <is>
          <t>$1,350</t>
        </is>
      </c>
      <c r="L84" s="119" t="inlineStr">
        <is>
          <t>Flash Sale (US) + Transfer to China</t>
        </is>
      </c>
      <c r="M84" s="351" t="n">
        <v>18</v>
      </c>
      <c r="N84" s="175">
        <f>M84*G84</f>
        <v/>
      </c>
      <c r="O84" s="175">
        <f>M84*H84</f>
        <v/>
      </c>
    </row>
    <row r="85" ht="18" customHeight="1" s="229">
      <c r="A85" s="117" t="inlineStr">
        <is>
          <t>Ballet Wool Wrap Sweater</t>
        </is>
      </c>
      <c r="B85" s="117" t="inlineStr">
        <is>
          <t>Active</t>
        </is>
      </c>
      <c r="C85" s="117" t="inlineStr">
        <is>
          <t>4 — LOW (natural sellthrough)</t>
        </is>
      </c>
      <c r="D85" s="135" t="n">
        <v>6</v>
      </c>
      <c r="E85" s="147" t="n">
        <v>8</v>
      </c>
      <c r="F85" s="147" t="n">
        <v>116</v>
      </c>
      <c r="G85" s="147" t="n">
        <v>14</v>
      </c>
      <c r="H85" s="135" t="n">
        <v>130</v>
      </c>
      <c r="I85" s="117" t="inlineStr">
        <is>
          <t>$1,410</t>
        </is>
      </c>
      <c r="J85" s="117" t="inlineStr">
        <is>
          <t>$0.00</t>
        </is>
      </c>
      <c r="K85" s="117" t="inlineStr">
        <is>
          <t>$540</t>
        </is>
      </c>
      <c r="L85" s="117" t="inlineStr">
        <is>
          <t>Flash Sale (US) + Transfer to China</t>
        </is>
      </c>
      <c r="M85" s="350" t="n">
        <v>18</v>
      </c>
      <c r="N85" s="174">
        <f>M85*G85</f>
        <v/>
      </c>
      <c r="O85" s="174">
        <f>M85*H85</f>
        <v/>
      </c>
    </row>
    <row r="86" ht="18" customHeight="1" s="229">
      <c r="A86" s="119" t="inlineStr">
        <is>
          <t>Ski Leggings</t>
        </is>
      </c>
      <c r="B86" s="119" t="inlineStr">
        <is>
          <t>Active</t>
        </is>
      </c>
      <c r="C86" s="119" t="inlineStr">
        <is>
          <t>4 — LOW (natural sellthrough)</t>
        </is>
      </c>
      <c r="D86" s="150" t="n">
        <v>6</v>
      </c>
      <c r="E86" s="147" t="n">
        <v>5</v>
      </c>
      <c r="F86" s="147" t="n">
        <v>94</v>
      </c>
      <c r="G86" s="147" t="n">
        <v>11</v>
      </c>
      <c r="H86" s="150" t="n">
        <v>105</v>
      </c>
      <c r="I86" s="119" t="inlineStr">
        <is>
          <t>$981</t>
        </is>
      </c>
      <c r="J86" s="119" t="inlineStr">
        <is>
          <t>$0.00</t>
        </is>
      </c>
      <c r="K86" s="119" t="inlineStr">
        <is>
          <t>$450</t>
        </is>
      </c>
      <c r="L86" s="119" t="inlineStr">
        <is>
          <t>Flash Sale (US) + Transfer to China</t>
        </is>
      </c>
      <c r="M86" s="351" t="n">
        <v>18</v>
      </c>
      <c r="N86" s="175">
        <f>M86*G86</f>
        <v/>
      </c>
      <c r="O86" s="175">
        <f>M86*H86</f>
        <v/>
      </c>
    </row>
    <row r="87" ht="18" customHeight="1" s="229">
      <c r="A87" s="117" t="inlineStr">
        <is>
          <t>Breeze Pants</t>
        </is>
      </c>
      <c r="B87" s="117" t="inlineStr">
        <is>
          <t>Active</t>
        </is>
      </c>
      <c r="C87" s="117" t="inlineStr">
        <is>
          <t>4 — LOW (natural sellthrough)</t>
        </is>
      </c>
      <c r="D87" s="135" t="n">
        <v>6</v>
      </c>
      <c r="E87" s="147" t="n">
        <v>14</v>
      </c>
      <c r="F87" s="147" t="n">
        <v>44</v>
      </c>
      <c r="G87" s="147" t="n">
        <v>20</v>
      </c>
      <c r="H87" s="135" t="n">
        <v>64</v>
      </c>
      <c r="I87" s="117" t="inlineStr">
        <is>
          <t>$831</t>
        </is>
      </c>
      <c r="J87" s="117" t="inlineStr">
        <is>
          <t>$0.00</t>
        </is>
      </c>
      <c r="K87" s="117" t="inlineStr">
        <is>
          <t>$576</t>
        </is>
      </c>
      <c r="L87" s="117" t="inlineStr">
        <is>
          <t>Flash Sale (US) + Transfer to China</t>
        </is>
      </c>
      <c r="M87" s="350" t="n">
        <v>18</v>
      </c>
      <c r="N87" s="174">
        <f>M87*G87</f>
        <v/>
      </c>
      <c r="O87" s="174">
        <f>M87*H87</f>
        <v/>
      </c>
    </row>
    <row r="88" ht="18" customHeight="1" s="229">
      <c r="A88" s="117" t="inlineStr">
        <is>
          <t>Strappy One-Piece Swimsuit</t>
        </is>
      </c>
      <c r="B88" s="117" t="inlineStr">
        <is>
          <t>Active</t>
        </is>
      </c>
      <c r="C88" s="117" t="inlineStr">
        <is>
          <t>3 — MEDIUM (selldown or markdown)</t>
        </is>
      </c>
      <c r="D88" s="135" t="n">
        <v>5</v>
      </c>
      <c r="E88" s="147" t="n">
        <v>26</v>
      </c>
      <c r="F88" s="147" t="n">
        <v>0</v>
      </c>
      <c r="G88" s="147" t="n">
        <v>31</v>
      </c>
      <c r="H88" s="135" t="n">
        <v>31</v>
      </c>
      <c r="I88" s="117" t="inlineStr">
        <is>
          <t>$434</t>
        </is>
      </c>
      <c r="J88" s="117" t="inlineStr">
        <is>
          <t>$0.00</t>
        </is>
      </c>
      <c r="K88" s="117" t="inlineStr">
        <is>
          <t>$990</t>
        </is>
      </c>
      <c r="L88" s="117" t="inlineStr">
        <is>
          <t>Flash Sale (US) + Transfer to China</t>
        </is>
      </c>
      <c r="M88" s="350" t="n">
        <v>18</v>
      </c>
      <c r="N88" s="174">
        <f>M88*G88</f>
        <v/>
      </c>
      <c r="O88" s="174">
        <f>M88*H88</f>
        <v/>
      </c>
    </row>
    <row r="89" ht="18" customHeight="1" s="229">
      <c r="A89" s="119" t="inlineStr">
        <is>
          <t>NEIWAI ACTIVE X NYCB Mid Waist Shorts</t>
        </is>
      </c>
      <c r="B89" s="119" t="inlineStr">
        <is>
          <t>Active</t>
        </is>
      </c>
      <c r="C89" s="119" t="inlineStr">
        <is>
          <t>4 — LOW (natural sellthrough)</t>
        </is>
      </c>
      <c r="D89" s="150" t="n">
        <v>5</v>
      </c>
      <c r="E89" s="147" t="n">
        <v>34</v>
      </c>
      <c r="F89" s="147" t="n">
        <v>0</v>
      </c>
      <c r="G89" s="147" t="n">
        <v>39</v>
      </c>
      <c r="H89" s="150" t="n">
        <v>39</v>
      </c>
      <c r="I89" s="119" t="inlineStr">
        <is>
          <t>$62</t>
        </is>
      </c>
      <c r="J89" s="119" t="inlineStr">
        <is>
          <t>$0.00</t>
        </is>
      </c>
      <c r="K89" s="119" t="inlineStr">
        <is>
          <t>$594</t>
        </is>
      </c>
      <c r="L89" s="119" t="inlineStr">
        <is>
          <t>Flash Sale (US) + Transfer to China</t>
        </is>
      </c>
      <c r="M89" s="351" t="n">
        <v>18</v>
      </c>
      <c r="N89" s="175">
        <f>M89*G89</f>
        <v/>
      </c>
      <c r="O89" s="175">
        <f>M89*H89</f>
        <v/>
      </c>
    </row>
    <row r="90" ht="18" customHeight="1" s="229">
      <c r="A90" s="117" t="inlineStr">
        <is>
          <t>Mousse Medium Support Sports Bra</t>
        </is>
      </c>
      <c r="B90" s="117" t="inlineStr">
        <is>
          <t>Active</t>
        </is>
      </c>
      <c r="C90" s="117" t="inlineStr">
        <is>
          <t>4 — LOW (natural sellthrough)</t>
        </is>
      </c>
      <c r="D90" s="135" t="n">
        <v>4</v>
      </c>
      <c r="E90" s="147" t="n">
        <v>23</v>
      </c>
      <c r="F90" s="147" t="n">
        <v>275</v>
      </c>
      <c r="G90" s="147" t="n">
        <v>27</v>
      </c>
      <c r="H90" s="135" t="n">
        <v>302</v>
      </c>
      <c r="I90" s="117" t="inlineStr">
        <is>
          <t>$1,061</t>
        </is>
      </c>
      <c r="J90" s="117" t="inlineStr">
        <is>
          <t>$0.00</t>
        </is>
      </c>
      <c r="K90" s="117" t="inlineStr">
        <is>
          <t>$666</t>
        </is>
      </c>
      <c r="L90" s="117" t="inlineStr">
        <is>
          <t>Flash Sale (US) + Transfer to China</t>
        </is>
      </c>
      <c r="M90" s="350" t="n">
        <v>18</v>
      </c>
      <c r="N90" s="174">
        <f>M90*G90</f>
        <v/>
      </c>
      <c r="O90" s="174">
        <f>M90*H90</f>
        <v/>
      </c>
    </row>
    <row r="91" ht="18" customHeight="1" s="229">
      <c r="A91" s="119" t="inlineStr">
        <is>
          <t>NEIWAI ACTIVE X NYCB Mousse High Waist Pants</t>
        </is>
      </c>
      <c r="B91" s="119" t="inlineStr">
        <is>
          <t>Active</t>
        </is>
      </c>
      <c r="C91" s="119" t="inlineStr">
        <is>
          <t>3 — MEDIUM (selldown or markdown)</t>
        </is>
      </c>
      <c r="D91" s="150" t="n">
        <v>4</v>
      </c>
      <c r="E91" s="147" t="n">
        <v>46</v>
      </c>
      <c r="F91" s="147" t="n">
        <v>0</v>
      </c>
      <c r="G91" s="147" t="n">
        <v>50</v>
      </c>
      <c r="H91" s="150" t="n">
        <v>50</v>
      </c>
      <c r="I91" s="119" t="inlineStr">
        <is>
          <t>$832</t>
        </is>
      </c>
      <c r="J91" s="119" t="inlineStr">
        <is>
          <t>$0.00</t>
        </is>
      </c>
      <c r="K91" s="119" t="inlineStr">
        <is>
          <t>$1,224</t>
        </is>
      </c>
      <c r="L91" s="119" t="inlineStr">
        <is>
          <t>Flash Sale (US) + Transfer to China</t>
        </is>
      </c>
      <c r="M91" s="351" t="n">
        <v>18</v>
      </c>
      <c r="N91" s="175">
        <f>M91*G91</f>
        <v/>
      </c>
      <c r="O91" s="175">
        <f>M91*H91</f>
        <v/>
      </c>
    </row>
    <row r="92" ht="18" customHeight="1" s="229">
      <c r="A92" s="117" t="inlineStr">
        <is>
          <t>Dance Sports Bra</t>
        </is>
      </c>
      <c r="B92" s="117" t="inlineStr">
        <is>
          <t>Active</t>
        </is>
      </c>
      <c r="C92" s="117" t="inlineStr">
        <is>
          <t>4 — LOW (natural sellthrough)</t>
        </is>
      </c>
      <c r="D92" s="135" t="n">
        <v>3</v>
      </c>
      <c r="E92" s="147" t="n">
        <v>3</v>
      </c>
      <c r="F92" s="147" t="n">
        <v>121</v>
      </c>
      <c r="G92" s="147" t="n">
        <v>6</v>
      </c>
      <c r="H92" s="135" t="n">
        <v>127</v>
      </c>
      <c r="I92" s="117" t="inlineStr">
        <is>
          <t>$166</t>
        </is>
      </c>
      <c r="J92" s="117" t="inlineStr">
        <is>
          <t>$0.00</t>
        </is>
      </c>
      <c r="K92" s="117" t="inlineStr">
        <is>
          <t>$108</t>
        </is>
      </c>
      <c r="L92" s="117" t="inlineStr">
        <is>
          <t>Flash Sale (US) + Transfer to China</t>
        </is>
      </c>
      <c r="M92" s="350" t="n">
        <v>18</v>
      </c>
      <c r="N92" s="174">
        <f>M92*G92</f>
        <v/>
      </c>
      <c r="O92" s="174">
        <f>M92*H92</f>
        <v/>
      </c>
    </row>
    <row r="93" ht="18" customHeight="1" s="229">
      <c r="A93" s="117" t="inlineStr">
        <is>
          <t>NEIWAI ACTIVE X NYCB Wool Half Zip Hoodie</t>
        </is>
      </c>
      <c r="B93" s="117" t="inlineStr">
        <is>
          <t>Active</t>
        </is>
      </c>
      <c r="C93" s="117" t="inlineStr">
        <is>
          <t>3 — MEDIUM (selldown or markdown)</t>
        </is>
      </c>
      <c r="D93" s="135" t="n">
        <v>3</v>
      </c>
      <c r="E93" s="147" t="n">
        <v>68</v>
      </c>
      <c r="F93" s="147" t="n">
        <v>0</v>
      </c>
      <c r="G93" s="147" t="n">
        <v>71</v>
      </c>
      <c r="H93" s="135" t="n">
        <v>71</v>
      </c>
      <c r="I93" s="117" t="inlineStr">
        <is>
          <t>$1,077</t>
        </is>
      </c>
      <c r="J93" s="117" t="inlineStr">
        <is>
          <t>$0.00</t>
        </is>
      </c>
      <c r="K93" s="117" t="inlineStr">
        <is>
          <t>$2,196</t>
        </is>
      </c>
      <c r="L93" s="117" t="inlineStr">
        <is>
          <t>Flash Sale (US) + Transfer to China</t>
        </is>
      </c>
      <c r="M93" s="350" t="n">
        <v>18</v>
      </c>
      <c r="N93" s="174">
        <f>M93*G93</f>
        <v/>
      </c>
      <c r="O93" s="174">
        <f>M93*H93</f>
        <v/>
      </c>
    </row>
    <row r="94" ht="18" customHeight="1" s="229">
      <c r="A94" s="119" t="inlineStr">
        <is>
          <t>NEIWAI ACTIVE X NYCB Mousse Cool Medium Support Long Sports Bra</t>
        </is>
      </c>
      <c r="B94" s="119" t="inlineStr">
        <is>
          <t>Active</t>
        </is>
      </c>
      <c r="C94" s="119" t="inlineStr">
        <is>
          <t>2 — HIGH (excess inventory vs demand)</t>
        </is>
      </c>
      <c r="D94" s="150" t="n">
        <v>3</v>
      </c>
      <c r="E94" s="147" t="n">
        <v>59</v>
      </c>
      <c r="F94" s="147" t="n">
        <v>0</v>
      </c>
      <c r="G94" s="147" t="n">
        <v>62</v>
      </c>
      <c r="H94" s="150" t="n">
        <v>62</v>
      </c>
      <c r="I94" s="119" t="inlineStr">
        <is>
          <t>$380</t>
        </is>
      </c>
      <c r="J94" s="119" t="inlineStr">
        <is>
          <t>$0.00</t>
        </is>
      </c>
      <c r="K94" s="119" t="inlineStr">
        <is>
          <t>$2,214</t>
        </is>
      </c>
      <c r="L94" s="119" t="inlineStr">
        <is>
          <t>Flash Sale (US) + Transfer to China</t>
        </is>
      </c>
      <c r="M94" s="351" t="n">
        <v>18</v>
      </c>
      <c r="N94" s="175">
        <f>M94*G94</f>
        <v/>
      </c>
      <c r="O94" s="175">
        <f>M94*H94</f>
        <v/>
      </c>
    </row>
    <row r="95" ht="18" customHeight="1" s="229">
      <c r="A95" s="117" t="inlineStr">
        <is>
          <t>Mousse Light Support Leggings</t>
        </is>
      </c>
      <c r="B95" s="117" t="inlineStr">
        <is>
          <t>Active</t>
        </is>
      </c>
      <c r="C95" s="117" t="inlineStr">
        <is>
          <t>3 — MEDIUM (selldown or markdown)</t>
        </is>
      </c>
      <c r="D95" s="135" t="n">
        <v>3</v>
      </c>
      <c r="E95" s="147" t="n">
        <v>83</v>
      </c>
      <c r="F95" s="147" t="n">
        <v>446</v>
      </c>
      <c r="G95" s="147" t="n">
        <v>86</v>
      </c>
      <c r="H95" s="135" t="n">
        <v>532</v>
      </c>
      <c r="I95" s="117" t="inlineStr">
        <is>
          <t>$1,649</t>
        </is>
      </c>
      <c r="J95" s="117" t="inlineStr">
        <is>
          <t>$0.00</t>
        </is>
      </c>
      <c r="K95" s="117" t="inlineStr">
        <is>
          <t>$3,186</t>
        </is>
      </c>
      <c r="L95" s="117" t="inlineStr">
        <is>
          <t>Flash Sale (US) + Transfer to China</t>
        </is>
      </c>
      <c r="M95" s="350" t="n">
        <v>18</v>
      </c>
      <c r="N95" s="174">
        <f>M95*G95</f>
        <v/>
      </c>
      <c r="O95" s="174">
        <f>M95*H95</f>
        <v/>
      </c>
    </row>
    <row r="96" ht="18" customHeight="1" s="229">
      <c r="A96" s="117" t="inlineStr">
        <is>
          <t>Ballet Pleated Plunge Bra Top</t>
        </is>
      </c>
      <c r="B96" s="117" t="inlineStr">
        <is>
          <t>Active</t>
        </is>
      </c>
      <c r="C96" s="117" t="inlineStr">
        <is>
          <t>4 — LOW (natural sellthrough)</t>
        </is>
      </c>
      <c r="D96" s="135" t="n">
        <v>3</v>
      </c>
      <c r="E96" s="147" t="n">
        <v>5</v>
      </c>
      <c r="F96" s="147" t="n">
        <v>67</v>
      </c>
      <c r="G96" s="147" t="n">
        <v>8</v>
      </c>
      <c r="H96" s="135" t="n">
        <v>75</v>
      </c>
      <c r="I96" s="117" t="inlineStr">
        <is>
          <t>$381</t>
        </is>
      </c>
      <c r="J96" s="117" t="inlineStr">
        <is>
          <t>$0.00</t>
        </is>
      </c>
      <c r="K96" s="117" t="inlineStr">
        <is>
          <t>$342</t>
        </is>
      </c>
      <c r="L96" s="117" t="inlineStr">
        <is>
          <t>Flash Sale (US) + Transfer to China</t>
        </is>
      </c>
      <c r="M96" s="350" t="n">
        <v>18</v>
      </c>
      <c r="N96" s="174">
        <f>M96*G96</f>
        <v/>
      </c>
      <c r="O96" s="174">
        <f>M96*H96</f>
        <v/>
      </c>
    </row>
    <row r="97" ht="18" customHeight="1" s="229">
      <c r="A97" s="119" t="inlineStr">
        <is>
          <t>NEIWAI ACTIVE X NYCB Mousse Medium Support Long Sports Bra</t>
        </is>
      </c>
      <c r="B97" s="119" t="inlineStr">
        <is>
          <t>Active</t>
        </is>
      </c>
      <c r="C97" s="119" t="inlineStr">
        <is>
          <t>3 — MEDIUM (selldown or markdown)</t>
        </is>
      </c>
      <c r="D97" s="150" t="n">
        <v>2</v>
      </c>
      <c r="E97" s="147" t="n">
        <v>94</v>
      </c>
      <c r="F97" s="147" t="n">
        <v>36</v>
      </c>
      <c r="G97" s="147" t="n">
        <v>96</v>
      </c>
      <c r="H97" s="150" t="n">
        <v>132</v>
      </c>
      <c r="I97" s="119" t="inlineStr">
        <is>
          <t>$1,735</t>
        </is>
      </c>
      <c r="J97" s="119" t="inlineStr">
        <is>
          <t>$0.00</t>
        </is>
      </c>
      <c r="K97" s="119" t="inlineStr">
        <is>
          <t>$2,610</t>
        </is>
      </c>
      <c r="L97" s="119" t="inlineStr">
        <is>
          <t>Flash Sale (US) + Transfer to China</t>
        </is>
      </c>
      <c r="M97" s="351" t="n">
        <v>18</v>
      </c>
      <c r="N97" s="175">
        <f>M97*G97</f>
        <v/>
      </c>
      <c r="O97" s="175">
        <f>M97*H97</f>
        <v/>
      </c>
    </row>
    <row r="98" ht="18" customHeight="1" s="229">
      <c r="A98" s="117" t="inlineStr">
        <is>
          <t>Fleece Pocket Leggings</t>
        </is>
      </c>
      <c r="B98" s="117" t="inlineStr">
        <is>
          <t>Active</t>
        </is>
      </c>
      <c r="C98" s="117" t="inlineStr">
        <is>
          <t>3 — MEDIUM (selldown or markdown)</t>
        </is>
      </c>
      <c r="D98" s="135" t="n">
        <v>2</v>
      </c>
      <c r="E98" s="147" t="n">
        <v>34</v>
      </c>
      <c r="F98" s="147" t="n">
        <v>0</v>
      </c>
      <c r="G98" s="147" t="n">
        <v>36</v>
      </c>
      <c r="H98" s="135" t="n">
        <v>36</v>
      </c>
      <c r="I98" s="117" t="inlineStr">
        <is>
          <t>$272</t>
        </is>
      </c>
      <c r="J98" s="117" t="inlineStr">
        <is>
          <t>$0.00</t>
        </is>
      </c>
      <c r="K98" s="117" t="inlineStr">
        <is>
          <t>$1,080</t>
        </is>
      </c>
      <c r="L98" s="117" t="inlineStr">
        <is>
          <t>Flash Sale (US) + Transfer to China</t>
        </is>
      </c>
      <c r="M98" s="350" t="n">
        <v>18</v>
      </c>
      <c r="N98" s="174">
        <f>M98*G98</f>
        <v/>
      </c>
      <c r="O98" s="174">
        <f>M98*H98</f>
        <v/>
      </c>
    </row>
    <row r="99" ht="18" customHeight="1" s="229">
      <c r="A99" s="119" t="inlineStr">
        <is>
          <t>Ballet Slit Joggers</t>
        </is>
      </c>
      <c r="B99" s="119" t="inlineStr">
        <is>
          <t>Active</t>
        </is>
      </c>
      <c r="C99" s="119" t="inlineStr">
        <is>
          <t>4 — LOW (natural sellthrough)</t>
        </is>
      </c>
      <c r="D99" s="150" t="n">
        <v>2</v>
      </c>
      <c r="E99" s="147" t="n">
        <v>5</v>
      </c>
      <c r="F99" s="147" t="n">
        <v>73</v>
      </c>
      <c r="G99" s="147" t="n">
        <v>7</v>
      </c>
      <c r="H99" s="150" t="n">
        <v>80</v>
      </c>
      <c r="I99" s="119" t="inlineStr">
        <is>
          <t>$1,553</t>
        </is>
      </c>
      <c r="J99" s="119" t="inlineStr">
        <is>
          <t>$0.00</t>
        </is>
      </c>
      <c r="K99" s="119" t="inlineStr">
        <is>
          <t>$324</t>
        </is>
      </c>
      <c r="L99" s="119" t="inlineStr">
        <is>
          <t>Flash Sale (US) + Transfer to China</t>
        </is>
      </c>
      <c r="M99" s="351" t="n">
        <v>18</v>
      </c>
      <c r="N99" s="175">
        <f>M99*G99</f>
        <v/>
      </c>
      <c r="O99" s="175">
        <f>M99*H99</f>
        <v/>
      </c>
    </row>
    <row r="100" ht="18" customHeight="1" s="229">
      <c r="A100" s="119" t="inlineStr">
        <is>
          <t>Medium Support M-Back Sports Bra</t>
        </is>
      </c>
      <c r="B100" s="119" t="inlineStr">
        <is>
          <t>Active</t>
        </is>
      </c>
      <c r="C100" s="119" t="inlineStr">
        <is>
          <t>4 — LOW (natural sellthrough)</t>
        </is>
      </c>
      <c r="D100" s="150" t="n">
        <v>2</v>
      </c>
      <c r="E100" s="147" t="n">
        <v>15</v>
      </c>
      <c r="F100" s="147" t="n">
        <v>37</v>
      </c>
      <c r="G100" s="147" t="n">
        <v>17</v>
      </c>
      <c r="H100" s="150" t="n">
        <v>54</v>
      </c>
      <c r="I100" s="119" t="inlineStr">
        <is>
          <t>$876</t>
        </is>
      </c>
      <c r="J100" s="119" t="inlineStr">
        <is>
          <t>$0.00</t>
        </is>
      </c>
      <c r="K100" s="119" t="inlineStr">
        <is>
          <t>$270</t>
        </is>
      </c>
      <c r="L100" s="119" t="inlineStr">
        <is>
          <t>Flash Sale (US) + Transfer to China</t>
        </is>
      </c>
      <c r="M100" s="351" t="n">
        <v>18</v>
      </c>
      <c r="N100" s="175">
        <f>M100*G100</f>
        <v/>
      </c>
      <c r="O100" s="175">
        <f>M100*H100</f>
        <v/>
      </c>
    </row>
    <row r="101" ht="18" customHeight="1" s="229">
      <c r="A101" s="117" t="inlineStr">
        <is>
          <t>Active Ballet Stirrup Drawstring Leggings</t>
        </is>
      </c>
      <c r="B101" s="117" t="inlineStr">
        <is>
          <t>Active</t>
        </is>
      </c>
      <c r="C101" s="117" t="inlineStr">
        <is>
          <t>4 — LOW (natural sellthrough)</t>
        </is>
      </c>
      <c r="D101" s="135" t="n">
        <v>2</v>
      </c>
      <c r="E101" s="147" t="n">
        <v>14</v>
      </c>
      <c r="F101" s="147" t="n">
        <v>269</v>
      </c>
      <c r="G101" s="147" t="n">
        <v>16</v>
      </c>
      <c r="H101" s="135" t="n">
        <v>285</v>
      </c>
      <c r="I101" s="117" t="inlineStr">
        <is>
          <t>$3,158</t>
        </is>
      </c>
      <c r="J101" s="117" t="inlineStr">
        <is>
          <t>$0.00</t>
        </is>
      </c>
      <c r="K101" s="117" t="inlineStr">
        <is>
          <t>$756</t>
        </is>
      </c>
      <c r="L101" s="117" t="inlineStr">
        <is>
          <t>Flash Sale (US) + Transfer to China</t>
        </is>
      </c>
      <c r="M101" s="350" t="n">
        <v>18</v>
      </c>
      <c r="N101" s="174">
        <f>M101*G101</f>
        <v/>
      </c>
      <c r="O101" s="174">
        <f>M101*H101</f>
        <v/>
      </c>
    </row>
    <row r="102" ht="18" customHeight="1" s="229">
      <c r="A102" s="119" t="inlineStr">
        <is>
          <t>NEIWAI ACTIVE X NYCB Foldover Flare Leggings</t>
        </is>
      </c>
      <c r="B102" s="119" t="inlineStr">
        <is>
          <t>Active</t>
        </is>
      </c>
      <c r="C102" s="119" t="inlineStr">
        <is>
          <t>4 — LOW (natural sellthrough)</t>
        </is>
      </c>
      <c r="D102" s="150" t="n">
        <v>2</v>
      </c>
      <c r="E102" s="147" t="n">
        <v>9</v>
      </c>
      <c r="F102" s="147" t="n">
        <v>0</v>
      </c>
      <c r="G102" s="147" t="n">
        <v>11</v>
      </c>
      <c r="H102" s="150" t="n">
        <v>11</v>
      </c>
      <c r="I102" s="119" t="inlineStr">
        <is>
          <t>$354</t>
        </is>
      </c>
      <c r="J102" s="119" t="inlineStr">
        <is>
          <t>$0.00</t>
        </is>
      </c>
      <c r="K102" s="119" t="inlineStr">
        <is>
          <t>$486</t>
        </is>
      </c>
      <c r="L102" s="119" t="inlineStr">
        <is>
          <t>Flash Sale (US) + Transfer to China</t>
        </is>
      </c>
      <c r="M102" s="351" t="n">
        <v>18</v>
      </c>
      <c r="N102" s="175">
        <f>M102*G102</f>
        <v/>
      </c>
      <c r="O102" s="175">
        <f>M102*H102</f>
        <v/>
      </c>
    </row>
    <row r="103" ht="18" customHeight="1" s="229">
      <c r="A103" s="117" t="inlineStr">
        <is>
          <t>Ballet Pleated Bustier</t>
        </is>
      </c>
      <c r="B103" s="117" t="inlineStr">
        <is>
          <t>Active</t>
        </is>
      </c>
      <c r="C103" s="117" t="inlineStr">
        <is>
          <t>4 — LOW (natural sellthrough)</t>
        </is>
      </c>
      <c r="D103" s="135" t="n">
        <v>2</v>
      </c>
      <c r="E103" s="147" t="n">
        <v>5</v>
      </c>
      <c r="F103" s="147" t="n">
        <v>0</v>
      </c>
      <c r="G103" s="147" t="n">
        <v>7</v>
      </c>
      <c r="H103" s="135" t="n">
        <v>7</v>
      </c>
      <c r="I103" s="117" t="inlineStr">
        <is>
          <t>$574</t>
        </is>
      </c>
      <c r="J103" s="117" t="inlineStr">
        <is>
          <t>$0.00</t>
        </is>
      </c>
      <c r="K103" s="117" t="inlineStr">
        <is>
          <t>$378</t>
        </is>
      </c>
      <c r="L103" s="117" t="inlineStr">
        <is>
          <t>Flash Sale (US) + Transfer to China</t>
        </is>
      </c>
      <c r="M103" s="350" t="n">
        <v>18</v>
      </c>
      <c r="N103" s="174">
        <f>M103*G103</f>
        <v/>
      </c>
      <c r="O103" s="174">
        <f>M103*H103</f>
        <v/>
      </c>
    </row>
    <row r="104" ht="18" customHeight="1" s="229">
      <c r="A104" s="117" t="inlineStr">
        <is>
          <t>NEIWAI ACTIVE X NYCB Polartec Fleece Sweatpants</t>
        </is>
      </c>
      <c r="B104" s="117" t="inlineStr">
        <is>
          <t>Active</t>
        </is>
      </c>
      <c r="C104" s="117" t="inlineStr">
        <is>
          <t>2 — HIGH (excess inventory vs demand)</t>
        </is>
      </c>
      <c r="D104" s="135" t="n">
        <v>1</v>
      </c>
      <c r="E104" s="147" t="n">
        <v>100</v>
      </c>
      <c r="F104" s="147" t="n">
        <v>0</v>
      </c>
      <c r="G104" s="147" t="n">
        <v>101</v>
      </c>
      <c r="H104" s="135" t="n">
        <v>101</v>
      </c>
      <c r="I104" s="117" t="inlineStr">
        <is>
          <t>$733</t>
        </is>
      </c>
      <c r="J104" s="117" t="inlineStr">
        <is>
          <t>$0.00</t>
        </is>
      </c>
      <c r="K104" s="117" t="inlineStr">
        <is>
          <t>$2,934</t>
        </is>
      </c>
      <c r="L104" s="117" t="inlineStr">
        <is>
          <t>Flash Sale (US) + Transfer to China</t>
        </is>
      </c>
      <c r="M104" s="350" t="n">
        <v>18</v>
      </c>
      <c r="N104" s="174">
        <f>M104*G104</f>
        <v/>
      </c>
      <c r="O104" s="174">
        <f>M104*H104</f>
        <v/>
      </c>
    </row>
    <row r="105" ht="18" customHeight="1" s="229">
      <c r="A105" s="117" t="inlineStr">
        <is>
          <t>Dolce Bikini Bottom</t>
        </is>
      </c>
      <c r="B105" s="117" t="inlineStr">
        <is>
          <t>Active</t>
        </is>
      </c>
      <c r="C105" s="117" t="inlineStr">
        <is>
          <t>3 — MEDIUM (selldown or markdown)</t>
        </is>
      </c>
      <c r="D105" s="135" t="n">
        <v>1</v>
      </c>
      <c r="E105" s="147" t="n">
        <v>95</v>
      </c>
      <c r="F105" s="147" t="n">
        <v>0</v>
      </c>
      <c r="G105" s="147" t="n">
        <v>96</v>
      </c>
      <c r="H105" s="135" t="n">
        <v>96</v>
      </c>
      <c r="I105" s="117" t="inlineStr">
        <is>
          <t>$239</t>
        </is>
      </c>
      <c r="J105" s="117" t="inlineStr">
        <is>
          <t>$0.00</t>
        </is>
      </c>
      <c r="K105" s="117" t="inlineStr">
        <is>
          <t>$1,494</t>
        </is>
      </c>
      <c r="L105" s="117" t="inlineStr">
        <is>
          <t>Flash Sale (US) + Transfer to China</t>
        </is>
      </c>
      <c r="M105" s="350" t="n">
        <v>18</v>
      </c>
      <c r="N105" s="174">
        <f>M105*G105</f>
        <v/>
      </c>
      <c r="O105" s="174">
        <f>M105*H105</f>
        <v/>
      </c>
    </row>
    <row r="106" ht="18" customHeight="1" s="229">
      <c r="A106" s="119" t="inlineStr">
        <is>
          <t>Ballet Ribbed Cardigan</t>
        </is>
      </c>
      <c r="B106" s="119" t="inlineStr">
        <is>
          <t>Active</t>
        </is>
      </c>
      <c r="C106" s="119" t="inlineStr">
        <is>
          <t>4 — LOW (natural sellthrough)</t>
        </is>
      </c>
      <c r="D106" s="150" t="n">
        <v>1</v>
      </c>
      <c r="E106" s="147" t="n">
        <v>11</v>
      </c>
      <c r="F106" s="147" t="n">
        <v>62</v>
      </c>
      <c r="G106" s="147" t="n">
        <v>12</v>
      </c>
      <c r="H106" s="150" t="n">
        <v>74</v>
      </c>
      <c r="I106" s="119" t="inlineStr">
        <is>
          <t>$2,105</t>
        </is>
      </c>
      <c r="J106" s="119" t="inlineStr">
        <is>
          <t>$0.00</t>
        </is>
      </c>
      <c r="K106" s="119" t="inlineStr">
        <is>
          <t>$594</t>
        </is>
      </c>
      <c r="L106" s="119" t="inlineStr">
        <is>
          <t>Flash Sale (US) + Transfer to China</t>
        </is>
      </c>
      <c r="M106" s="351" t="n">
        <v>18</v>
      </c>
      <c r="N106" s="175">
        <f>M106*G106</f>
        <v/>
      </c>
      <c r="O106" s="175">
        <f>M106*H106</f>
        <v/>
      </c>
    </row>
    <row r="107" ht="18" customHeight="1" s="229">
      <c r="A107" s="117" t="inlineStr">
        <is>
          <t>Breeze High Waist Bermuda Shorts</t>
        </is>
      </c>
      <c r="B107" s="117" t="inlineStr">
        <is>
          <t>Active</t>
        </is>
      </c>
      <c r="C107" s="117" t="inlineStr">
        <is>
          <t>2 — HIGH (dead product)</t>
        </is>
      </c>
      <c r="D107" s="135" t="n">
        <v>1</v>
      </c>
      <c r="E107" s="147" t="n">
        <v>28</v>
      </c>
      <c r="F107" s="147" t="n">
        <v>68</v>
      </c>
      <c r="G107" s="147" t="n">
        <v>29</v>
      </c>
      <c r="H107" s="135" t="n">
        <v>97</v>
      </c>
      <c r="I107" s="117" t="inlineStr">
        <is>
          <t>$0</t>
        </is>
      </c>
      <c r="J107" s="117" t="inlineStr">
        <is>
          <t>$0.00</t>
        </is>
      </c>
      <c r="K107" s="117" t="inlineStr">
        <is>
          <t>$342</t>
        </is>
      </c>
      <c r="L107" s="117" t="inlineStr">
        <is>
          <t>Flash Sale (US) + Transfer to China</t>
        </is>
      </c>
      <c r="M107" s="350" t="n">
        <v>18</v>
      </c>
      <c r="N107" s="174">
        <f>M107*G107</f>
        <v/>
      </c>
      <c r="O107" s="174">
        <f>M107*H107</f>
        <v/>
      </c>
    </row>
    <row r="108" ht="18" customHeight="1" s="229">
      <c r="A108" s="117" t="inlineStr">
        <is>
          <t>NEIWAI ACTIVE X NYCB Ribbed Zip Cardigan</t>
        </is>
      </c>
      <c r="B108" s="117" t="inlineStr">
        <is>
          <t>Active</t>
        </is>
      </c>
      <c r="C108" s="117" t="inlineStr">
        <is>
          <t>4 — LOW (natural sellthrough)</t>
        </is>
      </c>
      <c r="D108" s="135" t="n">
        <v>1</v>
      </c>
      <c r="E108" s="147" t="n">
        <v>9</v>
      </c>
      <c r="F108" s="147" t="n">
        <v>0</v>
      </c>
      <c r="G108" s="147" t="n">
        <v>10</v>
      </c>
      <c r="H108" s="135" t="n">
        <v>10</v>
      </c>
      <c r="I108" s="117" t="inlineStr">
        <is>
          <t>$593</t>
        </is>
      </c>
      <c r="J108" s="117" t="inlineStr">
        <is>
          <t>$0.00</t>
        </is>
      </c>
      <c r="K108" s="117" t="inlineStr">
        <is>
          <t>$360</t>
        </is>
      </c>
      <c r="L108" s="117" t="inlineStr">
        <is>
          <t>Flash Sale (US) + Transfer to China</t>
        </is>
      </c>
      <c r="M108" s="350" t="n">
        <v>18</v>
      </c>
      <c r="N108" s="174">
        <f>M108*G108</f>
        <v/>
      </c>
      <c r="O108" s="174">
        <f>M108*H108</f>
        <v/>
      </c>
    </row>
    <row r="109" ht="18" customHeight="1" s="229">
      <c r="A109" s="119" t="inlineStr">
        <is>
          <t>Ballet Pleated Boatneck Bra Top</t>
        </is>
      </c>
      <c r="B109" s="119" t="inlineStr">
        <is>
          <t>Active</t>
        </is>
      </c>
      <c r="C109" s="119" t="inlineStr">
        <is>
          <t>4 — LOW (natural sellthrough)</t>
        </is>
      </c>
      <c r="D109" s="150" t="n">
        <v>1</v>
      </c>
      <c r="E109" s="147" t="n">
        <v>0</v>
      </c>
      <c r="F109" s="147" t="n">
        <v>0</v>
      </c>
      <c r="G109" s="147" t="n">
        <v>1</v>
      </c>
      <c r="H109" s="150" t="n">
        <v>1</v>
      </c>
      <c r="I109" s="119" t="inlineStr">
        <is>
          <t>$60</t>
        </is>
      </c>
      <c r="J109" s="119" t="inlineStr">
        <is>
          <t>$0.00</t>
        </is>
      </c>
      <c r="K109" s="119" t="inlineStr">
        <is>
          <t>$54</t>
        </is>
      </c>
      <c r="L109" s="119" t="inlineStr">
        <is>
          <t>US Flash Sale Only</t>
        </is>
      </c>
      <c r="M109" s="351" t="n">
        <v>18</v>
      </c>
      <c r="N109" s="175">
        <f>M109*G109</f>
        <v/>
      </c>
      <c r="O109" s="175">
        <f>M109*H109</f>
        <v/>
      </c>
    </row>
    <row r="110" ht="18" customHeight="1" s="229">
      <c r="A110" s="119" t="inlineStr">
        <is>
          <t>Urban Sport Casual Wool Coat</t>
        </is>
      </c>
      <c r="B110" s="119" t="inlineStr">
        <is>
          <t>Active</t>
        </is>
      </c>
      <c r="C110" s="119" t="inlineStr">
        <is>
          <t>4 — LOW (natural sellthrough)</t>
        </is>
      </c>
      <c r="D110" s="150" t="n">
        <v>1</v>
      </c>
      <c r="E110" s="147" t="n">
        <v>0</v>
      </c>
      <c r="F110" s="147" t="n">
        <v>0</v>
      </c>
      <c r="G110" s="147" t="n">
        <v>1</v>
      </c>
      <c r="H110" s="150" t="n">
        <v>1</v>
      </c>
      <c r="I110" s="119" t="inlineStr">
        <is>
          <t>$510</t>
        </is>
      </c>
      <c r="J110" s="119" t="inlineStr">
        <is>
          <t>$0.00</t>
        </is>
      </c>
      <c r="K110" s="119" t="inlineStr">
        <is>
          <t>$0</t>
        </is>
      </c>
      <c r="L110" s="119" t="inlineStr">
        <is>
          <t>US Flash Sale Only</t>
        </is>
      </c>
      <c r="M110" s="119" t="n">
        <v>18</v>
      </c>
      <c r="N110" s="175">
        <f>M110*G110</f>
        <v/>
      </c>
      <c r="O110" s="175">
        <f>M110*H110</f>
        <v/>
      </c>
    </row>
    <row r="111" ht="16" customHeight="1" s="229">
      <c r="A111" s="564" t="inlineStr">
        <is>
          <t>▸  MEN  —  1 products  |  10 US units  |  1005 China units</t>
        </is>
      </c>
      <c r="B111" s="565" t="n"/>
      <c r="C111" s="565" t="n"/>
      <c r="D111" s="565" t="n"/>
      <c r="E111" s="565" t="n"/>
      <c r="F111" s="565" t="n"/>
      <c r="G111" s="565" t="n"/>
      <c r="H111" s="565" t="n"/>
      <c r="I111" s="565" t="n"/>
      <c r="J111" s="565" t="n"/>
      <c r="K111" s="565" t="n"/>
      <c r="L111" s="565" t="n"/>
      <c r="M111" s="565" t="n"/>
      <c r="N111" s="565" t="n"/>
      <c r="O111" s="565" t="n"/>
    </row>
    <row r="112" ht="18" customHeight="1" s="229">
      <c r="A112" s="117" t="inlineStr">
        <is>
          <t>Men's Basic Short Sleeved T-Shirt</t>
        </is>
      </c>
      <c r="B112" s="117" t="inlineStr">
        <is>
          <t>Men</t>
        </is>
      </c>
      <c r="C112" s="117" t="inlineStr">
        <is>
          <t>3 — MEDIUM (selldown or markdown)</t>
        </is>
      </c>
      <c r="D112" s="135" t="n">
        <v>10</v>
      </c>
      <c r="E112" s="147" t="n">
        <v>70</v>
      </c>
      <c r="F112" s="147" t="n">
        <v>935</v>
      </c>
      <c r="G112" s="147" t="n">
        <v>80</v>
      </c>
      <c r="H112" s="135" t="n">
        <v>1015</v>
      </c>
      <c r="I112" s="117" t="inlineStr">
        <is>
          <t>$1,072</t>
        </is>
      </c>
      <c r="J112" s="117" t="inlineStr">
        <is>
          <t>$0.00</t>
        </is>
      </c>
      <c r="K112" s="117" t="inlineStr">
        <is>
          <t>$600</t>
        </is>
      </c>
      <c r="L112" s="117" t="inlineStr">
        <is>
          <t>Flash Sale (US) + Transfer to China</t>
        </is>
      </c>
      <c r="M112" s="117" t="n">
        <v>8</v>
      </c>
      <c r="N112" s="174">
        <f>M112*G112</f>
        <v/>
      </c>
      <c r="O112" s="174">
        <f>M112*H112</f>
        <v/>
      </c>
    </row>
    <row r="113" ht="18" customHeight="1" s="229">
      <c r="A113" s="133" t="inlineStr">
        <is>
          <t>TOTAL</t>
        </is>
      </c>
      <c r="B113" s="133" t="n"/>
      <c r="C113" s="133" t="n"/>
      <c r="D113" s="133" t="n">
        <v>1287</v>
      </c>
      <c r="H113" s="133" t="n">
        <v>17991</v>
      </c>
      <c r="I113" s="133" t="n"/>
      <c r="J113" s="133" t="n"/>
      <c r="K113" s="133" t="n"/>
      <c r="L113" s="133" t="n"/>
      <c r="M113" s="133" t="n"/>
      <c r="N113" s="133" t="n"/>
      <c r="O113" s="133" t="n"/>
    </row>
  </sheetData>
  <pageMargins left="0.75" right="0.75" top="1" bottom="1" header="0.5" footer="0.5"/>
</worksheet>
</file>

<file path=xl/worksheets/sheet5.xml><?xml version="1.0" encoding="utf-8"?>
<worksheet xmlns="http://schemas.openxmlformats.org/spreadsheetml/2006/main">
  <sheetPr>
    <tabColor rgb="001A5276"/>
    <outlinePr summaryBelow="1" summaryRight="1"/>
    <pageSetUpPr/>
  </sheetPr>
  <dimension ref="A1:J394"/>
  <sheetViews>
    <sheetView showGridLines="0" workbookViewId="0">
      <pane ySplit="12" topLeftCell="A13" activePane="bottomLeft" state="frozen"/>
      <selection pane="bottomLeft" activeCell="E14" sqref="E14"/>
    </sheetView>
  </sheetViews>
  <sheetFormatPr baseColWidth="10" defaultColWidth="9" defaultRowHeight="14"/>
  <cols>
    <col width="38" customWidth="1" style="229" min="1" max="1"/>
    <col width="11" customWidth="1" style="229" min="2" max="2"/>
    <col width="26" customWidth="1" style="229" min="3" max="3"/>
    <col width="10" customWidth="1" style="229" min="4" max="4"/>
    <col width="10" customWidth="1" style="229" min="5" max="5"/>
    <col width="12" customWidth="1" style="229" min="6" max="6"/>
    <col width="10" customWidth="1" style="229" min="7" max="8"/>
    <col width="11" customWidth="1" style="229" min="8" max="8"/>
    <col width="26" customWidth="1" style="229" min="9" max="9"/>
    <col width="13" customWidth="1" style="229" min="10" max="10"/>
  </cols>
  <sheetData>
    <row r="1" ht="26" customHeight="1" s="229">
      <c r="A1" s="877" t="inlineStr">
        <is>
          <t>CHINA RETURN LIST — Yuntu + 菜鸟仓 Inventory</t>
        </is>
      </c>
      <c r="B1" s="550" t="n"/>
      <c r="C1" s="550" t="n"/>
      <c r="D1" s="550" t="n"/>
      <c r="E1" s="550" t="n"/>
      <c r="F1" s="550" t="n"/>
      <c r="G1" s="550" t="n"/>
      <c r="H1" s="550" t="n"/>
      <c r="I1" s="550" t="n"/>
      <c r="J1" s="550" t="n"/>
    </row>
    <row r="2" ht="18" customHeight="1" s="229">
      <c r="A2" s="878" t="inlineStr">
        <is>
          <t>375 products  |  105,077 total China units  |  Targeting transfer back to CN market</t>
        </is>
      </c>
      <c r="B2" s="552" t="n"/>
      <c r="C2" s="552" t="n"/>
      <c r="D2" s="552" t="n"/>
      <c r="E2" s="552" t="n"/>
      <c r="F2" s="552" t="n"/>
      <c r="G2" s="552" t="n"/>
      <c r="H2" s="552" t="n"/>
      <c r="I2" s="552" t="n"/>
      <c r="J2" s="552" t="n"/>
    </row>
    <row r="3" ht="28" customHeight="1" s="229">
      <c r="A3" s="550" t="inlineStr">
        <is>
          <t>Category</t>
        </is>
      </c>
      <c r="B3" s="566" t="inlineStr">
        <is>
          <t>Products</t>
        </is>
      </c>
      <c r="C3" s="566" t="inlineStr">
        <is>
          <t>Yuntu Units</t>
        </is>
      </c>
      <c r="D3" s="566" t="inlineStr">
        <is>
          <t>菜鸟仓 Units</t>
        </is>
      </c>
      <c r="E3" s="566" t="inlineStr">
        <is>
          <t>Total China Units</t>
        </is>
      </c>
      <c r="F3" s="566" t="inlineStr">
        <is>
          <t>Est. Inv Value</t>
        </is>
      </c>
      <c r="G3" s="550" t="n"/>
      <c r="H3" s="550" t="n"/>
      <c r="I3" s="550" t="n"/>
      <c r="J3" s="550" t="n"/>
    </row>
    <row r="4" ht="16" customHeight="1" s="229">
      <c r="A4" s="609" t="inlineStr">
        <is>
          <t>Men</t>
        </is>
      </c>
      <c r="B4" s="610" t="n">
        <v>25</v>
      </c>
      <c r="C4" s="611" t="n">
        <v>1933</v>
      </c>
      <c r="D4" s="611" t="n">
        <v>27494</v>
      </c>
      <c r="E4" s="611" t="n">
        <v>29427</v>
      </c>
      <c r="F4" s="610" t="n"/>
      <c r="G4" s="612" t="n"/>
      <c r="H4" s="612" t="n"/>
      <c r="I4" s="612" t="n"/>
      <c r="J4" s="612" t="n"/>
    </row>
    <row r="5" ht="16" customHeight="1" s="229">
      <c r="A5" s="613" t="inlineStr">
        <is>
          <t>Loungewear</t>
        </is>
      </c>
      <c r="B5" s="614" t="n">
        <v>112</v>
      </c>
      <c r="C5" s="615" t="n">
        <v>4794</v>
      </c>
      <c r="D5" s="615" t="n">
        <v>21924</v>
      </c>
      <c r="E5" s="615" t="n">
        <v>26718</v>
      </c>
      <c r="F5" s="614" t="n"/>
      <c r="G5" s="612" t="n"/>
      <c r="H5" s="612" t="n"/>
      <c r="I5" s="612" t="n"/>
      <c r="J5" s="612" t="n"/>
    </row>
    <row r="6" ht="16" customHeight="1" s="229">
      <c r="A6" s="616" t="inlineStr">
        <is>
          <t>Underwear</t>
        </is>
      </c>
      <c r="B6" s="617" t="n">
        <v>72</v>
      </c>
      <c r="C6" s="618" t="n">
        <v>8673</v>
      </c>
      <c r="D6" s="618" t="n">
        <v>17438</v>
      </c>
      <c r="E6" s="618" t="n">
        <v>26111</v>
      </c>
      <c r="F6" s="617" t="n"/>
      <c r="G6" s="612" t="n"/>
      <c r="H6" s="612" t="n"/>
      <c r="I6" s="612" t="n"/>
      <c r="J6" s="612" t="n"/>
    </row>
    <row r="7" ht="16" customHeight="1" s="229">
      <c r="A7" s="619" t="inlineStr">
        <is>
          <t>Active</t>
        </is>
      </c>
      <c r="B7" s="620" t="n">
        <v>159</v>
      </c>
      <c r="C7" s="621" t="n">
        <v>8938</v>
      </c>
      <c r="D7" s="621" t="n">
        <v>12550</v>
      </c>
      <c r="E7" s="621" t="n">
        <v>21488</v>
      </c>
      <c r="F7" s="620" t="n"/>
      <c r="G7" s="612" t="n"/>
      <c r="H7" s="612" t="n"/>
      <c r="I7" s="612" t="n"/>
      <c r="J7" s="612" t="n"/>
    </row>
    <row r="8" ht="16" customHeight="1" s="229">
      <c r="A8" s="622" t="inlineStr">
        <is>
          <t>Sample</t>
        </is>
      </c>
      <c r="B8" s="623" t="n">
        <v>1</v>
      </c>
      <c r="C8" s="624" t="n">
        <v>26</v>
      </c>
      <c r="D8" s="624" t="n">
        <v>174</v>
      </c>
      <c r="E8" s="624" t="n">
        <v>200</v>
      </c>
      <c r="F8" s="623" t="n"/>
      <c r="G8" s="612" t="n"/>
      <c r="H8" s="612" t="n"/>
      <c r="I8" s="612" t="n"/>
      <c r="J8" s="612" t="n"/>
    </row>
    <row r="9" ht="16" customHeight="1" s="229">
      <c r="A9" s="625" t="inlineStr">
        <is>
          <t>Accessories</t>
        </is>
      </c>
      <c r="B9" s="626" t="n">
        <v>6</v>
      </c>
      <c r="C9" s="627" t="n">
        <v>1065</v>
      </c>
      <c r="D9" s="627" t="n">
        <v>68</v>
      </c>
      <c r="E9" s="627" t="n">
        <v>1133</v>
      </c>
      <c r="F9" s="626" t="n"/>
      <c r="G9" s="612" t="n"/>
      <c r="H9" s="612" t="n"/>
      <c r="I9" s="612" t="n"/>
      <c r="J9" s="612" t="n"/>
    </row>
    <row r="10" ht="18" customHeight="1" s="229">
      <c r="A10" s="633" t="inlineStr">
        <is>
          <t>Total</t>
        </is>
      </c>
      <c r="B10" s="629" t="n">
        <v>375</v>
      </c>
      <c r="C10" s="630" t="n">
        <v>25429</v>
      </c>
      <c r="D10" s="630" t="n">
        <v>79648</v>
      </c>
      <c r="E10" s="630" t="n">
        <v>105077</v>
      </c>
      <c r="F10" s="629" t="n"/>
      <c r="G10" s="631" t="n"/>
      <c r="H10" s="631" t="n"/>
      <c r="I10" s="631" t="n"/>
      <c r="J10" s="631" t="n"/>
    </row>
    <row r="11" ht="6" customHeight="1" s="229"/>
    <row r="12" ht="40" customHeight="1" s="229">
      <c r="A12" s="550" t="inlineStr">
        <is>
          <t>Product</t>
        </is>
      </c>
      <c r="B12" s="553" t="inlineStr">
        <is>
          <t>Category</t>
        </is>
      </c>
      <c r="C12" s="550" t="inlineStr">
        <is>
          <t>Liq. Priority</t>
        </is>
      </c>
      <c r="D12" s="566" t="inlineStr">
        <is>
          <t>Yuntu
Units</t>
        </is>
      </c>
      <c r="E12" s="566" t="inlineStr">
        <is>
          <t>菜鸟仓
Units</t>
        </is>
      </c>
      <c r="F12" s="566" t="inlineStr">
        <is>
          <t>Total China
Units</t>
        </is>
      </c>
      <c r="G12" s="566" t="inlineStr">
        <is>
          <t>Est COGS
/Unit</t>
        </is>
      </c>
      <c r="H12" s="566" t="inlineStr">
        <is>
          <t>Est. Inv
Value</t>
        </is>
      </c>
      <c r="I12" s="550" t="inlineStr">
        <is>
          <t>Disposal
Route</t>
        </is>
      </c>
      <c r="J12" s="566" t="inlineStr">
        <is>
          <t>Est. Inv
Value (Full)</t>
        </is>
      </c>
    </row>
    <row r="13" ht="18" customHeight="1" s="229">
      <c r="A13" s="421" t="inlineStr">
        <is>
          <t>MEN  —  25 products  |  29,427 total CN units  (Yuntu: 1,933  |  菜鸟仓: 27,494)</t>
        </is>
      </c>
      <c r="B13" s="422" t="n"/>
      <c r="C13" s="422" t="n"/>
      <c r="D13" s="422" t="n"/>
      <c r="E13" s="422" t="n"/>
      <c r="F13" s="422" t="n"/>
      <c r="G13" s="422" t="n"/>
      <c r="H13" s="422" t="n"/>
      <c r="I13" s="422" t="n"/>
      <c r="J13" s="422" t="n"/>
    </row>
    <row r="14" ht="18" customHeight="1" s="229">
      <c r="A14" s="423" t="inlineStr">
        <is>
          <t>Men‚Äôs Cotton Boxer Brief</t>
        </is>
      </c>
      <c r="B14" s="424" t="inlineStr">
        <is>
          <t>Men</t>
        </is>
      </c>
      <c r="C14" s="425" t="inlineStr">
        <is>
          <t>3 — MEDIUM (selldown or markdown)</t>
        </is>
      </c>
      <c r="D14" s="429" t="n">
        <v>388</v>
      </c>
      <c r="E14" s="429" t="n">
        <v>4765</v>
      </c>
      <c r="F14" s="429" t="n">
        <v>5153</v>
      </c>
      <c r="G14" s="429" t="inlineStr">
        <is>
          <t>-</t>
        </is>
      </c>
      <c r="H14" s="429" t="inlineStr">
        <is>
          <t>$1,749</t>
        </is>
      </c>
      <c r="I14" s="505" t="inlineStr">
        <is>
          <t>$6,384</t>
        </is>
      </c>
      <c r="J14" s="429" t="inlineStr">
        <is>
          <t>Transfer Only</t>
        </is>
      </c>
    </row>
    <row r="15" ht="18" customHeight="1" s="229">
      <c r="A15" s="431" t="inlineStr">
        <is>
          <t>Men's Modal Brief 2.0</t>
        </is>
      </c>
      <c r="B15" s="432" t="inlineStr">
        <is>
          <t>Men</t>
        </is>
      </c>
      <c r="C15" s="433" t="inlineStr">
        <is>
          <t>3 — MEDIUM (selldown or markdown)</t>
        </is>
      </c>
      <c r="D15" s="437" t="n">
        <v>293</v>
      </c>
      <c r="E15" s="437" t="n">
        <v>4000</v>
      </c>
      <c r="F15" s="437" t="n">
        <v>4293</v>
      </c>
      <c r="G15" s="437" t="inlineStr">
        <is>
          <t>-</t>
        </is>
      </c>
      <c r="H15" s="437" t="inlineStr">
        <is>
          <t>$2,554</t>
        </is>
      </c>
      <c r="I15" s="506" t="inlineStr">
        <is>
          <t>$5,016</t>
        </is>
      </c>
      <c r="J15" s="437" t="inlineStr">
        <is>
          <t>Transfer Only</t>
        </is>
      </c>
    </row>
    <row r="16" ht="18" customHeight="1" s="229">
      <c r="A16" s="423" t="inlineStr">
        <is>
          <t>Men's Undershirt Tank</t>
        </is>
      </c>
      <c r="B16" s="424" t="inlineStr">
        <is>
          <t>Men</t>
        </is>
      </c>
      <c r="C16" s="425" t="inlineStr">
        <is>
          <t>3 — MEDIUM (selldown or markdown)</t>
        </is>
      </c>
      <c r="D16" s="429" t="n">
        <v>57</v>
      </c>
      <c r="E16" s="429" t="n">
        <v>2364</v>
      </c>
      <c r="F16" s="429" t="n">
        <v>2421</v>
      </c>
      <c r="G16" s="429" t="inlineStr">
        <is>
          <t>-</t>
        </is>
      </c>
      <c r="H16" s="429" t="inlineStr">
        <is>
          <t>$1,099</t>
        </is>
      </c>
      <c r="I16" s="505" t="inlineStr">
        <is>
          <t>$848</t>
        </is>
      </c>
      <c r="J16" s="429" t="inlineStr">
        <is>
          <t>Transfer Only</t>
        </is>
      </c>
    </row>
    <row r="17" ht="18" customHeight="1" s="229">
      <c r="A17" s="431" t="inlineStr">
        <is>
          <t>Men's Crew Neck Short-Sleeve Undershirt</t>
        </is>
      </c>
      <c r="B17" s="432" t="inlineStr">
        <is>
          <t>Men</t>
        </is>
      </c>
      <c r="C17" s="433" t="inlineStr">
        <is>
          <t>2 — HIGH (excess inventory vs demand)</t>
        </is>
      </c>
      <c r="D17" s="437" t="n">
        <v>79</v>
      </c>
      <c r="E17" s="437" t="n">
        <v>2336</v>
      </c>
      <c r="F17" s="437" t="n">
        <v>2415</v>
      </c>
      <c r="G17" s="437" t="inlineStr">
        <is>
          <t>-</t>
        </is>
      </c>
      <c r="H17" s="437" t="inlineStr">
        <is>
          <t>$693</t>
        </is>
      </c>
      <c r="I17" s="506" t="inlineStr">
        <is>
          <t>$1,224</t>
        </is>
      </c>
      <c r="J17" s="437" t="inlineStr">
        <is>
          <t>Transfer Only</t>
        </is>
      </c>
    </row>
    <row r="18" ht="18" customHeight="1" s="229">
      <c r="A18" s="423" t="inlineStr">
        <is>
          <t>Men's Cotton Modal Brief</t>
        </is>
      </c>
      <c r="B18" s="424" t="inlineStr">
        <is>
          <t>Men</t>
        </is>
      </c>
      <c r="C18" s="425" t="inlineStr">
        <is>
          <t>3 — MEDIUM (selldown or markdown)</t>
        </is>
      </c>
      <c r="D18" s="429" t="n">
        <v>161</v>
      </c>
      <c r="E18" s="429" t="n">
        <v>2001</v>
      </c>
      <c r="F18" s="429" t="n">
        <v>2162</v>
      </c>
      <c r="G18" s="429" t="inlineStr">
        <is>
          <t>-</t>
        </is>
      </c>
      <c r="H18" s="429" t="inlineStr">
        <is>
          <t>$2,766</t>
        </is>
      </c>
      <c r="I18" s="505" t="inlineStr">
        <is>
          <t>$2,856</t>
        </is>
      </c>
      <c r="J18" s="429" t="inlineStr">
        <is>
          <t>Transfer Only</t>
        </is>
      </c>
    </row>
    <row r="19" ht="18" customHeight="1" s="229">
      <c r="A19" s="431" t="inlineStr">
        <is>
          <t>Men's V-neck Short-Sleeve Undershirt</t>
        </is>
      </c>
      <c r="B19" s="432" t="inlineStr">
        <is>
          <t>Men</t>
        </is>
      </c>
      <c r="C19" s="433" t="inlineStr">
        <is>
          <t>3 — MEDIUM (selldown or markdown)</t>
        </is>
      </c>
      <c r="D19" s="437" t="n">
        <v>70</v>
      </c>
      <c r="E19" s="437" t="n">
        <v>2034</v>
      </c>
      <c r="F19" s="437" t="n">
        <v>2104</v>
      </c>
      <c r="G19" s="437" t="inlineStr">
        <is>
          <t>-</t>
        </is>
      </c>
      <c r="H19" s="437" t="inlineStr">
        <is>
          <t>$549</t>
        </is>
      </c>
      <c r="I19" s="506" t="inlineStr">
        <is>
          <t>$688</t>
        </is>
      </c>
      <c r="J19" s="437" t="inlineStr">
        <is>
          <t>Transfer Only</t>
        </is>
      </c>
    </row>
    <row r="20" ht="18" customHeight="1" s="229">
      <c r="A20" s="423" t="inlineStr">
        <is>
          <t>Men's Lounge Shorts</t>
        </is>
      </c>
      <c r="B20" s="424" t="inlineStr">
        <is>
          <t>Men</t>
        </is>
      </c>
      <c r="C20" s="425" t="inlineStr">
        <is>
          <t>3 — MEDIUM (selldown or markdown)</t>
        </is>
      </c>
      <c r="D20" s="429" t="n">
        <v>59</v>
      </c>
      <c r="E20" s="429" t="n">
        <v>1973</v>
      </c>
      <c r="F20" s="429" t="n">
        <v>2032</v>
      </c>
      <c r="G20" s="429" t="inlineStr">
        <is>
          <t>-</t>
        </is>
      </c>
      <c r="H20" s="429" t="inlineStr">
        <is>
          <t>$779</t>
        </is>
      </c>
      <c r="I20" s="505" t="inlineStr">
        <is>
          <t>$560</t>
        </is>
      </c>
      <c r="J20" s="429" t="inlineStr">
        <is>
          <t>Transfer Only</t>
        </is>
      </c>
    </row>
    <row r="21" ht="18" customHeight="1" s="229">
      <c r="A21" s="431" t="inlineStr">
        <is>
          <t>Men's Lounge Pants</t>
        </is>
      </c>
      <c r="B21" s="432" t="inlineStr">
        <is>
          <t>Men</t>
        </is>
      </c>
      <c r="C21" s="433" t="inlineStr">
        <is>
          <t>3 — MEDIUM (selldown or markdown)</t>
        </is>
      </c>
      <c r="D21" s="437" t="n">
        <v>93</v>
      </c>
      <c r="E21" s="437" t="n">
        <v>1104</v>
      </c>
      <c r="F21" s="437" t="n">
        <v>1197</v>
      </c>
      <c r="G21" s="437" t="inlineStr">
        <is>
          <t>-</t>
        </is>
      </c>
      <c r="H21" s="437" t="inlineStr">
        <is>
          <t>$3,236</t>
        </is>
      </c>
      <c r="I21" s="506" t="inlineStr">
        <is>
          <t>$1,016</t>
        </is>
      </c>
      <c r="J21" s="437" t="inlineStr">
        <is>
          <t>Transfer Only</t>
        </is>
      </c>
    </row>
    <row r="22" ht="18" customHeight="1" s="229">
      <c r="A22" s="423" t="inlineStr">
        <is>
          <t>Men's Long Modal Brief</t>
        </is>
      </c>
      <c r="B22" s="424" t="inlineStr">
        <is>
          <t>Men</t>
        </is>
      </c>
      <c r="C22" s="425" t="inlineStr">
        <is>
          <t>3 — MEDIUM (selldown or markdown)</t>
        </is>
      </c>
      <c r="D22" s="429" t="n">
        <v>55</v>
      </c>
      <c r="E22" s="429" t="n">
        <v>1052</v>
      </c>
      <c r="F22" s="429" t="n">
        <v>1107</v>
      </c>
      <c r="G22" s="429" t="inlineStr">
        <is>
          <t>-</t>
        </is>
      </c>
      <c r="H22" s="429" t="inlineStr">
        <is>
          <t>$721</t>
        </is>
      </c>
      <c r="I22" s="505" t="inlineStr">
        <is>
          <t>$640</t>
        </is>
      </c>
      <c r="J22" s="429" t="inlineStr">
        <is>
          <t>Transfer Only</t>
        </is>
      </c>
    </row>
    <row r="23" ht="18" customHeight="1" s="229">
      <c r="A23" s="431" t="inlineStr">
        <is>
          <t>Men's Basic Short Sleeved T-Shirt</t>
        </is>
      </c>
      <c r="B23" s="432" t="inlineStr">
        <is>
          <t>Men</t>
        </is>
      </c>
      <c r="C23" s="433" t="inlineStr">
        <is>
          <t>3 — MEDIUM (selldown or markdown)</t>
        </is>
      </c>
      <c r="D23" s="437" t="n">
        <v>70</v>
      </c>
      <c r="E23" s="437" t="n">
        <v>935</v>
      </c>
      <c r="F23" s="437" t="n">
        <v>1005</v>
      </c>
      <c r="G23" s="507" t="n">
        <v>10</v>
      </c>
      <c r="H23" s="437" t="inlineStr">
        <is>
          <t>$1,072</t>
        </is>
      </c>
      <c r="I23" s="506" t="inlineStr">
        <is>
          <t>$600</t>
        </is>
      </c>
      <c r="J23" s="437" t="inlineStr">
        <is>
          <t>Transfer (CN) + Flash Sale (US)</t>
        </is>
      </c>
    </row>
    <row r="24" ht="18" customHeight="1" s="229">
      <c r="A24" s="423" t="inlineStr">
        <is>
          <t>Ribbed Modal Men's Boxer Brief</t>
        </is>
      </c>
      <c r="B24" s="424" t="inlineStr">
        <is>
          <t>Men</t>
        </is>
      </c>
      <c r="C24" s="425" t="inlineStr">
        <is>
          <t>3 — MEDIUM (selldown or markdown)</t>
        </is>
      </c>
      <c r="D24" s="429" t="n">
        <v>114</v>
      </c>
      <c r="E24" s="429" t="n">
        <v>728</v>
      </c>
      <c r="F24" s="429" t="n">
        <v>842</v>
      </c>
      <c r="G24" s="429" t="inlineStr">
        <is>
          <t>-</t>
        </is>
      </c>
      <c r="H24" s="429" t="inlineStr">
        <is>
          <t>$2,055</t>
        </is>
      </c>
      <c r="I24" s="505" t="inlineStr">
        <is>
          <t>$1,832</t>
        </is>
      </c>
      <c r="J24" s="429" t="inlineStr">
        <is>
          <t>Transfer Only</t>
        </is>
      </c>
    </row>
    <row r="25" ht="18" customHeight="1" s="229">
      <c r="A25" s="431" t="inlineStr">
        <is>
          <t>Men's Ankle Socks (3-Pack)</t>
        </is>
      </c>
      <c r="B25" s="432" t="inlineStr">
        <is>
          <t>Men</t>
        </is>
      </c>
      <c r="C25" s="433" t="inlineStr">
        <is>
          <t>3 — MEDIUM (selldown or markdown)</t>
        </is>
      </c>
      <c r="D25" s="437" t="n">
        <v>35</v>
      </c>
      <c r="E25" s="437" t="n">
        <v>776</v>
      </c>
      <c r="F25" s="437" t="n">
        <v>811</v>
      </c>
      <c r="G25" s="437" t="inlineStr">
        <is>
          <t>-</t>
        </is>
      </c>
      <c r="H25" s="437" t="inlineStr">
        <is>
          <t>$302</t>
        </is>
      </c>
      <c r="I25" s="506" t="inlineStr">
        <is>
          <t>$624</t>
        </is>
      </c>
      <c r="J25" s="437" t="inlineStr">
        <is>
          <t>Transfer Only</t>
        </is>
      </c>
    </row>
    <row r="26" ht="18" customHeight="1" s="229">
      <c r="A26" s="423" t="inlineStr">
        <is>
          <t>Men's Basic Long Sleeved T-shirt</t>
        </is>
      </c>
      <c r="B26" s="424" t="inlineStr">
        <is>
          <t>Men</t>
        </is>
      </c>
      <c r="C26" s="425" t="inlineStr">
        <is>
          <t>3 — MEDIUM (selldown or markdown)</t>
        </is>
      </c>
      <c r="D26" s="429" t="n">
        <v>51</v>
      </c>
      <c r="E26" s="429" t="n">
        <v>523</v>
      </c>
      <c r="F26" s="429" t="n">
        <v>574</v>
      </c>
      <c r="G26" s="429" t="inlineStr">
        <is>
          <t>-</t>
        </is>
      </c>
      <c r="H26" s="429" t="inlineStr">
        <is>
          <t>$857</t>
        </is>
      </c>
      <c r="I26" s="505" t="inlineStr">
        <is>
          <t>$432</t>
        </is>
      </c>
      <c r="J26" s="429" t="inlineStr">
        <is>
          <t>Transfer Only</t>
        </is>
      </c>
    </row>
    <row r="27" ht="18" customHeight="1" s="229">
      <c r="A27" s="431" t="inlineStr">
        <is>
          <t>Men's Knitted Sweater</t>
        </is>
      </c>
      <c r="B27" s="432" t="inlineStr">
        <is>
          <t>Men</t>
        </is>
      </c>
      <c r="C27" s="433" t="inlineStr">
        <is>
          <t>4 — LOW (natural sellthrough)</t>
        </is>
      </c>
      <c r="D27" s="437" t="n">
        <v>31</v>
      </c>
      <c r="E27" s="437" t="n">
        <v>463</v>
      </c>
      <c r="F27" s="437" t="n">
        <v>494</v>
      </c>
      <c r="G27" s="437" t="inlineStr">
        <is>
          <t>-</t>
        </is>
      </c>
      <c r="H27" s="437" t="inlineStr">
        <is>
          <t>$648</t>
        </is>
      </c>
      <c r="I27" s="506" t="inlineStr">
        <is>
          <t>$192</t>
        </is>
      </c>
      <c r="J27" s="437" t="inlineStr">
        <is>
          <t>Transfer Only</t>
        </is>
      </c>
    </row>
    <row r="28" ht="18" customHeight="1" s="229">
      <c r="A28" s="423" t="inlineStr">
        <is>
          <t>Men's Classic Cozy Pajama Shirt</t>
        </is>
      </c>
      <c r="B28" s="424" t="inlineStr">
        <is>
          <t>Men</t>
        </is>
      </c>
      <c r="C28" s="425" t="inlineStr">
        <is>
          <t>4 — LOW (natural sellthrough)</t>
        </is>
      </c>
      <c r="D28" s="429" t="n">
        <v>66</v>
      </c>
      <c r="E28" s="429" t="n">
        <v>361</v>
      </c>
      <c r="F28" s="429" t="n">
        <v>427</v>
      </c>
      <c r="G28" s="429" t="inlineStr">
        <is>
          <t>-</t>
        </is>
      </c>
      <c r="H28" s="429" t="inlineStr">
        <is>
          <t>$519</t>
        </is>
      </c>
      <c r="I28" s="505" t="inlineStr">
        <is>
          <t>$328</t>
        </is>
      </c>
      <c r="J28" s="429" t="inlineStr">
        <is>
          <t>Transfer Only</t>
        </is>
      </c>
    </row>
    <row r="29" ht="18" customHeight="1" s="229">
      <c r="A29" s="431" t="inlineStr">
        <is>
          <t>Men's Classic Cozy Pajama Pants</t>
        </is>
      </c>
      <c r="B29" s="432" t="inlineStr">
        <is>
          <t>Men</t>
        </is>
      </c>
      <c r="C29" s="433" t="inlineStr">
        <is>
          <t>4 — LOW (natural sellthrough)</t>
        </is>
      </c>
      <c r="D29" s="437" t="n">
        <v>58</v>
      </c>
      <c r="E29" s="437" t="n">
        <v>284</v>
      </c>
      <c r="F29" s="437" t="n">
        <v>342</v>
      </c>
      <c r="G29" s="437" t="inlineStr">
        <is>
          <t>-</t>
        </is>
      </c>
      <c r="H29" s="437" t="inlineStr">
        <is>
          <t>$446</t>
        </is>
      </c>
      <c r="I29" s="506" t="inlineStr">
        <is>
          <t>$352</t>
        </is>
      </c>
      <c r="J29" s="437" t="inlineStr">
        <is>
          <t>Transfer Only</t>
        </is>
      </c>
    </row>
    <row r="30" ht="18" customHeight="1" s="229">
      <c r="A30" s="423" t="inlineStr">
        <is>
          <t>Men‚Äôs Year of the Rabbit Holiday Gift Set</t>
        </is>
      </c>
      <c r="B30" s="424" t="inlineStr">
        <is>
          <t>Men</t>
        </is>
      </c>
      <c r="C30" s="425" t="inlineStr">
        <is>
          <t>2 — HIGH (excess inventory vs demand)</t>
        </is>
      </c>
      <c r="D30" s="429" t="n">
        <v>40</v>
      </c>
      <c r="E30" s="429" t="n">
        <v>272</v>
      </c>
      <c r="F30" s="429" t="n">
        <v>312</v>
      </c>
      <c r="G30" s="429" t="inlineStr">
        <is>
          <t>-</t>
        </is>
      </c>
      <c r="H30" s="429" t="inlineStr">
        <is>
          <t>$598</t>
        </is>
      </c>
      <c r="I30" s="505" t="inlineStr">
        <is>
          <t>$960</t>
        </is>
      </c>
      <c r="J30" s="429" t="inlineStr">
        <is>
          <t>Transfer Only</t>
        </is>
      </c>
    </row>
    <row r="31" ht="18" customHeight="1" s="229">
      <c r="A31" s="431" t="inlineStr">
        <is>
          <t>Men‚Äôs Crew Socks (3-Pack)</t>
        </is>
      </c>
      <c r="B31" s="432" t="inlineStr">
        <is>
          <t>Men</t>
        </is>
      </c>
      <c r="C31" s="433" t="inlineStr">
        <is>
          <t>3 — MEDIUM (selldown or markdown)</t>
        </is>
      </c>
      <c r="D31" s="437" t="n">
        <v>24</v>
      </c>
      <c r="E31" s="437" t="n">
        <v>282</v>
      </c>
      <c r="F31" s="437" t="n">
        <v>306</v>
      </c>
      <c r="G31" s="437" t="inlineStr">
        <is>
          <t>-</t>
        </is>
      </c>
      <c r="H31" s="437" t="inlineStr">
        <is>
          <t>$800</t>
        </is>
      </c>
      <c r="I31" s="506" t="inlineStr">
        <is>
          <t>$600</t>
        </is>
      </c>
      <c r="J31" s="437" t="inlineStr">
        <is>
          <t>Transfer Only</t>
        </is>
      </c>
    </row>
    <row r="32" ht="18" customHeight="1" s="229">
      <c r="A32" s="423" t="inlineStr">
        <is>
          <t>Men's Polo Shirt</t>
        </is>
      </c>
      <c r="B32" s="424" t="inlineStr">
        <is>
          <t>Men</t>
        </is>
      </c>
      <c r="C32" s="425" t="inlineStr">
        <is>
          <t>4 — LOW (natural sellthrough)</t>
        </is>
      </c>
      <c r="D32" s="429" t="n">
        <v>51</v>
      </c>
      <c r="E32" s="429" t="n">
        <v>246</v>
      </c>
      <c r="F32" s="429" t="n">
        <v>297</v>
      </c>
      <c r="G32" s="429" t="inlineStr">
        <is>
          <t>-</t>
        </is>
      </c>
      <c r="H32" s="429" t="inlineStr">
        <is>
          <t>$279</t>
        </is>
      </c>
      <c r="I32" s="505" t="inlineStr">
        <is>
          <t>$208</t>
        </is>
      </c>
      <c r="J32" s="429" t="inlineStr">
        <is>
          <t>Transfer Only</t>
        </is>
      </c>
    </row>
    <row r="33" ht="18" customHeight="1" s="229">
      <c r="A33" s="431" t="inlineStr">
        <is>
          <t>Men's Thermal Set</t>
        </is>
      </c>
      <c r="B33" s="432" t="inlineStr">
        <is>
          <t>Men</t>
        </is>
      </c>
      <c r="C33" s="433" t="inlineStr">
        <is>
          <t>4 — LOW (natural sellthrough)</t>
        </is>
      </c>
      <c r="D33" s="437" t="n">
        <v>27</v>
      </c>
      <c r="E33" s="437" t="n">
        <v>257</v>
      </c>
      <c r="F33" s="437" t="n">
        <v>284</v>
      </c>
      <c r="G33" s="437" t="inlineStr">
        <is>
          <t>-</t>
        </is>
      </c>
      <c r="H33" s="437" t="inlineStr">
        <is>
          <t>$768</t>
        </is>
      </c>
      <c r="I33" s="506" t="inlineStr">
        <is>
          <t>$224</t>
        </is>
      </c>
      <c r="J33" s="437" t="inlineStr">
        <is>
          <t>Transfer Only</t>
        </is>
      </c>
    </row>
    <row r="34" ht="18" customHeight="1" s="229">
      <c r="A34" s="423" t="inlineStr">
        <is>
          <t>Men's Modal Brief (3-Pack)</t>
        </is>
      </c>
      <c r="B34" s="424" t="inlineStr">
        <is>
          <t>Men</t>
        </is>
      </c>
      <c r="C34" s="425" t="inlineStr">
        <is>
          <t>3 — MEDIUM (selldown or markdown)</t>
        </is>
      </c>
      <c r="D34" s="429" t="n">
        <v>55</v>
      </c>
      <c r="E34" s="429" t="n">
        <v>222</v>
      </c>
      <c r="F34" s="429" t="n">
        <v>277</v>
      </c>
      <c r="G34" s="429" t="inlineStr">
        <is>
          <t>-</t>
        </is>
      </c>
      <c r="H34" s="429" t="inlineStr">
        <is>
          <t>$2,509</t>
        </is>
      </c>
      <c r="I34" s="505" t="inlineStr">
        <is>
          <t>$1,328</t>
        </is>
      </c>
      <c r="J34" s="429" t="inlineStr">
        <is>
          <t>Transfer Only</t>
        </is>
      </c>
    </row>
    <row r="35" ht="18" customHeight="1" s="229">
      <c r="A35" s="431" t="inlineStr">
        <is>
          <t>Men's 80s Modal Briefs (3-Pack)</t>
        </is>
      </c>
      <c r="B35" s="432" t="inlineStr">
        <is>
          <t>Men</t>
        </is>
      </c>
      <c r="C35" s="433" t="inlineStr">
        <is>
          <t>3 — MEDIUM (selldown or markdown)</t>
        </is>
      </c>
      <c r="D35" s="437" t="n">
        <v>19</v>
      </c>
      <c r="E35" s="437" t="n">
        <v>222</v>
      </c>
      <c r="F35" s="437" t="n">
        <v>241</v>
      </c>
      <c r="G35" s="437" t="inlineStr">
        <is>
          <t>-</t>
        </is>
      </c>
      <c r="H35" s="437" t="inlineStr">
        <is>
          <t>$1,342</t>
        </is>
      </c>
      <c r="I35" s="506" t="inlineStr">
        <is>
          <t>$448</t>
        </is>
      </c>
      <c r="J35" s="437" t="inlineStr">
        <is>
          <t>Transfer Only</t>
        </is>
      </c>
    </row>
    <row r="36" ht="18" customHeight="1" s="229">
      <c r="A36" s="423" t="inlineStr">
        <is>
          <t>Men's Performance Briefs (3-Pack)</t>
        </is>
      </c>
      <c r="B36" s="424" t="inlineStr">
        <is>
          <t>Men</t>
        </is>
      </c>
      <c r="C36" s="425" t="inlineStr">
        <is>
          <t>4 — LOW (natural sellthrough)</t>
        </is>
      </c>
      <c r="D36" s="429" t="n">
        <v>20</v>
      </c>
      <c r="E36" s="429" t="n">
        <v>168</v>
      </c>
      <c r="F36" s="429" t="n">
        <v>188</v>
      </c>
      <c r="G36" s="429" t="inlineStr">
        <is>
          <t>-</t>
        </is>
      </c>
      <c r="H36" s="429" t="inlineStr">
        <is>
          <t>$723</t>
        </is>
      </c>
      <c r="I36" s="505" t="inlineStr">
        <is>
          <t>$344</t>
        </is>
      </c>
      <c r="J36" s="429" t="inlineStr">
        <is>
          <t>Transfer Only</t>
        </is>
      </c>
    </row>
    <row r="37" ht="18" customHeight="1" s="229">
      <c r="A37" s="431" t="inlineStr">
        <is>
          <t>Men's Briefs Gift Set</t>
        </is>
      </c>
      <c r="B37" s="432" t="inlineStr">
        <is>
          <t>Men</t>
        </is>
      </c>
      <c r="C37" s="433" t="inlineStr">
        <is>
          <t>4 — LOW (natural sellthrough)</t>
        </is>
      </c>
      <c r="D37" s="437" t="n">
        <v>8</v>
      </c>
      <c r="E37" s="437" t="n">
        <v>79</v>
      </c>
      <c r="F37" s="437" t="n">
        <v>87</v>
      </c>
      <c r="G37" s="437" t="inlineStr">
        <is>
          <t>-</t>
        </is>
      </c>
      <c r="H37" s="437" t="inlineStr">
        <is>
          <t>$3,818</t>
        </is>
      </c>
      <c r="I37" s="506" t="inlineStr">
        <is>
          <t>$216</t>
        </is>
      </c>
      <c r="J37" s="437" t="inlineStr">
        <is>
          <t>Transfer Only</t>
        </is>
      </c>
    </row>
    <row r="38" ht="18" customHeight="1" s="229">
      <c r="A38" s="423" t="inlineStr">
        <is>
          <t>Men's Cotton Briefs (3-Pack)</t>
        </is>
      </c>
      <c r="B38" s="424" t="inlineStr">
        <is>
          <t>Men</t>
        </is>
      </c>
      <c r="C38" s="425" t="inlineStr">
        <is>
          <t>4 — LOW (natural sellthrough)</t>
        </is>
      </c>
      <c r="D38" s="429" t="n">
        <v>9</v>
      </c>
      <c r="E38" s="429" t="n">
        <v>47</v>
      </c>
      <c r="F38" s="429" t="n">
        <v>56</v>
      </c>
      <c r="G38" s="429" t="inlineStr">
        <is>
          <t>-</t>
        </is>
      </c>
      <c r="H38" s="429" t="inlineStr">
        <is>
          <t>$1,798</t>
        </is>
      </c>
      <c r="I38" s="505" t="inlineStr">
        <is>
          <t>$168</t>
        </is>
      </c>
      <c r="J38" s="429" t="inlineStr">
        <is>
          <t>Transfer Only</t>
        </is>
      </c>
    </row>
    <row r="39" ht="18" customHeight="1" s="229">
      <c r="A39" s="401" t="inlineStr">
        <is>
          <t>LOUNGEWEAR  —  112 products  |  26,718 total CN units  (Yuntu: 4,794  |  菜鸟仓: 21,924)</t>
        </is>
      </c>
      <c r="B39" s="402" t="n"/>
      <c r="C39" s="402" t="n"/>
      <c r="D39" s="402" t="n"/>
      <c r="E39" s="402" t="n"/>
      <c r="F39" s="402" t="n"/>
      <c r="G39" s="402" t="n"/>
      <c r="H39" s="402" t="n"/>
      <c r="I39" s="402" t="n"/>
      <c r="J39" s="402" t="n"/>
    </row>
    <row r="40" ht="18" customHeight="1" s="229">
      <c r="A40" s="403" t="inlineStr">
        <is>
          <t>Silk Cotton Straight Leg Pants</t>
        </is>
      </c>
      <c r="B40" s="404" t="inlineStr">
        <is>
          <t>Loungewear</t>
        </is>
      </c>
      <c r="C40" s="405" t="inlineStr">
        <is>
          <t>3 — MEDIUM (selldown or markdown)</t>
        </is>
      </c>
      <c r="D40" s="409" t="n">
        <v>27</v>
      </c>
      <c r="E40" s="409" t="n">
        <v>1760</v>
      </c>
      <c r="F40" s="409" t="n">
        <v>1787</v>
      </c>
      <c r="G40" s="409" t="inlineStr">
        <is>
          <t>-</t>
        </is>
      </c>
      <c r="H40" s="409" t="inlineStr">
        <is>
          <t>$571</t>
        </is>
      </c>
      <c r="I40" s="508" t="inlineStr">
        <is>
          <t>$900</t>
        </is>
      </c>
      <c r="J40" s="409" t="inlineStr">
        <is>
          <t>Transfer Only</t>
        </is>
      </c>
    </row>
    <row r="41" ht="18" customHeight="1" s="229">
      <c r="A41" s="411" t="inlineStr">
        <is>
          <t>Silk Modal Tee</t>
        </is>
      </c>
      <c r="B41" s="412" t="inlineStr">
        <is>
          <t>Loungewear</t>
        </is>
      </c>
      <c r="C41" s="413" t="inlineStr">
        <is>
          <t>4 — LOW (natural sellthrough)</t>
        </is>
      </c>
      <c r="D41" s="417" t="n">
        <v>1</v>
      </c>
      <c r="E41" s="417" t="n">
        <v>1759</v>
      </c>
      <c r="F41" s="417" t="n">
        <v>1760</v>
      </c>
      <c r="G41" s="417" t="inlineStr">
        <is>
          <t>-</t>
        </is>
      </c>
      <c r="H41" s="417" t="inlineStr">
        <is>
          <t>$402</t>
        </is>
      </c>
      <c r="I41" s="509" t="inlineStr">
        <is>
          <t>$45</t>
        </is>
      </c>
      <c r="J41" s="417" t="inlineStr">
        <is>
          <t>Transfer Only</t>
        </is>
      </c>
    </row>
    <row r="42" ht="18" customHeight="1" s="229">
      <c r="A42" s="403" t="inlineStr">
        <is>
          <t>Ribbed Drawstring Waist Dress</t>
        </is>
      </c>
      <c r="B42" s="404" t="inlineStr">
        <is>
          <t>Loungewear</t>
        </is>
      </c>
      <c r="C42" s="405" t="inlineStr">
        <is>
          <t>4 — LOW (natural sellthrough)</t>
        </is>
      </c>
      <c r="D42" s="409" t="n">
        <v>32</v>
      </c>
      <c r="E42" s="409" t="n">
        <v>1157</v>
      </c>
      <c r="F42" s="409" t="n">
        <v>1189</v>
      </c>
      <c r="G42" s="409" t="inlineStr">
        <is>
          <t>-</t>
        </is>
      </c>
      <c r="H42" s="409" t="inlineStr">
        <is>
          <t>$897</t>
        </is>
      </c>
      <c r="I42" s="508" t="inlineStr">
        <is>
          <t>$720</t>
        </is>
      </c>
      <c r="J42" s="409" t="inlineStr">
        <is>
          <t>Transfer Only</t>
        </is>
      </c>
    </row>
    <row r="43" ht="18" customHeight="1" s="229">
      <c r="A43" s="411" t="inlineStr">
        <is>
          <t>Classic Cozy Pajama Pants 3.0</t>
        </is>
      </c>
      <c r="B43" s="412" t="inlineStr">
        <is>
          <t>Loungewear</t>
        </is>
      </c>
      <c r="C43" s="413" t="inlineStr">
        <is>
          <t>3 — MEDIUM (selldown or markdown)</t>
        </is>
      </c>
      <c r="D43" s="417" t="n">
        <v>43</v>
      </c>
      <c r="E43" s="417" t="n">
        <v>1009</v>
      </c>
      <c r="F43" s="417" t="n">
        <v>1052</v>
      </c>
      <c r="G43" s="417" t="inlineStr">
        <is>
          <t>-</t>
        </is>
      </c>
      <c r="H43" s="417" t="inlineStr">
        <is>
          <t>$3,693</t>
        </is>
      </c>
      <c r="I43" s="509" t="inlineStr">
        <is>
          <t>$1,590</t>
        </is>
      </c>
      <c r="J43" s="417" t="inlineStr">
        <is>
          <t>Transfer Only</t>
        </is>
      </c>
    </row>
    <row r="44" ht="18" customHeight="1" s="229">
      <c r="A44" s="403" t="inlineStr">
        <is>
          <t>Classic Cozy Pajama Tee</t>
        </is>
      </c>
      <c r="B44" s="404" t="inlineStr">
        <is>
          <t>Loungewear</t>
        </is>
      </c>
      <c r="C44" s="405" t="inlineStr">
        <is>
          <t>3 — MEDIUM (selldown or markdown)</t>
        </is>
      </c>
      <c r="D44" s="409" t="n">
        <v>50</v>
      </c>
      <c r="E44" s="409" t="n">
        <v>698</v>
      </c>
      <c r="F44" s="409" t="n">
        <v>748</v>
      </c>
      <c r="G44" s="409" t="inlineStr">
        <is>
          <t>-</t>
        </is>
      </c>
      <c r="H44" s="409" t="inlineStr">
        <is>
          <t>$1,519</t>
        </is>
      </c>
      <c r="I44" s="508" t="inlineStr">
        <is>
          <t>$1,440</t>
        </is>
      </c>
      <c r="J44" s="409" t="inlineStr">
        <is>
          <t>Transfer Only</t>
        </is>
      </c>
    </row>
    <row r="45" ht="18" customHeight="1" s="229">
      <c r="A45" s="411" t="inlineStr">
        <is>
          <t>Classic Cozy Belted Pajama Shirt</t>
        </is>
      </c>
      <c r="B45" s="412" t="inlineStr">
        <is>
          <t>Loungewear</t>
        </is>
      </c>
      <c r="C45" s="413" t="inlineStr">
        <is>
          <t>3 — MEDIUM (selldown or markdown)</t>
        </is>
      </c>
      <c r="D45" s="417" t="n">
        <v>128</v>
      </c>
      <c r="E45" s="417" t="n">
        <v>466</v>
      </c>
      <c r="F45" s="417" t="n">
        <v>594</v>
      </c>
      <c r="G45" s="417" t="inlineStr">
        <is>
          <t>-</t>
        </is>
      </c>
      <c r="H45" s="417" t="inlineStr">
        <is>
          <t>$1,513</t>
        </is>
      </c>
      <c r="I45" s="509" t="inlineStr">
        <is>
          <t>$2,115</t>
        </is>
      </c>
      <c r="J45" s="417" t="inlineStr">
        <is>
          <t>Transfer Only</t>
        </is>
      </c>
    </row>
    <row r="46" ht="18" customHeight="1" s="229">
      <c r="A46" s="403" t="inlineStr">
        <is>
          <t>UltraFlex Cotton Basic Tee</t>
        </is>
      </c>
      <c r="B46" s="404" t="inlineStr">
        <is>
          <t>Loungewear</t>
        </is>
      </c>
      <c r="C46" s="405" t="inlineStr">
        <is>
          <t>3 — MEDIUM (selldown or markdown)</t>
        </is>
      </c>
      <c r="D46" s="409" t="n">
        <v>487</v>
      </c>
      <c r="E46" s="409" t="n">
        <v>0</v>
      </c>
      <c r="F46" s="409" t="n">
        <v>487</v>
      </c>
      <c r="G46" s="409" t="inlineStr">
        <is>
          <t>-</t>
        </is>
      </c>
      <c r="H46" s="409" t="inlineStr">
        <is>
          <t>$1,494</t>
        </is>
      </c>
      <c r="I46" s="508" t="inlineStr">
        <is>
          <t>$17,430</t>
        </is>
      </c>
      <c r="J46" s="409" t="inlineStr">
        <is>
          <t>Transfer Only</t>
        </is>
      </c>
    </row>
    <row r="47" ht="18" customHeight="1" s="229">
      <c r="A47" s="411" t="inlineStr">
        <is>
          <t>Silk Modal Short Sleeve T-Shirt</t>
        </is>
      </c>
      <c r="B47" s="412" t="inlineStr">
        <is>
          <t>Loungewear</t>
        </is>
      </c>
      <c r="C47" s="413" t="inlineStr">
        <is>
          <t>3 — MEDIUM (selldown or markdown)</t>
        </is>
      </c>
      <c r="D47" s="417" t="n">
        <v>31</v>
      </c>
      <c r="E47" s="417" t="n">
        <v>446</v>
      </c>
      <c r="F47" s="417" t="n">
        <v>477</v>
      </c>
      <c r="G47" s="417" t="inlineStr">
        <is>
          <t>-</t>
        </is>
      </c>
      <c r="H47" s="417" t="inlineStr">
        <is>
          <t>$2,290</t>
        </is>
      </c>
      <c r="I47" s="509" t="inlineStr">
        <is>
          <t>$1,290</t>
        </is>
      </c>
      <c r="J47" s="417" t="inlineStr">
        <is>
          <t>Transfer Only</t>
        </is>
      </c>
    </row>
    <row r="48" ht="18" customHeight="1" s="229">
      <c r="A48" s="403" t="inlineStr">
        <is>
          <t>Ribbed Drawstring Waist Top</t>
        </is>
      </c>
      <c r="B48" s="404" t="inlineStr">
        <is>
          <t>Loungewear</t>
        </is>
      </c>
      <c r="C48" s="405" t="inlineStr">
        <is>
          <t>3 — MEDIUM (selldown or markdown)</t>
        </is>
      </c>
      <c r="D48" s="409" t="n">
        <v>39</v>
      </c>
      <c r="E48" s="409" t="n">
        <v>434</v>
      </c>
      <c r="F48" s="409" t="n">
        <v>473</v>
      </c>
      <c r="G48" s="409" t="inlineStr">
        <is>
          <t>-</t>
        </is>
      </c>
      <c r="H48" s="409" t="inlineStr">
        <is>
          <t>$1,543</t>
        </is>
      </c>
      <c r="I48" s="508" t="inlineStr">
        <is>
          <t>$1,005</t>
        </is>
      </c>
      <c r="J48" s="409" t="inlineStr">
        <is>
          <t>Transfer Only</t>
        </is>
      </c>
    </row>
    <row r="49" ht="18" customHeight="1" s="229">
      <c r="A49" s="411" t="inlineStr">
        <is>
          <t>Ribbed Wide Leg Pants</t>
        </is>
      </c>
      <c r="B49" s="412" t="inlineStr">
        <is>
          <t>Loungewear</t>
        </is>
      </c>
      <c r="C49" s="413" t="inlineStr">
        <is>
          <t>3 — MEDIUM (selldown or markdown)</t>
        </is>
      </c>
      <c r="D49" s="417" t="n">
        <v>39</v>
      </c>
      <c r="E49" s="417" t="n">
        <v>429</v>
      </c>
      <c r="F49" s="417" t="n">
        <v>468</v>
      </c>
      <c r="G49" s="417" t="inlineStr">
        <is>
          <t>-</t>
        </is>
      </c>
      <c r="H49" s="417" t="inlineStr">
        <is>
          <t>$1,400</t>
        </is>
      </c>
      <c r="I49" s="509" t="inlineStr">
        <is>
          <t>$1,035</t>
        </is>
      </c>
      <c r="J49" s="417" t="inlineStr">
        <is>
          <t>Transfer Only</t>
        </is>
      </c>
    </row>
    <row r="50" ht="18" customHeight="1" s="229">
      <c r="A50" s="403" t="inlineStr">
        <is>
          <t>Lyocell Straight Leg Pants</t>
        </is>
      </c>
      <c r="B50" s="404" t="inlineStr">
        <is>
          <t>Loungewear</t>
        </is>
      </c>
      <c r="C50" s="405" t="inlineStr">
        <is>
          <t>3 — MEDIUM (selldown or markdown)</t>
        </is>
      </c>
      <c r="D50" s="409" t="n">
        <v>45</v>
      </c>
      <c r="E50" s="409" t="n">
        <v>380</v>
      </c>
      <c r="F50" s="409" t="n">
        <v>425</v>
      </c>
      <c r="G50" s="510" t="n">
        <v>4</v>
      </c>
      <c r="H50" s="409" t="inlineStr">
        <is>
          <t>$538</t>
        </is>
      </c>
      <c r="I50" s="508" t="inlineStr">
        <is>
          <t>$945</t>
        </is>
      </c>
      <c r="J50" s="409" t="inlineStr">
        <is>
          <t>Transfer (CN) + Flash Sale (US)</t>
        </is>
      </c>
    </row>
    <row r="51" ht="18" customHeight="1" s="229">
      <c r="A51" s="411" t="inlineStr">
        <is>
          <t>Easy Knit V-Neck Tee</t>
        </is>
      </c>
      <c r="B51" s="412" t="inlineStr">
        <is>
          <t>Loungewear</t>
        </is>
      </c>
      <c r="C51" s="413" t="inlineStr">
        <is>
          <t>4 — LOW (natural sellthrough)</t>
        </is>
      </c>
      <c r="D51" s="417" t="n">
        <v>63</v>
      </c>
      <c r="E51" s="417" t="n">
        <v>359</v>
      </c>
      <c r="F51" s="417" t="n">
        <v>422</v>
      </c>
      <c r="G51" s="417" t="inlineStr">
        <is>
          <t>-</t>
        </is>
      </c>
      <c r="H51" s="417" t="inlineStr">
        <is>
          <t>$104</t>
        </is>
      </c>
      <c r="I51" s="509" t="inlineStr">
        <is>
          <t>$705</t>
        </is>
      </c>
      <c r="J51" s="417" t="inlineStr">
        <is>
          <t>Transfer Only</t>
        </is>
      </c>
    </row>
    <row r="52" ht="18" customHeight="1" s="229">
      <c r="A52" s="403" t="inlineStr">
        <is>
          <t>Cotton Cozy Lounge Pants</t>
        </is>
      </c>
      <c r="B52" s="404" t="inlineStr">
        <is>
          <t>Loungewear</t>
        </is>
      </c>
      <c r="C52" s="405" t="inlineStr">
        <is>
          <t>3 — MEDIUM (selldown or markdown)</t>
        </is>
      </c>
      <c r="D52" s="409" t="n">
        <v>23</v>
      </c>
      <c r="E52" s="409" t="n">
        <v>392</v>
      </c>
      <c r="F52" s="409" t="n">
        <v>415</v>
      </c>
      <c r="G52" s="510" t="n">
        <v>10</v>
      </c>
      <c r="H52" s="409" t="inlineStr">
        <is>
          <t>$3,317</t>
        </is>
      </c>
      <c r="I52" s="508" t="inlineStr">
        <is>
          <t>$1,290</t>
        </is>
      </c>
      <c r="J52" s="409" t="inlineStr">
        <is>
          <t>Transfer (CN) + Flash Sale (US)</t>
        </is>
      </c>
    </row>
    <row r="53" ht="18" customHeight="1" s="229">
      <c r="A53" s="411" t="inlineStr">
        <is>
          <t>Silky Knit Tank</t>
        </is>
      </c>
      <c r="B53" s="412" t="inlineStr">
        <is>
          <t>Loungewear</t>
        </is>
      </c>
      <c r="C53" s="413" t="inlineStr">
        <is>
          <t>4 — LOW (natural sellthrough)</t>
        </is>
      </c>
      <c r="D53" s="417" t="n">
        <v>8</v>
      </c>
      <c r="E53" s="417" t="n">
        <v>385</v>
      </c>
      <c r="F53" s="417" t="n">
        <v>393</v>
      </c>
      <c r="G53" s="511" t="n">
        <v>3</v>
      </c>
      <c r="H53" s="417" t="inlineStr">
        <is>
          <t>$352</t>
        </is>
      </c>
      <c r="I53" s="509" t="inlineStr">
        <is>
          <t>$405</t>
        </is>
      </c>
      <c r="J53" s="417" t="inlineStr">
        <is>
          <t>Transfer (CN) + Flash Sale (US)</t>
        </is>
      </c>
    </row>
    <row r="54" ht="18" customHeight="1" s="229">
      <c r="A54" s="403" t="inlineStr">
        <is>
          <t>Classic Cozy Fleece Pajama Top 2.0</t>
        </is>
      </c>
      <c r="B54" s="404" t="inlineStr">
        <is>
          <t>Loungewear</t>
        </is>
      </c>
      <c r="C54" s="405" t="inlineStr">
        <is>
          <t>3 — MEDIUM (selldown or markdown)</t>
        </is>
      </c>
      <c r="D54" s="409" t="n">
        <v>20</v>
      </c>
      <c r="E54" s="409" t="n">
        <v>366</v>
      </c>
      <c r="F54" s="409" t="n">
        <v>386</v>
      </c>
      <c r="G54" s="409" t="inlineStr">
        <is>
          <t>-</t>
        </is>
      </c>
      <c r="H54" s="409" t="inlineStr">
        <is>
          <t>$3,182</t>
        </is>
      </c>
      <c r="I54" s="508" t="inlineStr">
        <is>
          <t>$900</t>
        </is>
      </c>
      <c r="J54" s="409" t="inlineStr">
        <is>
          <t>Transfer Only</t>
        </is>
      </c>
    </row>
    <row r="55" ht="18" customHeight="1" s="229">
      <c r="A55" s="411" t="inlineStr">
        <is>
          <t>Boundless Fleece Jacket 2.0</t>
        </is>
      </c>
      <c r="B55" s="412" t="inlineStr">
        <is>
          <t>Loungewear</t>
        </is>
      </c>
      <c r="C55" s="413" t="inlineStr">
        <is>
          <t>3 — MEDIUM (selldown or markdown)</t>
        </is>
      </c>
      <c r="D55" s="417" t="n">
        <v>27</v>
      </c>
      <c r="E55" s="417" t="n">
        <v>348</v>
      </c>
      <c r="F55" s="417" t="n">
        <v>375</v>
      </c>
      <c r="G55" s="417" t="inlineStr">
        <is>
          <t>-</t>
        </is>
      </c>
      <c r="H55" s="417" t="inlineStr">
        <is>
          <t>$2,583</t>
        </is>
      </c>
      <c r="I55" s="509" t="inlineStr">
        <is>
          <t>$960</t>
        </is>
      </c>
      <c r="J55" s="417" t="inlineStr">
        <is>
          <t>Transfer Only</t>
        </is>
      </c>
    </row>
    <row r="56" ht="18" customHeight="1" s="229">
      <c r="A56" s="403" t="inlineStr">
        <is>
          <t>Silk Modal Pajama Dress</t>
        </is>
      </c>
      <c r="B56" s="404" t="inlineStr">
        <is>
          <t>Loungewear</t>
        </is>
      </c>
      <c r="C56" s="405" t="inlineStr">
        <is>
          <t>4 — LOW (natural sellthrough)</t>
        </is>
      </c>
      <c r="D56" s="409" t="n">
        <v>18</v>
      </c>
      <c r="E56" s="409" t="n">
        <v>352</v>
      </c>
      <c r="F56" s="409" t="n">
        <v>370</v>
      </c>
      <c r="G56" s="409" t="inlineStr">
        <is>
          <t>-</t>
        </is>
      </c>
      <c r="H56" s="409" t="inlineStr">
        <is>
          <t>$1,244</t>
        </is>
      </c>
      <c r="I56" s="508" t="inlineStr">
        <is>
          <t>$735</t>
        </is>
      </c>
      <c r="J56" s="409" t="inlineStr">
        <is>
          <t>Transfer Only</t>
        </is>
      </c>
    </row>
    <row r="57" ht="18" customHeight="1" s="229">
      <c r="A57" s="411" t="inlineStr">
        <is>
          <t>Flare Knitted Pants</t>
        </is>
      </c>
      <c r="B57" s="412" t="inlineStr">
        <is>
          <t>Loungewear</t>
        </is>
      </c>
      <c r="C57" s="413" t="inlineStr">
        <is>
          <t>4 — LOW (natural sellthrough)</t>
        </is>
      </c>
      <c r="D57" s="417" t="n">
        <v>16</v>
      </c>
      <c r="E57" s="417" t="n">
        <v>348</v>
      </c>
      <c r="F57" s="417" t="n">
        <v>364</v>
      </c>
      <c r="G57" s="417" t="inlineStr">
        <is>
          <t>-</t>
        </is>
      </c>
      <c r="H57" s="417" t="inlineStr">
        <is>
          <t>$3,254</t>
        </is>
      </c>
      <c r="I57" s="509" t="inlineStr">
        <is>
          <t>$495</t>
        </is>
      </c>
      <c r="J57" s="417" t="inlineStr">
        <is>
          <t>Transfer Only</t>
        </is>
      </c>
    </row>
    <row r="58" ht="18" customHeight="1" s="229">
      <c r="A58" s="403" t="inlineStr">
        <is>
          <t>Classic Cozy Long Sleeve Tee</t>
        </is>
      </c>
      <c r="B58" s="404" t="inlineStr">
        <is>
          <t>Loungewear</t>
        </is>
      </c>
      <c r="C58" s="405" t="inlineStr">
        <is>
          <t>3 — MEDIUM (selldown or markdown)</t>
        </is>
      </c>
      <c r="D58" s="409" t="n">
        <v>55</v>
      </c>
      <c r="E58" s="409" t="n">
        <v>304</v>
      </c>
      <c r="F58" s="409" t="n">
        <v>359</v>
      </c>
      <c r="G58" s="409" t="inlineStr">
        <is>
          <t>-</t>
        </is>
      </c>
      <c r="H58" s="409" t="inlineStr">
        <is>
          <t>$1,155</t>
        </is>
      </c>
      <c r="I58" s="508" t="inlineStr">
        <is>
          <t>$1,380</t>
        </is>
      </c>
      <c r="J58" s="409" t="inlineStr">
        <is>
          <t>Transfer Only</t>
        </is>
      </c>
    </row>
    <row r="59" ht="18" customHeight="1" s="229">
      <c r="A59" s="411" t="inlineStr">
        <is>
          <t>Classic Cozy Pajama Pants</t>
        </is>
      </c>
      <c r="B59" s="412" t="inlineStr">
        <is>
          <t>Loungewear</t>
        </is>
      </c>
      <c r="C59" s="413" t="inlineStr">
        <is>
          <t>3 — MEDIUM (selldown or markdown)</t>
        </is>
      </c>
      <c r="D59" s="417" t="n">
        <v>68</v>
      </c>
      <c r="E59" s="417" t="n">
        <v>286</v>
      </c>
      <c r="F59" s="417" t="n">
        <v>354</v>
      </c>
      <c r="G59" s="511" t="n">
        <v>6</v>
      </c>
      <c r="H59" s="417" t="inlineStr">
        <is>
          <t>$1,909</t>
        </is>
      </c>
      <c r="I59" s="509" t="inlineStr">
        <is>
          <t>$1,590</t>
        </is>
      </c>
      <c r="J59" s="417" t="inlineStr">
        <is>
          <t>Transfer (CN) + Flash Sale (US)</t>
        </is>
      </c>
    </row>
    <row r="60" ht="18" customHeight="1" s="229">
      <c r="A60" s="403" t="inlineStr">
        <is>
          <t>Ruched Collarless Pajama Dress</t>
        </is>
      </c>
      <c r="B60" s="404" t="inlineStr">
        <is>
          <t>Loungewear</t>
        </is>
      </c>
      <c r="C60" s="405" t="inlineStr">
        <is>
          <t>3 — MEDIUM (selldown or markdown)</t>
        </is>
      </c>
      <c r="D60" s="409" t="n">
        <v>27</v>
      </c>
      <c r="E60" s="409" t="n">
        <v>326</v>
      </c>
      <c r="F60" s="409" t="n">
        <v>353</v>
      </c>
      <c r="G60" s="409" t="inlineStr">
        <is>
          <t>-</t>
        </is>
      </c>
      <c r="H60" s="409" t="inlineStr">
        <is>
          <t>$783</t>
        </is>
      </c>
      <c r="I60" s="508" t="inlineStr">
        <is>
          <t>$945</t>
        </is>
      </c>
      <c r="J60" s="409" t="inlineStr">
        <is>
          <t>Transfer Only</t>
        </is>
      </c>
    </row>
    <row r="61" ht="18" customHeight="1" s="229">
      <c r="A61" s="411" t="inlineStr">
        <is>
          <t>Easy Knit Knitted Shorts</t>
        </is>
      </c>
      <c r="B61" s="412" t="inlineStr">
        <is>
          <t>Loungewear</t>
        </is>
      </c>
      <c r="C61" s="413" t="inlineStr">
        <is>
          <t>4 — LOW (natural sellthrough)</t>
        </is>
      </c>
      <c r="D61" s="417" t="n">
        <v>28</v>
      </c>
      <c r="E61" s="417" t="n">
        <v>319</v>
      </c>
      <c r="F61" s="417" t="n">
        <v>347</v>
      </c>
      <c r="G61" s="417" t="inlineStr">
        <is>
          <t>-</t>
        </is>
      </c>
      <c r="H61" s="417" t="inlineStr">
        <is>
          <t>$268</t>
        </is>
      </c>
      <c r="I61" s="509" t="inlineStr">
        <is>
          <t>$240</t>
        </is>
      </c>
      <c r="J61" s="417" t="inlineStr">
        <is>
          <t>Transfer Only</t>
        </is>
      </c>
    </row>
    <row r="62" ht="18" customHeight="1" s="229">
      <c r="A62" s="403" t="inlineStr">
        <is>
          <t>Classic Merino Wool Sleeveless Turtleneck</t>
        </is>
      </c>
      <c r="B62" s="404" t="inlineStr">
        <is>
          <t>Loungewear</t>
        </is>
      </c>
      <c r="C62" s="405" t="inlineStr">
        <is>
          <t>4 — LOW (natural sellthrough)</t>
        </is>
      </c>
      <c r="D62" s="409" t="n">
        <v>8</v>
      </c>
      <c r="E62" s="409" t="n">
        <v>327</v>
      </c>
      <c r="F62" s="409" t="n">
        <v>335</v>
      </c>
      <c r="G62" s="409" t="inlineStr">
        <is>
          <t>-</t>
        </is>
      </c>
      <c r="H62" s="409" t="inlineStr">
        <is>
          <t>$570</t>
        </is>
      </c>
      <c r="I62" s="508" t="inlineStr">
        <is>
          <t>$210</t>
        </is>
      </c>
      <c r="J62" s="409" t="inlineStr">
        <is>
          <t>Transfer Only</t>
        </is>
      </c>
    </row>
    <row r="63" ht="18" customHeight="1" s="229">
      <c r="A63" s="411" t="inlineStr">
        <is>
          <t>Classic Cozy Pajama Shirt</t>
        </is>
      </c>
      <c r="B63" s="412" t="inlineStr">
        <is>
          <t>Loungewear</t>
        </is>
      </c>
      <c r="C63" s="413" t="inlineStr">
        <is>
          <t>3 — MEDIUM (selldown or markdown)</t>
        </is>
      </c>
      <c r="D63" s="417" t="n">
        <v>57</v>
      </c>
      <c r="E63" s="417" t="n">
        <v>265</v>
      </c>
      <c r="F63" s="417" t="n">
        <v>322</v>
      </c>
      <c r="G63" s="511" t="n">
        <v>6</v>
      </c>
      <c r="H63" s="417" t="inlineStr">
        <is>
          <t>$1,239</t>
        </is>
      </c>
      <c r="I63" s="509" t="inlineStr">
        <is>
          <t>$1,230</t>
        </is>
      </c>
      <c r="J63" s="417" t="inlineStr">
        <is>
          <t>Transfer (CN) + Flash Sale (US)</t>
        </is>
      </c>
    </row>
    <row r="64" ht="18" customHeight="1" s="229">
      <c r="A64" s="403" t="inlineStr">
        <is>
          <t>Knitted Ribbed Sweater</t>
        </is>
      </c>
      <c r="B64" s="404" t="inlineStr">
        <is>
          <t>Loungewear</t>
        </is>
      </c>
      <c r="C64" s="405" t="inlineStr">
        <is>
          <t>3 — MEDIUM (selldown or markdown)</t>
        </is>
      </c>
      <c r="D64" s="409" t="n">
        <v>152</v>
      </c>
      <c r="E64" s="409" t="n">
        <v>169</v>
      </c>
      <c r="F64" s="409" t="n">
        <v>321</v>
      </c>
      <c r="G64" s="409" t="inlineStr">
        <is>
          <t>-</t>
        </is>
      </c>
      <c r="H64" s="409" t="inlineStr">
        <is>
          <t>$1,545</t>
        </is>
      </c>
      <c r="I64" s="508" t="inlineStr">
        <is>
          <t>$5,295</t>
        </is>
      </c>
      <c r="J64" s="409" t="inlineStr">
        <is>
          <t>Transfer Only</t>
        </is>
      </c>
    </row>
    <row r="65" ht="18" customHeight="1" s="229">
      <c r="A65" s="411" t="inlineStr">
        <is>
          <t>Lyocell Camisole</t>
        </is>
      </c>
      <c r="B65" s="412" t="inlineStr">
        <is>
          <t>Loungewear</t>
        </is>
      </c>
      <c r="C65" s="413" t="inlineStr">
        <is>
          <t>3 — MEDIUM (selldown or markdown)</t>
        </is>
      </c>
      <c r="D65" s="417" t="n">
        <v>44</v>
      </c>
      <c r="E65" s="417" t="n">
        <v>262</v>
      </c>
      <c r="F65" s="417" t="n">
        <v>306</v>
      </c>
      <c r="G65" s="417" t="inlineStr">
        <is>
          <t>-</t>
        </is>
      </c>
      <c r="H65" s="417" t="inlineStr">
        <is>
          <t>$236</t>
        </is>
      </c>
      <c r="I65" s="509" t="inlineStr">
        <is>
          <t>$1,125</t>
        </is>
      </c>
      <c r="J65" s="417" t="inlineStr">
        <is>
          <t>Transfer Only</t>
        </is>
      </c>
    </row>
    <row r="66" ht="18" customHeight="1" s="229">
      <c r="A66" s="403" t="inlineStr">
        <is>
          <t>Crewneck Thermal Set</t>
        </is>
      </c>
      <c r="B66" s="404" t="inlineStr">
        <is>
          <t>Loungewear</t>
        </is>
      </c>
      <c r="C66" s="405" t="inlineStr">
        <is>
          <t>3 — MEDIUM (selldown or markdown)</t>
        </is>
      </c>
      <c r="D66" s="409" t="n">
        <v>52</v>
      </c>
      <c r="E66" s="409" t="n">
        <v>248</v>
      </c>
      <c r="F66" s="409" t="n">
        <v>300</v>
      </c>
      <c r="G66" s="409" t="inlineStr">
        <is>
          <t>-</t>
        </is>
      </c>
      <c r="H66" s="409" t="inlineStr">
        <is>
          <t>$1,524</t>
        </is>
      </c>
      <c r="I66" s="508" t="inlineStr">
        <is>
          <t>$1,335</t>
        </is>
      </c>
      <c r="J66" s="409" t="inlineStr">
        <is>
          <t>Transfer Only</t>
        </is>
      </c>
    </row>
    <row r="67" ht="18" customHeight="1" s="229">
      <c r="A67" s="411" t="inlineStr">
        <is>
          <t>Knitted Ribbed Cardigan</t>
        </is>
      </c>
      <c r="B67" s="412" t="inlineStr">
        <is>
          <t>Loungewear</t>
        </is>
      </c>
      <c r="C67" s="413" t="inlineStr">
        <is>
          <t>3 — MEDIUM (selldown or markdown)</t>
        </is>
      </c>
      <c r="D67" s="417" t="n">
        <v>295</v>
      </c>
      <c r="E67" s="417" t="n">
        <v>0</v>
      </c>
      <c r="F67" s="417" t="n">
        <v>295</v>
      </c>
      <c r="G67" s="417" t="inlineStr">
        <is>
          <t>-</t>
        </is>
      </c>
      <c r="H67" s="417" t="inlineStr">
        <is>
          <t>$1,612</t>
        </is>
      </c>
      <c r="I67" s="509" t="inlineStr">
        <is>
          <t>$9,795</t>
        </is>
      </c>
      <c r="J67" s="417" t="inlineStr">
        <is>
          <t>Transfer Only</t>
        </is>
      </c>
    </row>
    <row r="68" ht="18" customHeight="1" s="229">
      <c r="A68" s="403" t="inlineStr">
        <is>
          <t>Silk Sleep Tee</t>
        </is>
      </c>
      <c r="B68" s="404" t="inlineStr">
        <is>
          <t>Loungewear</t>
        </is>
      </c>
      <c r="C68" s="405" t="inlineStr">
        <is>
          <t>4 — LOW (natural sellthrough)</t>
        </is>
      </c>
      <c r="D68" s="409" t="n">
        <v>32</v>
      </c>
      <c r="E68" s="409" t="n">
        <v>259</v>
      </c>
      <c r="F68" s="409" t="n">
        <v>291</v>
      </c>
      <c r="G68" s="409" t="inlineStr">
        <is>
          <t>-</t>
        </is>
      </c>
      <c r="H68" s="409" t="inlineStr">
        <is>
          <t>$504</t>
        </is>
      </c>
      <c r="I68" s="508" t="inlineStr">
        <is>
          <t>$660</t>
        </is>
      </c>
      <c r="J68" s="409" t="inlineStr">
        <is>
          <t>Transfer Only</t>
        </is>
      </c>
    </row>
    <row r="69" ht="18" customHeight="1" s="229">
      <c r="A69" s="411" t="inlineStr">
        <is>
          <t>Hang Out 2-Way Dress</t>
        </is>
      </c>
      <c r="B69" s="412" t="inlineStr">
        <is>
          <t>Loungewear</t>
        </is>
      </c>
      <c r="C69" s="413" t="inlineStr">
        <is>
          <t>4 — LOW (natural sellthrough)</t>
        </is>
      </c>
      <c r="D69" s="417" t="n">
        <v>17</v>
      </c>
      <c r="E69" s="417" t="n">
        <v>267</v>
      </c>
      <c r="F69" s="417" t="n">
        <v>284</v>
      </c>
      <c r="G69" s="417" t="inlineStr">
        <is>
          <t>-</t>
        </is>
      </c>
      <c r="H69" s="417" t="inlineStr">
        <is>
          <t>$57</t>
        </is>
      </c>
      <c r="I69" s="509" t="inlineStr">
        <is>
          <t>$105</t>
        </is>
      </c>
      <c r="J69" s="417" t="inlineStr">
        <is>
          <t>Transfer Only</t>
        </is>
      </c>
    </row>
    <row r="70" ht="18" customHeight="1" s="229">
      <c r="A70" s="403" t="inlineStr">
        <is>
          <t>Satin Wrap Shirt</t>
        </is>
      </c>
      <c r="B70" s="404" t="inlineStr">
        <is>
          <t>Loungewear</t>
        </is>
      </c>
      <c r="C70" s="405" t="inlineStr">
        <is>
          <t>4 — LOW (natural sellthrough)</t>
        </is>
      </c>
      <c r="D70" s="409" t="n">
        <v>35</v>
      </c>
      <c r="E70" s="409" t="n">
        <v>243</v>
      </c>
      <c r="F70" s="409" t="n">
        <v>278</v>
      </c>
      <c r="G70" s="409" t="inlineStr">
        <is>
          <t>-</t>
        </is>
      </c>
      <c r="H70" s="409" t="inlineStr">
        <is>
          <t>$535</t>
        </is>
      </c>
      <c r="I70" s="508" t="inlineStr">
        <is>
          <t>$540</t>
        </is>
      </c>
      <c r="J70" s="409" t="inlineStr">
        <is>
          <t>Transfer Only</t>
        </is>
      </c>
    </row>
    <row r="71" ht="18" customHeight="1" s="229">
      <c r="A71" s="411" t="inlineStr">
        <is>
          <t>Cashmere Turtleneck Vest</t>
        </is>
      </c>
      <c r="B71" s="412" t="inlineStr">
        <is>
          <t>Loungewear</t>
        </is>
      </c>
      <c r="C71" s="413" t="inlineStr">
        <is>
          <t>4 — LOW (natural sellthrough)</t>
        </is>
      </c>
      <c r="D71" s="417" t="n">
        <v>20</v>
      </c>
      <c r="E71" s="417" t="n">
        <v>253</v>
      </c>
      <c r="F71" s="417" t="n">
        <v>273</v>
      </c>
      <c r="G71" s="417" t="inlineStr">
        <is>
          <t>-</t>
        </is>
      </c>
      <c r="H71" s="417" t="inlineStr">
        <is>
          <t>$741</t>
        </is>
      </c>
      <c r="I71" s="509" t="inlineStr">
        <is>
          <t>$375</t>
        </is>
      </c>
      <c r="J71" s="417" t="inlineStr">
        <is>
          <t>Transfer Only</t>
        </is>
      </c>
    </row>
    <row r="72" ht="18" customHeight="1" s="229">
      <c r="A72" s="403" t="inlineStr">
        <is>
          <t>Wool Seamless Turtleneck Top</t>
        </is>
      </c>
      <c r="B72" s="404" t="inlineStr">
        <is>
          <t>Loungewear</t>
        </is>
      </c>
      <c r="C72" s="405" t="inlineStr">
        <is>
          <t>3 — MEDIUM (selldown or markdown)</t>
        </is>
      </c>
      <c r="D72" s="409" t="n">
        <v>272</v>
      </c>
      <c r="E72" s="409" t="n">
        <v>0</v>
      </c>
      <c r="F72" s="409" t="n">
        <v>272</v>
      </c>
      <c r="G72" s="409" t="inlineStr">
        <is>
          <t>-</t>
        </is>
      </c>
      <c r="H72" s="409" t="inlineStr">
        <is>
          <t>$2,943</t>
        </is>
      </c>
      <c r="I72" s="508" t="inlineStr">
        <is>
          <t>$11,400</t>
        </is>
      </c>
      <c r="J72" s="409" t="inlineStr">
        <is>
          <t>Transfer Only</t>
        </is>
      </c>
    </row>
    <row r="73" ht="18" customHeight="1" s="229">
      <c r="A73" s="411" t="inlineStr">
        <is>
          <t>Maternity V-Neck Top</t>
        </is>
      </c>
      <c r="B73" s="412" t="inlineStr">
        <is>
          <t>Loungewear</t>
        </is>
      </c>
      <c r="C73" s="413" t="inlineStr">
        <is>
          <t>3 — MEDIUM (selldown or markdown)</t>
        </is>
      </c>
      <c r="D73" s="417" t="n">
        <v>30</v>
      </c>
      <c r="E73" s="417" t="n">
        <v>241</v>
      </c>
      <c r="F73" s="417" t="n">
        <v>271</v>
      </c>
      <c r="G73" s="417" t="inlineStr">
        <is>
          <t>-</t>
        </is>
      </c>
      <c r="H73" s="417" t="inlineStr">
        <is>
          <t>$1,103</t>
        </is>
      </c>
      <c r="I73" s="509" t="inlineStr">
        <is>
          <t>$975</t>
        </is>
      </c>
      <c r="J73" s="417" t="inlineStr">
        <is>
          <t>Transfer Only</t>
        </is>
      </c>
    </row>
    <row r="74" ht="18" customHeight="1" s="229">
      <c r="A74" s="403" t="inlineStr">
        <is>
          <t>Light Lift Shaping Leggings</t>
        </is>
      </c>
      <c r="B74" s="404" t="inlineStr">
        <is>
          <t>Loungewear</t>
        </is>
      </c>
      <c r="C74" s="405" t="inlineStr">
        <is>
          <t>3 — MEDIUM (selldown or markdown)</t>
        </is>
      </c>
      <c r="D74" s="409" t="n">
        <v>23</v>
      </c>
      <c r="E74" s="409" t="n">
        <v>246</v>
      </c>
      <c r="F74" s="409" t="n">
        <v>269</v>
      </c>
      <c r="G74" s="510" t="n">
        <v>4</v>
      </c>
      <c r="H74" s="409" t="inlineStr">
        <is>
          <t>$1,877</t>
        </is>
      </c>
      <c r="I74" s="508" t="inlineStr">
        <is>
          <t>$945</t>
        </is>
      </c>
      <c r="J74" s="409" t="inlineStr">
        <is>
          <t>Transfer (CN) + Flash Sale (US)</t>
        </is>
      </c>
    </row>
    <row r="75" ht="18" customHeight="1" s="229">
      <c r="A75" s="411" t="inlineStr">
        <is>
          <t>Laid Back Ribbed Cardigan 2.0</t>
        </is>
      </c>
      <c r="B75" s="412" t="inlineStr">
        <is>
          <t>Loungewear</t>
        </is>
      </c>
      <c r="C75" s="413" t="inlineStr">
        <is>
          <t>3 — MEDIUM (selldown or markdown)</t>
        </is>
      </c>
      <c r="D75" s="417" t="n">
        <v>13</v>
      </c>
      <c r="E75" s="417" t="n">
        <v>251</v>
      </c>
      <c r="F75" s="417" t="n">
        <v>264</v>
      </c>
      <c r="G75" s="511" t="n">
        <v>22</v>
      </c>
      <c r="H75" s="417" t="inlineStr">
        <is>
          <t>$545</t>
        </is>
      </c>
      <c r="I75" s="509" t="inlineStr">
        <is>
          <t>$1,140</t>
        </is>
      </c>
      <c r="J75" s="417" t="inlineStr">
        <is>
          <t>Transfer (CN) + Flash Sale (US)</t>
        </is>
      </c>
    </row>
    <row r="76" ht="18" customHeight="1" s="229">
      <c r="A76" s="403" t="inlineStr">
        <is>
          <t>Cropped Pajama Top</t>
        </is>
      </c>
      <c r="B76" s="404" t="inlineStr">
        <is>
          <t>Loungewear</t>
        </is>
      </c>
      <c r="C76" s="405" t="inlineStr">
        <is>
          <t>4 — LOW (natural sellthrough)</t>
        </is>
      </c>
      <c r="D76" s="409" t="n">
        <v>12</v>
      </c>
      <c r="E76" s="409" t="n">
        <v>247</v>
      </c>
      <c r="F76" s="409" t="n">
        <v>259</v>
      </c>
      <c r="G76" s="409" t="inlineStr">
        <is>
          <t>-</t>
        </is>
      </c>
      <c r="H76" s="409" t="inlineStr">
        <is>
          <t>$170</t>
        </is>
      </c>
      <c r="I76" s="508" t="inlineStr">
        <is>
          <t>$240</t>
        </is>
      </c>
      <c r="J76" s="409" t="inlineStr">
        <is>
          <t>Transfer Only</t>
        </is>
      </c>
    </row>
    <row r="77" ht="18" customHeight="1" s="229">
      <c r="A77" s="411" t="inlineStr">
        <is>
          <t>V-Neck Loose Fit Wool Cardigan</t>
        </is>
      </c>
      <c r="B77" s="412" t="inlineStr">
        <is>
          <t>Loungewear</t>
        </is>
      </c>
      <c r="C77" s="413" t="inlineStr">
        <is>
          <t>4 — LOW (natural sellthrough)</t>
        </is>
      </c>
      <c r="D77" s="417" t="n">
        <v>28</v>
      </c>
      <c r="E77" s="417" t="n">
        <v>200</v>
      </c>
      <c r="F77" s="417" t="n">
        <v>228</v>
      </c>
      <c r="G77" s="417" t="inlineStr">
        <is>
          <t>-</t>
        </is>
      </c>
      <c r="H77" s="417" t="inlineStr">
        <is>
          <t>$1,204</t>
        </is>
      </c>
      <c r="I77" s="509" t="inlineStr">
        <is>
          <t>$465</t>
        </is>
      </c>
      <c r="J77" s="417" t="inlineStr">
        <is>
          <t>Transfer Only</t>
        </is>
      </c>
    </row>
    <row r="78" ht="18" customHeight="1" s="229">
      <c r="A78" s="403" t="inlineStr">
        <is>
          <t>Silky Wool Mock Neck Sleeveless Sweater</t>
        </is>
      </c>
      <c r="B78" s="404" t="inlineStr">
        <is>
          <t>Loungewear</t>
        </is>
      </c>
      <c r="C78" s="405" t="inlineStr">
        <is>
          <t>4 — LOW (natural sellthrough)</t>
        </is>
      </c>
      <c r="D78" s="409" t="n">
        <v>20</v>
      </c>
      <c r="E78" s="409" t="n">
        <v>205</v>
      </c>
      <c r="F78" s="409" t="n">
        <v>225</v>
      </c>
      <c r="G78" s="409" t="inlineStr">
        <is>
          <t>-</t>
        </is>
      </c>
      <c r="H78" s="409" t="inlineStr">
        <is>
          <t>$1,165</t>
        </is>
      </c>
      <c r="I78" s="508" t="inlineStr">
        <is>
          <t>$255</t>
        </is>
      </c>
      <c r="J78" s="409" t="inlineStr">
        <is>
          <t>Transfer Only</t>
        </is>
      </c>
    </row>
    <row r="79" ht="18" customHeight="1" s="229">
      <c r="A79" s="411" t="inlineStr">
        <is>
          <t>Cropped Straight Leg Pajama Pants</t>
        </is>
      </c>
      <c r="B79" s="412" t="inlineStr">
        <is>
          <t>Loungewear</t>
        </is>
      </c>
      <c r="C79" s="413" t="inlineStr">
        <is>
          <t>4 — LOW (natural sellthrough)</t>
        </is>
      </c>
      <c r="D79" s="417" t="n">
        <v>18</v>
      </c>
      <c r="E79" s="417" t="n">
        <v>206</v>
      </c>
      <c r="F79" s="417" t="n">
        <v>224</v>
      </c>
      <c r="G79" s="417" t="inlineStr">
        <is>
          <t>-</t>
        </is>
      </c>
      <c r="H79" s="417" t="inlineStr">
        <is>
          <t>$936</t>
        </is>
      </c>
      <c r="I79" s="509" t="inlineStr">
        <is>
          <t>$645</t>
        </is>
      </c>
      <c r="J79" s="417" t="inlineStr">
        <is>
          <t>Transfer Only</t>
        </is>
      </c>
    </row>
    <row r="80" ht="18" customHeight="1" s="229">
      <c r="A80" s="403" t="inlineStr">
        <is>
          <t>Classic Cozy Fleece Pajama Pants 2.0</t>
        </is>
      </c>
      <c r="B80" s="404" t="inlineStr">
        <is>
          <t>Loungewear</t>
        </is>
      </c>
      <c r="C80" s="405" t="inlineStr">
        <is>
          <t>3 — MEDIUM (selldown or markdown)</t>
        </is>
      </c>
      <c r="D80" s="409" t="n">
        <v>21</v>
      </c>
      <c r="E80" s="409" t="n">
        <v>198</v>
      </c>
      <c r="F80" s="409" t="n">
        <v>219</v>
      </c>
      <c r="G80" s="510" t="n">
        <v>18</v>
      </c>
      <c r="H80" s="409" t="inlineStr">
        <is>
          <t>$2,876</t>
        </is>
      </c>
      <c r="I80" s="508" t="inlineStr">
        <is>
          <t>$1,395</t>
        </is>
      </c>
      <c r="J80" s="409" t="inlineStr">
        <is>
          <t>Transfer (CN) + Flash Sale (US)</t>
        </is>
      </c>
    </row>
    <row r="81" ht="18" customHeight="1" s="229">
      <c r="A81" s="411" t="inlineStr">
        <is>
          <t>Hang Out Summer Shirt</t>
        </is>
      </c>
      <c r="B81" s="412" t="inlineStr">
        <is>
          <t>Loungewear</t>
        </is>
      </c>
      <c r="C81" s="413" t="inlineStr">
        <is>
          <t>4 — LOW (natural sellthrough)</t>
        </is>
      </c>
      <c r="D81" s="417" t="n">
        <v>28</v>
      </c>
      <c r="E81" s="417" t="n">
        <v>185</v>
      </c>
      <c r="F81" s="417" t="n">
        <v>213</v>
      </c>
      <c r="G81" s="417" t="inlineStr">
        <is>
          <t>-</t>
        </is>
      </c>
      <c r="H81" s="417" t="inlineStr">
        <is>
          <t>$124</t>
        </is>
      </c>
      <c r="I81" s="509" t="inlineStr">
        <is>
          <t>$285</t>
        </is>
      </c>
      <c r="J81" s="417" t="inlineStr">
        <is>
          <t>Transfer Only</t>
        </is>
      </c>
    </row>
    <row r="82" ht="18" customHeight="1" s="229">
      <c r="A82" s="403" t="inlineStr">
        <is>
          <t>Stroll Pajama Shorts</t>
        </is>
      </c>
      <c r="B82" s="404" t="inlineStr">
        <is>
          <t>Loungewear</t>
        </is>
      </c>
      <c r="C82" s="405" t="inlineStr">
        <is>
          <t>4 — LOW (natural sellthrough)</t>
        </is>
      </c>
      <c r="D82" s="409" t="n">
        <v>12</v>
      </c>
      <c r="E82" s="409" t="n">
        <v>200</v>
      </c>
      <c r="F82" s="409" t="n">
        <v>212</v>
      </c>
      <c r="G82" s="409" t="inlineStr">
        <is>
          <t>-</t>
        </is>
      </c>
      <c r="H82" s="409" t="inlineStr">
        <is>
          <t>$155</t>
        </is>
      </c>
      <c r="I82" s="508" t="inlineStr">
        <is>
          <t>$240</t>
        </is>
      </c>
      <c r="J82" s="409" t="inlineStr">
        <is>
          <t>Transfer Only</t>
        </is>
      </c>
    </row>
    <row r="83" ht="18" customHeight="1" s="229">
      <c r="A83" s="411" t="inlineStr">
        <is>
          <t>Cotton Cozy Pajama Set</t>
        </is>
      </c>
      <c r="B83" s="412" t="inlineStr">
        <is>
          <t>Loungewear</t>
        </is>
      </c>
      <c r="C83" s="413" t="inlineStr">
        <is>
          <t>4 — LOW (natural sellthrough)</t>
        </is>
      </c>
      <c r="D83" s="417" t="n">
        <v>10</v>
      </c>
      <c r="E83" s="417" t="n">
        <v>200</v>
      </c>
      <c r="F83" s="417" t="n">
        <v>210</v>
      </c>
      <c r="G83" s="417" t="inlineStr">
        <is>
          <t>-</t>
        </is>
      </c>
      <c r="H83" s="417" t="inlineStr">
        <is>
          <t>$3,595</t>
        </is>
      </c>
      <c r="I83" s="509" t="inlineStr">
        <is>
          <t>$405</t>
        </is>
      </c>
      <c r="J83" s="417" t="inlineStr">
        <is>
          <t>Transfer Only</t>
        </is>
      </c>
    </row>
    <row r="84" ht="18" customHeight="1" s="229">
      <c r="A84" s="403" t="inlineStr">
        <is>
          <t>Silk Modal Pajama Top</t>
        </is>
      </c>
      <c r="B84" s="404" t="inlineStr">
        <is>
          <t>Loungewear</t>
        </is>
      </c>
      <c r="C84" s="405" t="inlineStr">
        <is>
          <t>3 — MEDIUM (selldown or markdown)</t>
        </is>
      </c>
      <c r="D84" s="409" t="n">
        <v>31</v>
      </c>
      <c r="E84" s="409" t="n">
        <v>177</v>
      </c>
      <c r="F84" s="409" t="n">
        <v>208</v>
      </c>
      <c r="G84" s="409" t="inlineStr">
        <is>
          <t>-</t>
        </is>
      </c>
      <c r="H84" s="409" t="inlineStr">
        <is>
          <t>$2,510</t>
        </is>
      </c>
      <c r="I84" s="508" t="inlineStr">
        <is>
          <t>$1,230</t>
        </is>
      </c>
      <c r="J84" s="409" t="inlineStr">
        <is>
          <t>Transfer Only</t>
        </is>
      </c>
    </row>
    <row r="85" ht="18" customHeight="1" s="229">
      <c r="A85" s="411" t="inlineStr">
        <is>
          <t>Hang Out Long Sleeve Polo Shirt</t>
        </is>
      </c>
      <c r="B85" s="412" t="inlineStr">
        <is>
          <t>Loungewear</t>
        </is>
      </c>
      <c r="C85" s="413" t="inlineStr">
        <is>
          <t>4 — LOW (natural sellthrough)</t>
        </is>
      </c>
      <c r="D85" s="417" t="n">
        <v>10</v>
      </c>
      <c r="E85" s="417" t="n">
        <v>197</v>
      </c>
      <c r="F85" s="417" t="n">
        <v>207</v>
      </c>
      <c r="G85" s="417" t="inlineStr">
        <is>
          <t>-</t>
        </is>
      </c>
      <c r="H85" s="417" t="inlineStr">
        <is>
          <t>$296</t>
        </is>
      </c>
      <c r="I85" s="509" t="inlineStr">
        <is>
          <t>$240</t>
        </is>
      </c>
      <c r="J85" s="417" t="inlineStr">
        <is>
          <t>Transfer Only</t>
        </is>
      </c>
    </row>
    <row r="86" ht="18" customHeight="1" s="229">
      <c r="A86" s="403" t="inlineStr">
        <is>
          <t>Silky Wool Mock Neck Sweater</t>
        </is>
      </c>
      <c r="B86" s="404" t="inlineStr">
        <is>
          <t>Loungewear</t>
        </is>
      </c>
      <c r="C86" s="405" t="inlineStr">
        <is>
          <t>3 — MEDIUM (selldown or markdown)</t>
        </is>
      </c>
      <c r="D86" s="409" t="n">
        <v>45</v>
      </c>
      <c r="E86" s="409" t="n">
        <v>161</v>
      </c>
      <c r="F86" s="409" t="n">
        <v>206</v>
      </c>
      <c r="G86" s="409" t="inlineStr">
        <is>
          <t>-</t>
        </is>
      </c>
      <c r="H86" s="409" t="inlineStr">
        <is>
          <t>$2,796</t>
        </is>
      </c>
      <c r="I86" s="508" t="inlineStr">
        <is>
          <t>$780</t>
        </is>
      </c>
      <c r="J86" s="409" t="inlineStr">
        <is>
          <t>Transfer Only</t>
        </is>
      </c>
    </row>
    <row r="87" ht="18" customHeight="1" s="229">
      <c r="A87" s="411" t="inlineStr">
        <is>
          <t>Lyocell Long Pajama Robe</t>
        </is>
      </c>
      <c r="B87" s="412" t="inlineStr">
        <is>
          <t>Loungewear</t>
        </is>
      </c>
      <c r="C87" s="413" t="inlineStr">
        <is>
          <t>4 — LOW (natural sellthrough)</t>
        </is>
      </c>
      <c r="D87" s="417" t="n">
        <v>14</v>
      </c>
      <c r="E87" s="417" t="n">
        <v>190</v>
      </c>
      <c r="F87" s="417" t="n">
        <v>204</v>
      </c>
      <c r="G87" s="417" t="inlineStr">
        <is>
          <t>-</t>
        </is>
      </c>
      <c r="H87" s="417" t="inlineStr">
        <is>
          <t>$353</t>
        </is>
      </c>
      <c r="I87" s="509" t="inlineStr">
        <is>
          <t>$465</t>
        </is>
      </c>
      <c r="J87" s="417" t="inlineStr">
        <is>
          <t>Transfer Only</t>
        </is>
      </c>
    </row>
    <row r="88" ht="18" customHeight="1" s="229">
      <c r="A88" s="403" t="inlineStr">
        <is>
          <t>Satin Pajama Set</t>
        </is>
      </c>
      <c r="B88" s="404" t="inlineStr">
        <is>
          <t>Loungewear</t>
        </is>
      </c>
      <c r="C88" s="405" t="inlineStr">
        <is>
          <t>4 — LOW (natural sellthrough)</t>
        </is>
      </c>
      <c r="D88" s="409" t="n">
        <v>38</v>
      </c>
      <c r="E88" s="409" t="n">
        <v>164</v>
      </c>
      <c r="F88" s="409" t="n">
        <v>202</v>
      </c>
      <c r="G88" s="409" t="inlineStr">
        <is>
          <t>-</t>
        </is>
      </c>
      <c r="H88" s="409" t="inlineStr">
        <is>
          <t>$334</t>
        </is>
      </c>
      <c r="I88" s="508" t="inlineStr">
        <is>
          <t>$330</t>
        </is>
      </c>
      <c r="J88" s="409" t="inlineStr">
        <is>
          <t>Transfer Only</t>
        </is>
      </c>
    </row>
    <row r="89" ht="18" customHeight="1" s="229">
      <c r="A89" s="411" t="inlineStr">
        <is>
          <t>Silk Linen Tank</t>
        </is>
      </c>
      <c r="B89" s="412" t="inlineStr">
        <is>
          <t>Loungewear</t>
        </is>
      </c>
      <c r="C89" s="413" t="inlineStr">
        <is>
          <t>2 — HIGH (excess inventory vs demand)</t>
        </is>
      </c>
      <c r="D89" s="417" t="n">
        <v>198</v>
      </c>
      <c r="E89" s="417" t="n">
        <v>0</v>
      </c>
      <c r="F89" s="417" t="n">
        <v>198</v>
      </c>
      <c r="G89" s="417" t="inlineStr">
        <is>
          <t>-</t>
        </is>
      </c>
      <c r="H89" s="417" t="inlineStr">
        <is>
          <t>$562</t>
        </is>
      </c>
      <c r="I89" s="509" t="inlineStr">
        <is>
          <t>$3,150</t>
        </is>
      </c>
      <c r="J89" s="417" t="inlineStr">
        <is>
          <t>Transfer Only</t>
        </is>
      </c>
    </row>
    <row r="90" ht="18" customHeight="1" s="229">
      <c r="A90" s="403" t="inlineStr">
        <is>
          <t>Ruched Collarless Pajama Top</t>
        </is>
      </c>
      <c r="B90" s="404" t="inlineStr">
        <is>
          <t>Loungewear</t>
        </is>
      </c>
      <c r="C90" s="405" t="inlineStr">
        <is>
          <t>4 — LOW (natural sellthrough)</t>
        </is>
      </c>
      <c r="D90" s="409" t="n">
        <v>41</v>
      </c>
      <c r="E90" s="409" t="n">
        <v>150</v>
      </c>
      <c r="F90" s="409" t="n">
        <v>191</v>
      </c>
      <c r="G90" s="510" t="n">
        <v>6</v>
      </c>
      <c r="H90" s="409" t="inlineStr">
        <is>
          <t>$344</t>
        </is>
      </c>
      <c r="I90" s="508" t="inlineStr">
        <is>
          <t>$705</t>
        </is>
      </c>
      <c r="J90" s="409" t="inlineStr">
        <is>
          <t>Transfer (CN) + Flash Sale (US)</t>
        </is>
      </c>
    </row>
    <row r="91" ht="18" customHeight="1" s="229">
      <c r="A91" s="411" t="inlineStr">
        <is>
          <t>Hang Out Maxi Dress</t>
        </is>
      </c>
      <c r="B91" s="412" t="inlineStr">
        <is>
          <t>Loungewear</t>
        </is>
      </c>
      <c r="C91" s="413" t="inlineStr">
        <is>
          <t>4 — LOW (natural sellthrough)</t>
        </is>
      </c>
      <c r="D91" s="417" t="n">
        <v>15</v>
      </c>
      <c r="E91" s="417" t="n">
        <v>172</v>
      </c>
      <c r="F91" s="417" t="n">
        <v>187</v>
      </c>
      <c r="G91" s="417" t="inlineStr">
        <is>
          <t>-</t>
        </is>
      </c>
      <c r="H91" s="417" t="inlineStr">
        <is>
          <t>$361</t>
        </is>
      </c>
      <c r="I91" s="509" t="inlineStr">
        <is>
          <t>$225</t>
        </is>
      </c>
      <c r="J91" s="417" t="inlineStr">
        <is>
          <t>Transfer Only</t>
        </is>
      </c>
    </row>
    <row r="92" ht="18" customHeight="1" s="229">
      <c r="A92" s="403" t="inlineStr">
        <is>
          <t>Boundless Side Slit Sweatshirt</t>
        </is>
      </c>
      <c r="B92" s="404" t="inlineStr">
        <is>
          <t>Loungewear</t>
        </is>
      </c>
      <c r="C92" s="405" t="inlineStr">
        <is>
          <t>3 — MEDIUM (selldown or markdown)</t>
        </is>
      </c>
      <c r="D92" s="409" t="n">
        <v>27</v>
      </c>
      <c r="E92" s="409" t="n">
        <v>157</v>
      </c>
      <c r="F92" s="409" t="n">
        <v>184</v>
      </c>
      <c r="G92" s="510" t="n">
        <v>7</v>
      </c>
      <c r="H92" s="409" t="inlineStr">
        <is>
          <t>$948</t>
        </is>
      </c>
      <c r="I92" s="508" t="inlineStr">
        <is>
          <t>$1,065</t>
        </is>
      </c>
      <c r="J92" s="409" t="inlineStr">
        <is>
          <t>Transfer (CN) + Flash Sale (US)</t>
        </is>
      </c>
    </row>
    <row r="93" ht="18" customHeight="1" s="229">
      <c r="A93" s="411" t="inlineStr">
        <is>
          <t>Knitted Spring Cardigan</t>
        </is>
      </c>
      <c r="B93" s="412" t="inlineStr">
        <is>
          <t>Loungewear</t>
        </is>
      </c>
      <c r="C93" s="413" t="inlineStr">
        <is>
          <t>4 — LOW (natural sellthrough)</t>
        </is>
      </c>
      <c r="D93" s="417" t="n">
        <v>45</v>
      </c>
      <c r="E93" s="417" t="n">
        <v>138</v>
      </c>
      <c r="F93" s="417" t="n">
        <v>183</v>
      </c>
      <c r="G93" s="417" t="inlineStr">
        <is>
          <t>-</t>
        </is>
      </c>
      <c r="H93" s="417" t="inlineStr">
        <is>
          <t>$1,144</t>
        </is>
      </c>
      <c r="I93" s="509" t="inlineStr">
        <is>
          <t>$645</t>
        </is>
      </c>
      <c r="J93" s="417" t="inlineStr">
        <is>
          <t>Transfer Only</t>
        </is>
      </c>
    </row>
    <row r="94" ht="18" customHeight="1" s="229">
      <c r="A94" s="403" t="inlineStr">
        <is>
          <t>Silk Sleep Camisole</t>
        </is>
      </c>
      <c r="B94" s="404" t="inlineStr">
        <is>
          <t>Loungewear</t>
        </is>
      </c>
      <c r="C94" s="405" t="inlineStr">
        <is>
          <t>3 — MEDIUM (selldown or markdown)</t>
        </is>
      </c>
      <c r="D94" s="409" t="n">
        <v>43</v>
      </c>
      <c r="E94" s="409" t="n">
        <v>139</v>
      </c>
      <c r="F94" s="409" t="n">
        <v>182</v>
      </c>
      <c r="G94" s="409" t="inlineStr">
        <is>
          <t>-</t>
        </is>
      </c>
      <c r="H94" s="409" t="inlineStr">
        <is>
          <t>$627</t>
        </is>
      </c>
      <c r="I94" s="508" t="inlineStr">
        <is>
          <t>$810</t>
        </is>
      </c>
      <c r="J94" s="409" t="inlineStr">
        <is>
          <t>Transfer Only</t>
        </is>
      </c>
    </row>
    <row r="95" ht="18" customHeight="1" s="229">
      <c r="A95" s="411" t="inlineStr">
        <is>
          <t>Cotton Wide Leg Pants</t>
        </is>
      </c>
      <c r="B95" s="412" t="inlineStr">
        <is>
          <t>Loungewear</t>
        </is>
      </c>
      <c r="C95" s="413" t="inlineStr">
        <is>
          <t>2 — HIGH (excess inventory vs demand)</t>
        </is>
      </c>
      <c r="D95" s="417" t="n">
        <v>178</v>
      </c>
      <c r="E95" s="417" t="n">
        <v>0</v>
      </c>
      <c r="F95" s="417" t="n">
        <v>178</v>
      </c>
      <c r="G95" s="417" t="inlineStr">
        <is>
          <t>-</t>
        </is>
      </c>
      <c r="H95" s="417" t="inlineStr">
        <is>
          <t>$641</t>
        </is>
      </c>
      <c r="I95" s="509" t="inlineStr">
        <is>
          <t>$2,775</t>
        </is>
      </c>
      <c r="J95" s="417" t="inlineStr">
        <is>
          <t>Transfer Only</t>
        </is>
      </c>
    </row>
    <row r="96" ht="18" customHeight="1" s="229">
      <c r="A96" s="403" t="inlineStr">
        <is>
          <t>Silk Sleep Pajama Pants</t>
        </is>
      </c>
      <c r="B96" s="404" t="inlineStr">
        <is>
          <t>Loungewear</t>
        </is>
      </c>
      <c r="C96" s="405" t="inlineStr">
        <is>
          <t>4 — LOW (natural sellthrough)</t>
        </is>
      </c>
      <c r="D96" s="409" t="n">
        <v>24</v>
      </c>
      <c r="E96" s="409" t="n">
        <v>152</v>
      </c>
      <c r="F96" s="409" t="n">
        <v>176</v>
      </c>
      <c r="G96" s="409" t="inlineStr">
        <is>
          <t>-</t>
        </is>
      </c>
      <c r="H96" s="409" t="inlineStr">
        <is>
          <t>$566</t>
        </is>
      </c>
      <c r="I96" s="508" t="inlineStr">
        <is>
          <t>$585</t>
        </is>
      </c>
      <c r="J96" s="409" t="inlineStr">
        <is>
          <t>Transfer Only</t>
        </is>
      </c>
    </row>
    <row r="97" ht="18" customHeight="1" s="229">
      <c r="A97" s="411" t="inlineStr">
        <is>
          <t>Silk Cotton U Neck Pajama Top</t>
        </is>
      </c>
      <c r="B97" s="412" t="inlineStr">
        <is>
          <t>Loungewear</t>
        </is>
      </c>
      <c r="C97" s="413" t="inlineStr">
        <is>
          <t>3 — MEDIUM (selldown or markdown)</t>
        </is>
      </c>
      <c r="D97" s="417" t="n">
        <v>37</v>
      </c>
      <c r="E97" s="417" t="n">
        <v>131</v>
      </c>
      <c r="F97" s="417" t="n">
        <v>168</v>
      </c>
      <c r="G97" s="417" t="inlineStr">
        <is>
          <t>-</t>
        </is>
      </c>
      <c r="H97" s="417" t="inlineStr">
        <is>
          <t>$420</t>
        </is>
      </c>
      <c r="I97" s="509" t="inlineStr">
        <is>
          <t>$930</t>
        </is>
      </c>
      <c r="J97" s="417" t="inlineStr">
        <is>
          <t>Transfer Only</t>
        </is>
      </c>
    </row>
    <row r="98" ht="18" customHeight="1" s="229">
      <c r="A98" s="403" t="inlineStr">
        <is>
          <t>Nude Skin Padded Camisole</t>
        </is>
      </c>
      <c r="B98" s="404" t="inlineStr">
        <is>
          <t>Loungewear</t>
        </is>
      </c>
      <c r="C98" s="405" t="inlineStr">
        <is>
          <t>4 — LOW (natural sellthrough)</t>
        </is>
      </c>
      <c r="D98" s="409" t="n">
        <v>10</v>
      </c>
      <c r="E98" s="409" t="n">
        <v>155</v>
      </c>
      <c r="F98" s="409" t="n">
        <v>165</v>
      </c>
      <c r="G98" s="510" t="n">
        <v>8</v>
      </c>
      <c r="H98" s="409" t="inlineStr">
        <is>
          <t>$2,514</t>
        </is>
      </c>
      <c r="I98" s="508" t="inlineStr">
        <is>
          <t>$705</t>
        </is>
      </c>
      <c r="J98" s="409" t="inlineStr">
        <is>
          <t>Transfer (CN) + Flash Sale (US)</t>
        </is>
      </c>
    </row>
    <row r="99" ht="18" customHeight="1" s="229">
      <c r="A99" s="411" t="inlineStr">
        <is>
          <t>Linen-Blend Bermuda Shorts</t>
        </is>
      </c>
      <c r="B99" s="412" t="inlineStr">
        <is>
          <t>Loungewear</t>
        </is>
      </c>
      <c r="C99" s="413" t="inlineStr">
        <is>
          <t>2 — HIGH (dead product)</t>
        </is>
      </c>
      <c r="D99" s="417" t="n">
        <v>164</v>
      </c>
      <c r="E99" s="417" t="n">
        <v>0</v>
      </c>
      <c r="F99" s="417" t="n">
        <v>164</v>
      </c>
      <c r="G99" s="511" t="n">
        <v>1</v>
      </c>
      <c r="H99" s="417" t="inlineStr">
        <is>
          <t>$0</t>
        </is>
      </c>
      <c r="I99" s="509" t="inlineStr">
        <is>
          <t>$30</t>
        </is>
      </c>
      <c r="J99" s="417" t="inlineStr">
        <is>
          <t>Transfer (CN) + Flash Sale (US)</t>
        </is>
      </c>
    </row>
    <row r="100" ht="18" customHeight="1" s="229">
      <c r="A100" s="403" t="inlineStr">
        <is>
          <t>Silky Knit Joggers</t>
        </is>
      </c>
      <c r="B100" s="404" t="inlineStr">
        <is>
          <t>Loungewear</t>
        </is>
      </c>
      <c r="C100" s="405" t="inlineStr">
        <is>
          <t>4 — LOW (natural sellthrough)</t>
        </is>
      </c>
      <c r="D100" s="409" t="n">
        <v>31</v>
      </c>
      <c r="E100" s="409" t="n">
        <v>132</v>
      </c>
      <c r="F100" s="409" t="n">
        <v>163</v>
      </c>
      <c r="G100" s="510" t="n">
        <v>4</v>
      </c>
      <c r="H100" s="409" t="inlineStr">
        <is>
          <t>$678</t>
        </is>
      </c>
      <c r="I100" s="508" t="inlineStr">
        <is>
          <t>$660</t>
        </is>
      </c>
      <c r="J100" s="409" t="inlineStr">
        <is>
          <t>Transfer (CN) + Flash Sale (US)</t>
        </is>
      </c>
    </row>
    <row r="101" ht="18" customHeight="1" s="229">
      <c r="A101" s="411" t="inlineStr">
        <is>
          <t>Dreamy Cotton Modal Lounge Set</t>
        </is>
      </c>
      <c r="B101" s="412" t="inlineStr">
        <is>
          <t>Loungewear</t>
        </is>
      </c>
      <c r="C101" s="413" t="inlineStr">
        <is>
          <t>3 — MEDIUM (selldown or markdown)</t>
        </is>
      </c>
      <c r="D101" s="417" t="n">
        <v>21</v>
      </c>
      <c r="E101" s="417" t="n">
        <v>136</v>
      </c>
      <c r="F101" s="417" t="n">
        <v>157</v>
      </c>
      <c r="G101" s="417" t="inlineStr">
        <is>
          <t>-</t>
        </is>
      </c>
      <c r="H101" s="417" t="inlineStr">
        <is>
          <t>$1,527</t>
        </is>
      </c>
      <c r="I101" s="509" t="inlineStr">
        <is>
          <t>$870</t>
        </is>
      </c>
      <c r="J101" s="417" t="inlineStr">
        <is>
          <t>Transfer Only</t>
        </is>
      </c>
    </row>
    <row r="102" ht="18" customHeight="1" s="229">
      <c r="A102" s="403" t="inlineStr">
        <is>
          <t>Cotton Cozy Long Sleeve Shirt</t>
        </is>
      </c>
      <c r="B102" s="404" t="inlineStr">
        <is>
          <t>Loungewear</t>
        </is>
      </c>
      <c r="C102" s="405" t="inlineStr">
        <is>
          <t>4 — LOW (natural sellthrough)</t>
        </is>
      </c>
      <c r="D102" s="409" t="n">
        <v>8</v>
      </c>
      <c r="E102" s="409" t="n">
        <v>147</v>
      </c>
      <c r="F102" s="409" t="n">
        <v>155</v>
      </c>
      <c r="G102" s="510" t="n">
        <v>8</v>
      </c>
      <c r="H102" s="409" t="inlineStr">
        <is>
          <t>$2,075</t>
        </is>
      </c>
      <c r="I102" s="508" t="inlineStr">
        <is>
          <t>$375</t>
        </is>
      </c>
      <c r="J102" s="409" t="inlineStr">
        <is>
          <t>Transfer (CN) + Flash Sale (US)</t>
        </is>
      </c>
    </row>
    <row r="103" ht="18" customHeight="1" s="229">
      <c r="A103" s="411" t="inlineStr">
        <is>
          <t>Ribbed Boucl√© Tank</t>
        </is>
      </c>
      <c r="B103" s="412" t="inlineStr">
        <is>
          <t>Loungewear</t>
        </is>
      </c>
      <c r="C103" s="413" t="inlineStr">
        <is>
          <t>4 — LOW (natural sellthrough)</t>
        </is>
      </c>
      <c r="D103" s="417" t="n">
        <v>28</v>
      </c>
      <c r="E103" s="417" t="n">
        <v>118</v>
      </c>
      <c r="F103" s="417" t="n">
        <v>146</v>
      </c>
      <c r="G103" s="417" t="inlineStr">
        <is>
          <t>-</t>
        </is>
      </c>
      <c r="H103" s="417" t="inlineStr">
        <is>
          <t>$430</t>
        </is>
      </c>
      <c r="I103" s="509" t="inlineStr">
        <is>
          <t>$420</t>
        </is>
      </c>
      <c r="J103" s="417" t="inlineStr">
        <is>
          <t>Transfer Only</t>
        </is>
      </c>
    </row>
    <row r="104" ht="18" customHeight="1" s="229">
      <c r="A104" s="403" t="inlineStr">
        <is>
          <t>Alpaca Wrap Cardigan</t>
        </is>
      </c>
      <c r="B104" s="404" t="inlineStr">
        <is>
          <t>Loungewear</t>
        </is>
      </c>
      <c r="C104" s="405" t="inlineStr">
        <is>
          <t>4 — LOW (natural sellthrough)</t>
        </is>
      </c>
      <c r="D104" s="409" t="n">
        <v>11</v>
      </c>
      <c r="E104" s="409" t="n">
        <v>133</v>
      </c>
      <c r="F104" s="409" t="n">
        <v>144</v>
      </c>
      <c r="G104" s="409" t="inlineStr">
        <is>
          <t>-</t>
        </is>
      </c>
      <c r="H104" s="409" t="inlineStr">
        <is>
          <t>$1,060</t>
        </is>
      </c>
      <c r="I104" s="508" t="inlineStr">
        <is>
          <t>$165</t>
        </is>
      </c>
      <c r="J104" s="409" t="inlineStr">
        <is>
          <t>Transfer Only</t>
        </is>
      </c>
    </row>
    <row r="105" ht="18" customHeight="1" s="229">
      <c r="A105" s="411" t="inlineStr">
        <is>
          <t>Wool Fleece Cocoon Jacket</t>
        </is>
      </c>
      <c r="B105" s="412" t="inlineStr">
        <is>
          <t>Loungewear</t>
        </is>
      </c>
      <c r="C105" s="413" t="inlineStr">
        <is>
          <t>3 — MEDIUM (selldown or markdown)</t>
        </is>
      </c>
      <c r="D105" s="417" t="n">
        <v>136</v>
      </c>
      <c r="E105" s="417" t="n">
        <v>0</v>
      </c>
      <c r="F105" s="417" t="n">
        <v>136</v>
      </c>
      <c r="G105" s="417" t="inlineStr">
        <is>
          <t>-</t>
        </is>
      </c>
      <c r="H105" s="417" t="inlineStr">
        <is>
          <t>$1,236</t>
        </is>
      </c>
      <c r="I105" s="509" t="inlineStr">
        <is>
          <t>$5,250</t>
        </is>
      </c>
      <c r="J105" s="417" t="inlineStr">
        <is>
          <t>Transfer Only</t>
        </is>
      </c>
    </row>
    <row r="106" ht="18" customHeight="1" s="229">
      <c r="A106" s="403" t="inlineStr">
        <is>
          <t>Plushy Pajama Top</t>
        </is>
      </c>
      <c r="B106" s="404" t="inlineStr">
        <is>
          <t>Loungewear</t>
        </is>
      </c>
      <c r="C106" s="405" t="inlineStr">
        <is>
          <t>2 — HIGH (excess inventory vs demand)</t>
        </is>
      </c>
      <c r="D106" s="409" t="n">
        <v>135</v>
      </c>
      <c r="E106" s="409" t="n">
        <v>0</v>
      </c>
      <c r="F106" s="409" t="n">
        <v>135</v>
      </c>
      <c r="G106" s="409" t="inlineStr">
        <is>
          <t>-</t>
        </is>
      </c>
      <c r="H106" s="409" t="inlineStr">
        <is>
          <t>$878</t>
        </is>
      </c>
      <c r="I106" s="508" t="inlineStr">
        <is>
          <t>$5,250</t>
        </is>
      </c>
      <c r="J106" s="409" t="inlineStr">
        <is>
          <t>Transfer Only</t>
        </is>
      </c>
    </row>
    <row r="107" ht="18" customHeight="1" s="229">
      <c r="A107" s="411" t="inlineStr">
        <is>
          <t>Knot Cardigan</t>
        </is>
      </c>
      <c r="B107" s="412" t="inlineStr">
        <is>
          <t>Loungewear</t>
        </is>
      </c>
      <c r="C107" s="413" t="inlineStr">
        <is>
          <t>4 — LOW (natural sellthrough)</t>
        </is>
      </c>
      <c r="D107" s="417" t="n">
        <v>34</v>
      </c>
      <c r="E107" s="417" t="n">
        <v>98</v>
      </c>
      <c r="F107" s="417" t="n">
        <v>132</v>
      </c>
      <c r="G107" s="417" t="inlineStr">
        <is>
          <t>-</t>
        </is>
      </c>
      <c r="H107" s="417" t="inlineStr">
        <is>
          <t>$1,831</t>
        </is>
      </c>
      <c r="I107" s="509" t="inlineStr">
        <is>
          <t>$510</t>
        </is>
      </c>
      <c r="J107" s="417" t="inlineStr">
        <is>
          <t>Transfer Only</t>
        </is>
      </c>
    </row>
    <row r="108" ht="18" customHeight="1" s="229">
      <c r="A108" s="403" t="inlineStr">
        <is>
          <t>Essential Classic Tee</t>
        </is>
      </c>
      <c r="B108" s="404" t="inlineStr">
        <is>
          <t>Loungewear</t>
        </is>
      </c>
      <c r="C108" s="405" t="inlineStr">
        <is>
          <t>4 — LOW (natural sellthrough)</t>
        </is>
      </c>
      <c r="D108" s="409" t="n">
        <v>10</v>
      </c>
      <c r="E108" s="409" t="n">
        <v>122</v>
      </c>
      <c r="F108" s="409" t="n">
        <v>132</v>
      </c>
      <c r="G108" s="510" t="n">
        <v>2</v>
      </c>
      <c r="H108" s="409" t="inlineStr">
        <is>
          <t>$228</t>
        </is>
      </c>
      <c r="I108" s="508" t="inlineStr">
        <is>
          <t>$210</t>
        </is>
      </c>
      <c r="J108" s="409" t="inlineStr">
        <is>
          <t>Transfer (CN) + Flash Sale (US)</t>
        </is>
      </c>
    </row>
    <row r="109" ht="18" customHeight="1" s="229">
      <c r="A109" s="411" t="inlineStr">
        <is>
          <t>Classic Cozy Fleece Robe 2.0</t>
        </is>
      </c>
      <c r="B109" s="412" t="inlineStr">
        <is>
          <t>Loungewear</t>
        </is>
      </c>
      <c r="C109" s="413" t="inlineStr">
        <is>
          <t>4 — LOW (natural sellthrough)</t>
        </is>
      </c>
      <c r="D109" s="417" t="n">
        <v>5</v>
      </c>
      <c r="E109" s="417" t="n">
        <v>122</v>
      </c>
      <c r="F109" s="417" t="n">
        <v>127</v>
      </c>
      <c r="G109" s="511" t="n">
        <v>2</v>
      </c>
      <c r="H109" s="417" t="inlineStr">
        <is>
          <t>$1,943</t>
        </is>
      </c>
      <c r="I109" s="509" t="inlineStr">
        <is>
          <t>$315</t>
        </is>
      </c>
      <c r="J109" s="417" t="inlineStr">
        <is>
          <t>Transfer (CN) + Flash Sale (US)</t>
        </is>
      </c>
    </row>
    <row r="110" ht="18" customHeight="1" s="229">
      <c r="A110" s="403" t="inlineStr">
        <is>
          <t>Wool Fleece Cocoon Pants</t>
        </is>
      </c>
      <c r="B110" s="404" t="inlineStr">
        <is>
          <t>Loungewear</t>
        </is>
      </c>
      <c r="C110" s="405" t="inlineStr">
        <is>
          <t>2 — HIGH (excess inventory vs demand)</t>
        </is>
      </c>
      <c r="D110" s="409" t="n">
        <v>124</v>
      </c>
      <c r="E110" s="409" t="n">
        <v>0</v>
      </c>
      <c r="F110" s="409" t="n">
        <v>124</v>
      </c>
      <c r="G110" s="409" t="inlineStr">
        <is>
          <t>-</t>
        </is>
      </c>
      <c r="H110" s="409" t="inlineStr">
        <is>
          <t>$707</t>
        </is>
      </c>
      <c r="I110" s="508" t="inlineStr">
        <is>
          <t>$5,145</t>
        </is>
      </c>
      <c r="J110" s="409" t="inlineStr">
        <is>
          <t>Transfer Only</t>
        </is>
      </c>
    </row>
    <row r="111" ht="18" customHeight="1" s="229">
      <c r="A111" s="411" t="inlineStr">
        <is>
          <t>Stroll Short Sleeve Pajama Top</t>
        </is>
      </c>
      <c r="B111" s="412" t="inlineStr">
        <is>
          <t>Loungewear</t>
        </is>
      </c>
      <c r="C111" s="413" t="inlineStr">
        <is>
          <t>4 — LOW (natural sellthrough)</t>
        </is>
      </c>
      <c r="D111" s="417" t="n">
        <v>8</v>
      </c>
      <c r="E111" s="417" t="n">
        <v>109</v>
      </c>
      <c r="F111" s="417" t="n">
        <v>117</v>
      </c>
      <c r="G111" s="511" t="n">
        <v>3</v>
      </c>
      <c r="H111" s="417" t="inlineStr">
        <is>
          <t>$27</t>
        </is>
      </c>
      <c r="I111" s="509" t="inlineStr">
        <is>
          <t>$180</t>
        </is>
      </c>
      <c r="J111" s="417" t="inlineStr">
        <is>
          <t>Transfer (CN) + Flash Sale (US)</t>
        </is>
      </c>
    </row>
    <row r="112" ht="18" customHeight="1" s="229">
      <c r="A112" s="403" t="inlineStr">
        <is>
          <t>Teddy Fleece Jacket</t>
        </is>
      </c>
      <c r="B112" s="404" t="inlineStr">
        <is>
          <t>Loungewear</t>
        </is>
      </c>
      <c r="C112" s="405" t="inlineStr">
        <is>
          <t>4 — LOW (natural sellthrough)</t>
        </is>
      </c>
      <c r="D112" s="409" t="n">
        <v>5</v>
      </c>
      <c r="E112" s="409" t="n">
        <v>111</v>
      </c>
      <c r="F112" s="409" t="n">
        <v>116</v>
      </c>
      <c r="G112" s="409" t="inlineStr">
        <is>
          <t>-</t>
        </is>
      </c>
      <c r="H112" s="409" t="inlineStr">
        <is>
          <t>$1,323</t>
        </is>
      </c>
      <c r="I112" s="508" t="inlineStr">
        <is>
          <t>$225</t>
        </is>
      </c>
      <c r="J112" s="409" t="inlineStr">
        <is>
          <t>Transfer Only</t>
        </is>
      </c>
    </row>
    <row r="113" ht="18" customHeight="1" s="229">
      <c r="A113" s="411" t="inlineStr">
        <is>
          <t>Laid Back Ribbed Pajama Pants</t>
        </is>
      </c>
      <c r="B113" s="412" t="inlineStr">
        <is>
          <t>Loungewear</t>
        </is>
      </c>
      <c r="C113" s="413" t="inlineStr">
        <is>
          <t>3 — MEDIUM (selldown or markdown)</t>
        </is>
      </c>
      <c r="D113" s="417" t="n">
        <v>29</v>
      </c>
      <c r="E113" s="417" t="n">
        <v>84</v>
      </c>
      <c r="F113" s="417" t="n">
        <v>113</v>
      </c>
      <c r="G113" s="511" t="n">
        <v>14</v>
      </c>
      <c r="H113" s="417" t="inlineStr">
        <is>
          <t>$563</t>
        </is>
      </c>
      <c r="I113" s="509" t="inlineStr">
        <is>
          <t>$840</t>
        </is>
      </c>
      <c r="J113" s="417" t="inlineStr">
        <is>
          <t>Transfer (CN) + Flash Sale (US)</t>
        </is>
      </c>
    </row>
    <row r="114" ht="18" customHeight="1" s="229">
      <c r="A114" s="403" t="inlineStr">
        <is>
          <t>Sofa Shorts</t>
        </is>
      </c>
      <c r="B114" s="404" t="inlineStr">
        <is>
          <t>Loungewear</t>
        </is>
      </c>
      <c r="C114" s="405" t="inlineStr">
        <is>
          <t>4 — LOW (natural sellthrough)</t>
        </is>
      </c>
      <c r="D114" s="409" t="n">
        <v>9</v>
      </c>
      <c r="E114" s="409" t="n">
        <v>102</v>
      </c>
      <c r="F114" s="409" t="n">
        <v>111</v>
      </c>
      <c r="G114" s="409" t="inlineStr">
        <is>
          <t>-</t>
        </is>
      </c>
      <c r="H114" s="409" t="inlineStr">
        <is>
          <t>$274</t>
        </is>
      </c>
      <c r="I114" s="508" t="inlineStr">
        <is>
          <t>$270</t>
        </is>
      </c>
      <c r="J114" s="409" t="inlineStr">
        <is>
          <t>Transfer Only</t>
        </is>
      </c>
    </row>
    <row r="115" ht="18" customHeight="1" s="229">
      <c r="A115" s="411" t="inlineStr">
        <is>
          <t>Dreamy Cotton Modal Cami Lounge Set</t>
        </is>
      </c>
      <c r="B115" s="412" t="inlineStr">
        <is>
          <t>Loungewear</t>
        </is>
      </c>
      <c r="C115" s="413" t="inlineStr">
        <is>
          <t>4 — LOW (natural sellthrough)</t>
        </is>
      </c>
      <c r="D115" s="417" t="n">
        <v>19</v>
      </c>
      <c r="E115" s="417" t="n">
        <v>87</v>
      </c>
      <c r="F115" s="417" t="n">
        <v>106</v>
      </c>
      <c r="G115" s="417" t="inlineStr">
        <is>
          <t>-</t>
        </is>
      </c>
      <c r="H115" s="417" t="inlineStr">
        <is>
          <t>$387</t>
        </is>
      </c>
      <c r="I115" s="509" t="inlineStr">
        <is>
          <t>$390</t>
        </is>
      </c>
      <c r="J115" s="417" t="inlineStr">
        <is>
          <t>Transfer Only</t>
        </is>
      </c>
    </row>
    <row r="116" ht="18" customHeight="1" s="229">
      <c r="A116" s="403" t="inlineStr">
        <is>
          <t>Maternity Leggings</t>
        </is>
      </c>
      <c r="B116" s="404" t="inlineStr">
        <is>
          <t>Loungewear</t>
        </is>
      </c>
      <c r="C116" s="405" t="inlineStr">
        <is>
          <t>3 — MEDIUM (selldown or markdown)</t>
        </is>
      </c>
      <c r="D116" s="409" t="n">
        <v>24</v>
      </c>
      <c r="E116" s="409" t="n">
        <v>81</v>
      </c>
      <c r="F116" s="409" t="n">
        <v>105</v>
      </c>
      <c r="G116" s="409" t="inlineStr">
        <is>
          <t>-</t>
        </is>
      </c>
      <c r="H116" s="409" t="inlineStr">
        <is>
          <t>$1,281</t>
        </is>
      </c>
      <c r="I116" s="508" t="inlineStr">
        <is>
          <t>$1,080</t>
        </is>
      </c>
      <c r="J116" s="409" t="inlineStr">
        <is>
          <t>Transfer Only</t>
        </is>
      </c>
    </row>
    <row r="117" ht="18" customHeight="1" s="229">
      <c r="A117" s="411" t="inlineStr">
        <is>
          <t>Hang Out Cotton Casual Shorts</t>
        </is>
      </c>
      <c r="B117" s="412" t="inlineStr">
        <is>
          <t>Loungewear</t>
        </is>
      </c>
      <c r="C117" s="413" t="inlineStr">
        <is>
          <t>4 — LOW (natural sellthrough)</t>
        </is>
      </c>
      <c r="D117" s="417" t="n">
        <v>12</v>
      </c>
      <c r="E117" s="417" t="n">
        <v>93</v>
      </c>
      <c r="F117" s="417" t="n">
        <v>105</v>
      </c>
      <c r="G117" s="417" t="inlineStr">
        <is>
          <t>-</t>
        </is>
      </c>
      <c r="H117" s="417" t="inlineStr">
        <is>
          <t>$204</t>
        </is>
      </c>
      <c r="I117" s="509" t="inlineStr">
        <is>
          <t>$300</t>
        </is>
      </c>
      <c r="J117" s="417" t="inlineStr">
        <is>
          <t>Transfer Only</t>
        </is>
      </c>
    </row>
    <row r="118" ht="18" customHeight="1" s="229">
      <c r="A118" s="403" t="inlineStr">
        <is>
          <t>Cotton Jacquard Pajama Top</t>
        </is>
      </c>
      <c r="B118" s="404" t="inlineStr">
        <is>
          <t>Loungewear</t>
        </is>
      </c>
      <c r="C118" s="405" t="inlineStr">
        <is>
          <t>2 — HIGH (excess inventory vs demand)</t>
        </is>
      </c>
      <c r="D118" s="409" t="n">
        <v>96</v>
      </c>
      <c r="E118" s="409" t="n">
        <v>8</v>
      </c>
      <c r="F118" s="409" t="n">
        <v>104</v>
      </c>
      <c r="G118" s="409" t="inlineStr">
        <is>
          <t>-</t>
        </is>
      </c>
      <c r="H118" s="409" t="inlineStr">
        <is>
          <t>$659</t>
        </is>
      </c>
      <c r="I118" s="508" t="inlineStr">
        <is>
          <t>$4,290</t>
        </is>
      </c>
      <c r="J118" s="409" t="inlineStr">
        <is>
          <t>Transfer Only</t>
        </is>
      </c>
    </row>
    <row r="119" ht="18" customHeight="1" s="229">
      <c r="A119" s="411" t="inlineStr">
        <is>
          <t>Boundless Soft Tapered Pants</t>
        </is>
      </c>
      <c r="B119" s="412" t="inlineStr">
        <is>
          <t>Loungewear</t>
        </is>
      </c>
      <c r="C119" s="413" t="inlineStr">
        <is>
          <t>4 — LOW (natural sellthrough)</t>
        </is>
      </c>
      <c r="D119" s="417" t="n">
        <v>8</v>
      </c>
      <c r="E119" s="417" t="n">
        <v>96</v>
      </c>
      <c r="F119" s="417" t="n">
        <v>104</v>
      </c>
      <c r="G119" s="511" t="n">
        <v>13</v>
      </c>
      <c r="H119" s="417" t="inlineStr">
        <is>
          <t>$1,669</t>
        </is>
      </c>
      <c r="I119" s="509" t="inlineStr">
        <is>
          <t>$555</t>
        </is>
      </c>
      <c r="J119" s="417" t="inlineStr">
        <is>
          <t>Transfer (CN) + Flash Sale (US)</t>
        </is>
      </c>
    </row>
    <row r="120" ht="18" customHeight="1" s="229">
      <c r="A120" s="403" t="inlineStr">
        <is>
          <t>Knitted Tapered Joggers</t>
        </is>
      </c>
      <c r="B120" s="404" t="inlineStr">
        <is>
          <t>Loungewear</t>
        </is>
      </c>
      <c r="C120" s="405" t="inlineStr">
        <is>
          <t>2 — HIGH (excess inventory vs demand)</t>
        </is>
      </c>
      <c r="D120" s="409" t="n">
        <v>94</v>
      </c>
      <c r="E120" s="409" t="n">
        <v>8</v>
      </c>
      <c r="F120" s="409" t="n">
        <v>102</v>
      </c>
      <c r="G120" s="409" t="inlineStr">
        <is>
          <t>-</t>
        </is>
      </c>
      <c r="H120" s="409" t="inlineStr">
        <is>
          <t>$418</t>
        </is>
      </c>
      <c r="I120" s="508" t="inlineStr">
        <is>
          <t>$2,640</t>
        </is>
      </c>
      <c r="J120" s="409" t="inlineStr">
        <is>
          <t>Transfer Only</t>
        </is>
      </c>
    </row>
    <row r="121" ht="18" customHeight="1" s="229">
      <c r="A121" s="411" t="inlineStr">
        <is>
          <t>Boat Neck Merino Wool Sweater</t>
        </is>
      </c>
      <c r="B121" s="412" t="inlineStr">
        <is>
          <t>Loungewear</t>
        </is>
      </c>
      <c r="C121" s="413" t="inlineStr">
        <is>
          <t>4 — LOW (natural sellthrough)</t>
        </is>
      </c>
      <c r="D121" s="417" t="n">
        <v>8</v>
      </c>
      <c r="E121" s="417" t="n">
        <v>90</v>
      </c>
      <c r="F121" s="417" t="n">
        <v>98</v>
      </c>
      <c r="G121" s="417" t="inlineStr">
        <is>
          <t>-</t>
        </is>
      </c>
      <c r="H121" s="417" t="inlineStr">
        <is>
          <t>$907</t>
        </is>
      </c>
      <c r="I121" s="509" t="inlineStr">
        <is>
          <t>$225</t>
        </is>
      </c>
      <c r="J121" s="417" t="inlineStr">
        <is>
          <t>Transfer Only</t>
        </is>
      </c>
    </row>
    <row r="122" ht="18" customHeight="1" s="229">
      <c r="A122" s="403" t="inlineStr">
        <is>
          <t>Washable Wool Cardigan</t>
        </is>
      </c>
      <c r="B122" s="404" t="inlineStr">
        <is>
          <t>Loungewear</t>
        </is>
      </c>
      <c r="C122" s="405" t="inlineStr">
        <is>
          <t>4 — LOW (natural sellthrough)</t>
        </is>
      </c>
      <c r="D122" s="409" t="n">
        <v>32</v>
      </c>
      <c r="E122" s="409" t="n">
        <v>65</v>
      </c>
      <c r="F122" s="409" t="n">
        <v>97</v>
      </c>
      <c r="G122" s="409" t="inlineStr">
        <is>
          <t>-</t>
        </is>
      </c>
      <c r="H122" s="409" t="inlineStr">
        <is>
          <t>$2,210</t>
        </is>
      </c>
      <c r="I122" s="508" t="inlineStr">
        <is>
          <t>$690</t>
        </is>
      </c>
      <c r="J122" s="409" t="inlineStr">
        <is>
          <t>Transfer Only</t>
        </is>
      </c>
    </row>
    <row r="123" ht="18" customHeight="1" s="229">
      <c r="A123" s="411" t="inlineStr">
        <is>
          <t>Stroll Long Sleeve Pajama Top</t>
        </is>
      </c>
      <c r="B123" s="412" t="inlineStr">
        <is>
          <t>Loungewear</t>
        </is>
      </c>
      <c r="C123" s="413" t="inlineStr">
        <is>
          <t>4 — LOW (natural sellthrough)</t>
        </is>
      </c>
      <c r="D123" s="417" t="n">
        <v>24</v>
      </c>
      <c r="E123" s="417" t="n">
        <v>65</v>
      </c>
      <c r="F123" s="417" t="n">
        <v>89</v>
      </c>
      <c r="G123" s="417" t="inlineStr">
        <is>
          <t>-</t>
        </is>
      </c>
      <c r="H123" s="417" t="inlineStr">
        <is>
          <t>$54</t>
        </is>
      </c>
      <c r="I123" s="509" t="inlineStr">
        <is>
          <t>$210</t>
        </is>
      </c>
      <c r="J123" s="417" t="inlineStr">
        <is>
          <t>Transfer Only</t>
        </is>
      </c>
    </row>
    <row r="124" ht="18" customHeight="1" s="229">
      <c r="A124" s="403" t="inlineStr">
        <is>
          <t>Knitted V-Neck Sweater</t>
        </is>
      </c>
      <c r="B124" s="404" t="inlineStr">
        <is>
          <t>Loungewear</t>
        </is>
      </c>
      <c r="C124" s="405" t="inlineStr">
        <is>
          <t>4 — LOW (natural sellthrough)</t>
        </is>
      </c>
      <c r="D124" s="409" t="n">
        <v>16</v>
      </c>
      <c r="E124" s="409" t="n">
        <v>73</v>
      </c>
      <c r="F124" s="409" t="n">
        <v>89</v>
      </c>
      <c r="G124" s="409" t="inlineStr">
        <is>
          <t>-</t>
        </is>
      </c>
      <c r="H124" s="409" t="inlineStr">
        <is>
          <t>$795</t>
        </is>
      </c>
      <c r="I124" s="508" t="inlineStr">
        <is>
          <t>$510</t>
        </is>
      </c>
      <c r="J124" s="409" t="inlineStr">
        <is>
          <t>Transfer Only</t>
        </is>
      </c>
    </row>
    <row r="125" ht="18" customHeight="1" s="229">
      <c r="A125" s="411" t="inlineStr">
        <is>
          <t>Cozy V-Neck Top</t>
        </is>
      </c>
      <c r="B125" s="412" t="inlineStr">
        <is>
          <t>Loungewear</t>
        </is>
      </c>
      <c r="C125" s="413" t="inlineStr">
        <is>
          <t>4 — LOW (natural sellthrough)</t>
        </is>
      </c>
      <c r="D125" s="417" t="n">
        <v>14</v>
      </c>
      <c r="E125" s="417" t="n">
        <v>73</v>
      </c>
      <c r="F125" s="417" t="n">
        <v>87</v>
      </c>
      <c r="G125" s="417" t="inlineStr">
        <is>
          <t>-</t>
        </is>
      </c>
      <c r="H125" s="417" t="inlineStr">
        <is>
          <t>$535</t>
        </is>
      </c>
      <c r="I125" s="509" t="inlineStr">
        <is>
          <t>$480</t>
        </is>
      </c>
      <c r="J125" s="417" t="inlineStr">
        <is>
          <t>Transfer Only</t>
        </is>
      </c>
    </row>
    <row r="126" ht="18" customHeight="1" s="229">
      <c r="A126" s="403" t="inlineStr">
        <is>
          <t>Low-Rise Trousers</t>
        </is>
      </c>
      <c r="B126" s="404" t="inlineStr">
        <is>
          <t>Loungewear</t>
        </is>
      </c>
      <c r="C126" s="405" t="inlineStr">
        <is>
          <t>2 — HIGH (dead product)</t>
        </is>
      </c>
      <c r="D126" s="409" t="n">
        <v>38</v>
      </c>
      <c r="E126" s="409" t="n">
        <v>48</v>
      </c>
      <c r="F126" s="409" t="n">
        <v>86</v>
      </c>
      <c r="G126" s="510" t="n">
        <v>5</v>
      </c>
      <c r="H126" s="409" t="inlineStr">
        <is>
          <t>$0</t>
        </is>
      </c>
      <c r="I126" s="508" t="inlineStr">
        <is>
          <t>$15</t>
        </is>
      </c>
      <c r="J126" s="409" t="inlineStr">
        <is>
          <t>Transfer (CN) + Flash Sale (US)</t>
        </is>
      </c>
    </row>
    <row r="127" ht="18" customHeight="1" s="229">
      <c r="A127" s="411" t="inlineStr">
        <is>
          <t>Silky Wool Zip Up Cardigan</t>
        </is>
      </c>
      <c r="B127" s="412" t="inlineStr">
        <is>
          <t>Loungewear</t>
        </is>
      </c>
      <c r="C127" s="413" t="inlineStr">
        <is>
          <t>4 — LOW (natural sellthrough)</t>
        </is>
      </c>
      <c r="D127" s="417" t="n">
        <v>21</v>
      </c>
      <c r="E127" s="417" t="n">
        <v>65</v>
      </c>
      <c r="F127" s="417" t="n">
        <v>86</v>
      </c>
      <c r="G127" s="511" t="n">
        <v>5</v>
      </c>
      <c r="H127" s="417" t="inlineStr">
        <is>
          <t>$2,627</t>
        </is>
      </c>
      <c r="I127" s="509" t="inlineStr">
        <is>
          <t>$720</t>
        </is>
      </c>
      <c r="J127" s="417" t="inlineStr">
        <is>
          <t>Transfer (CN) + Flash Sale (US)</t>
        </is>
      </c>
    </row>
    <row r="128" ht="18" customHeight="1" s="229">
      <c r="A128" s="403" t="inlineStr">
        <is>
          <t>Classic Cozy Padded Pajama Dress</t>
        </is>
      </c>
      <c r="B128" s="404" t="inlineStr">
        <is>
          <t>Loungewear</t>
        </is>
      </c>
      <c r="C128" s="405" t="inlineStr">
        <is>
          <t>3 — MEDIUM (selldown or markdown)</t>
        </is>
      </c>
      <c r="D128" s="409" t="n">
        <v>19</v>
      </c>
      <c r="E128" s="409" t="n">
        <v>66</v>
      </c>
      <c r="F128" s="409" t="n">
        <v>85</v>
      </c>
      <c r="G128" s="409" t="inlineStr">
        <is>
          <t>-</t>
        </is>
      </c>
      <c r="H128" s="409" t="inlineStr">
        <is>
          <t>$3,436</t>
        </is>
      </c>
      <c r="I128" s="508" t="inlineStr">
        <is>
          <t>$810</t>
        </is>
      </c>
      <c r="J128" s="409" t="inlineStr">
        <is>
          <t>Transfer Only</t>
        </is>
      </c>
    </row>
    <row r="129" ht="18" customHeight="1" s="229">
      <c r="A129" s="411" t="inlineStr">
        <is>
          <t>Cotton Jacquard Pajama Pants</t>
        </is>
      </c>
      <c r="B129" s="412" t="inlineStr">
        <is>
          <t>Loungewear</t>
        </is>
      </c>
      <c r="C129" s="413" t="inlineStr">
        <is>
          <t>2 — HIGH (excess inventory vs demand)</t>
        </is>
      </c>
      <c r="D129" s="417" t="n">
        <v>84</v>
      </c>
      <c r="E129" s="417" t="n">
        <v>0</v>
      </c>
      <c r="F129" s="417" t="n">
        <v>84</v>
      </c>
      <c r="G129" s="417" t="inlineStr">
        <is>
          <t>-</t>
        </is>
      </c>
      <c r="H129" s="417" t="inlineStr">
        <is>
          <t>$681</t>
        </is>
      </c>
      <c r="I129" s="509" t="inlineStr">
        <is>
          <t>$3,780</t>
        </is>
      </c>
      <c r="J129" s="417" t="inlineStr">
        <is>
          <t>Transfer Only</t>
        </is>
      </c>
    </row>
    <row r="130" ht="18" customHeight="1" s="229">
      <c r="A130" s="403" t="inlineStr">
        <is>
          <t>Straight Leg Pajama Pants</t>
        </is>
      </c>
      <c r="B130" s="404" t="inlineStr">
        <is>
          <t>Loungewear</t>
        </is>
      </c>
      <c r="C130" s="405" t="inlineStr">
        <is>
          <t>4 — LOW (natural sellthrough)</t>
        </is>
      </c>
      <c r="D130" s="409" t="n">
        <v>8</v>
      </c>
      <c r="E130" s="409" t="n">
        <v>71</v>
      </c>
      <c r="F130" s="409" t="n">
        <v>79</v>
      </c>
      <c r="G130" s="510" t="n">
        <v>1</v>
      </c>
      <c r="H130" s="409" t="inlineStr">
        <is>
          <t>$422</t>
        </is>
      </c>
      <c r="I130" s="508" t="inlineStr">
        <is>
          <t>$255</t>
        </is>
      </c>
      <c r="J130" s="409" t="inlineStr">
        <is>
          <t>Transfer (CN) + Flash Sale (US)</t>
        </is>
      </c>
    </row>
    <row r="131" ht="18" customHeight="1" s="229">
      <c r="A131" s="411" t="inlineStr">
        <is>
          <t>Short Sleeve Drape-Front Sweater</t>
        </is>
      </c>
      <c r="B131" s="412" t="inlineStr">
        <is>
          <t>Loungewear</t>
        </is>
      </c>
      <c r="C131" s="413" t="inlineStr">
        <is>
          <t>4 — LOW (natural sellthrough)</t>
        </is>
      </c>
      <c r="D131" s="417" t="n">
        <v>18</v>
      </c>
      <c r="E131" s="417" t="n">
        <v>52</v>
      </c>
      <c r="F131" s="417" t="n">
        <v>70</v>
      </c>
      <c r="G131" s="511" t="n">
        <v>7</v>
      </c>
      <c r="H131" s="417" t="inlineStr">
        <is>
          <t>$498</t>
        </is>
      </c>
      <c r="I131" s="509" t="inlineStr">
        <is>
          <t>$690</t>
        </is>
      </c>
      <c r="J131" s="417" t="inlineStr">
        <is>
          <t>Transfer (CN) + Flash Sale (US)</t>
        </is>
      </c>
    </row>
    <row r="132" ht="18" customHeight="1" s="229">
      <c r="A132" s="403" t="inlineStr">
        <is>
          <t>Hang Out Casual Pants</t>
        </is>
      </c>
      <c r="B132" s="404" t="inlineStr">
        <is>
          <t>Loungewear</t>
        </is>
      </c>
      <c r="C132" s="405" t="inlineStr">
        <is>
          <t>4 — LOW (natural sellthrough)</t>
        </is>
      </c>
      <c r="D132" s="409" t="n">
        <v>6</v>
      </c>
      <c r="E132" s="409" t="n">
        <v>58</v>
      </c>
      <c r="F132" s="409" t="n">
        <v>64</v>
      </c>
      <c r="G132" s="510" t="n">
        <v>18</v>
      </c>
      <c r="H132" s="409" t="inlineStr">
        <is>
          <t>$613</t>
        </is>
      </c>
      <c r="I132" s="508" t="inlineStr">
        <is>
          <t>$570</t>
        </is>
      </c>
      <c r="J132" s="409" t="inlineStr">
        <is>
          <t>Transfer (CN) + Flash Sale (US)</t>
        </is>
      </c>
    </row>
    <row r="133" ht="18" customHeight="1" s="229">
      <c r="A133" s="411" t="inlineStr">
        <is>
          <t>Sofa Camisole</t>
        </is>
      </c>
      <c r="B133" s="412" t="inlineStr">
        <is>
          <t>Loungewear</t>
        </is>
      </c>
      <c r="C133" s="413" t="inlineStr">
        <is>
          <t>4 — LOW (natural sellthrough)</t>
        </is>
      </c>
      <c r="D133" s="417" t="n">
        <v>17</v>
      </c>
      <c r="E133" s="417" t="n">
        <v>44</v>
      </c>
      <c r="F133" s="417" t="n">
        <v>61</v>
      </c>
      <c r="G133" s="417" t="inlineStr">
        <is>
          <t>-</t>
        </is>
      </c>
      <c r="H133" s="417" t="inlineStr">
        <is>
          <t>$251</t>
        </is>
      </c>
      <c r="I133" s="509" t="inlineStr">
        <is>
          <t>$525</t>
        </is>
      </c>
      <c r="J133" s="417" t="inlineStr">
        <is>
          <t>Transfer Only</t>
        </is>
      </c>
    </row>
    <row r="134" ht="18" customHeight="1" s="229">
      <c r="A134" s="403" t="inlineStr">
        <is>
          <t>Hang Out Crochet Camisole</t>
        </is>
      </c>
      <c r="B134" s="404" t="inlineStr">
        <is>
          <t>Loungewear</t>
        </is>
      </c>
      <c r="C134" s="405" t="inlineStr">
        <is>
          <t>4 — LOW (natural sellthrough)</t>
        </is>
      </c>
      <c r="D134" s="409" t="n">
        <v>12</v>
      </c>
      <c r="E134" s="409" t="n">
        <v>46</v>
      </c>
      <c r="F134" s="409" t="n">
        <v>58</v>
      </c>
      <c r="G134" s="409" t="inlineStr">
        <is>
          <t>-</t>
        </is>
      </c>
      <c r="H134" s="409" t="inlineStr">
        <is>
          <t>$263</t>
        </is>
      </c>
      <c r="I134" s="508" t="inlineStr">
        <is>
          <t>$540</t>
        </is>
      </c>
      <c r="J134" s="409" t="inlineStr">
        <is>
          <t>Transfer Only</t>
        </is>
      </c>
    </row>
    <row r="135" ht="18" customHeight="1" s="229">
      <c r="A135" s="411" t="inlineStr">
        <is>
          <t>Essential Cashmere Thermal Underwear Top</t>
        </is>
      </c>
      <c r="B135" s="412" t="inlineStr">
        <is>
          <t>Loungewear</t>
        </is>
      </c>
      <c r="C135" s="413" t="inlineStr">
        <is>
          <t>3 — MEDIUM (selldown or markdown)</t>
        </is>
      </c>
      <c r="D135" s="417" t="n">
        <v>49</v>
      </c>
      <c r="E135" s="417" t="n">
        <v>0</v>
      </c>
      <c r="F135" s="417" t="n">
        <v>49</v>
      </c>
      <c r="G135" s="417" t="inlineStr">
        <is>
          <t>-</t>
        </is>
      </c>
      <c r="H135" s="417" t="inlineStr">
        <is>
          <t>$1,847</t>
        </is>
      </c>
      <c r="I135" s="509" t="inlineStr">
        <is>
          <t>$1,635</t>
        </is>
      </c>
      <c r="J135" s="417" t="inlineStr">
        <is>
          <t>Transfer Only</t>
        </is>
      </c>
    </row>
    <row r="136" ht="18" customHeight="1" s="229">
      <c r="A136" s="403" t="inlineStr">
        <is>
          <t>Sun Block Shirt</t>
        </is>
      </c>
      <c r="B136" s="404" t="inlineStr">
        <is>
          <t>Loungewear</t>
        </is>
      </c>
      <c r="C136" s="405" t="inlineStr">
        <is>
          <t>2 — HIGH (excess inventory vs demand)</t>
        </is>
      </c>
      <c r="D136" s="409" t="n">
        <v>48</v>
      </c>
      <c r="E136" s="409" t="n">
        <v>0</v>
      </c>
      <c r="F136" s="409" t="n">
        <v>48</v>
      </c>
      <c r="G136" s="510" t="n">
        <v>21</v>
      </c>
      <c r="H136" s="409" t="inlineStr">
        <is>
          <t>$352</t>
        </is>
      </c>
      <c r="I136" s="508" t="inlineStr">
        <is>
          <t>$2,475</t>
        </is>
      </c>
      <c r="J136" s="409" t="inlineStr">
        <is>
          <t>Transfer (CN) + Flash Sale (US)</t>
        </is>
      </c>
    </row>
    <row r="137" ht="18" customHeight="1" s="229">
      <c r="A137" s="411" t="inlineStr">
        <is>
          <t>Vacation Slip Maxi Dress</t>
        </is>
      </c>
      <c r="B137" s="412" t="inlineStr">
        <is>
          <t>Loungewear</t>
        </is>
      </c>
      <c r="C137" s="413" t="inlineStr">
        <is>
          <t>4 — LOW (natural sellthrough)</t>
        </is>
      </c>
      <c r="D137" s="417" t="n">
        <v>16</v>
      </c>
      <c r="E137" s="417" t="n">
        <v>31</v>
      </c>
      <c r="F137" s="417" t="n">
        <v>47</v>
      </c>
      <c r="G137" s="417" t="inlineStr">
        <is>
          <t>-</t>
        </is>
      </c>
      <c r="H137" s="417" t="inlineStr">
        <is>
          <t>$67</t>
        </is>
      </c>
      <c r="I137" s="509" t="inlineStr">
        <is>
          <t>$75</t>
        </is>
      </c>
      <c r="J137" s="417" t="inlineStr">
        <is>
          <t>Transfer Only</t>
        </is>
      </c>
    </row>
    <row r="138" ht="18" customHeight="1" s="229">
      <c r="A138" s="403" t="inlineStr">
        <is>
          <t>Maternity Wrap Top</t>
        </is>
      </c>
      <c r="B138" s="404" t="inlineStr">
        <is>
          <t>Loungewear</t>
        </is>
      </c>
      <c r="C138" s="405" t="inlineStr">
        <is>
          <t>3 — MEDIUM (selldown or markdown)</t>
        </is>
      </c>
      <c r="D138" s="409" t="n">
        <v>11</v>
      </c>
      <c r="E138" s="409" t="n">
        <v>35</v>
      </c>
      <c r="F138" s="409" t="n">
        <v>46</v>
      </c>
      <c r="G138" s="510" t="n">
        <v>9</v>
      </c>
      <c r="H138" s="409" t="inlineStr">
        <is>
          <t>$951</t>
        </is>
      </c>
      <c r="I138" s="508" t="inlineStr">
        <is>
          <t>$840</t>
        </is>
      </c>
      <c r="J138" s="409" t="inlineStr">
        <is>
          <t>Transfer (CN) + Flash Sale (US)</t>
        </is>
      </c>
    </row>
    <row r="139" ht="18" customHeight="1" s="229">
      <c r="A139" s="411" t="inlineStr">
        <is>
          <t>Drape-Front Asymmetrical Sweater</t>
        </is>
      </c>
      <c r="B139" s="412" t="inlineStr">
        <is>
          <t>Loungewear</t>
        </is>
      </c>
      <c r="C139" s="413" t="inlineStr">
        <is>
          <t>4 — LOW (natural sellthrough)</t>
        </is>
      </c>
      <c r="D139" s="417" t="n">
        <v>15</v>
      </c>
      <c r="E139" s="417" t="n">
        <v>31</v>
      </c>
      <c r="F139" s="417" t="n">
        <v>46</v>
      </c>
      <c r="G139" s="417" t="inlineStr">
        <is>
          <t>-</t>
        </is>
      </c>
      <c r="H139" s="417" t="inlineStr">
        <is>
          <t>$585</t>
        </is>
      </c>
      <c r="I139" s="509" t="inlineStr">
        <is>
          <t>$585</t>
        </is>
      </c>
      <c r="J139" s="417" t="inlineStr">
        <is>
          <t>Transfer Only</t>
        </is>
      </c>
    </row>
    <row r="140" ht="18" customHeight="1" s="229">
      <c r="A140" s="403" t="inlineStr">
        <is>
          <t>Laid Back U-Neck Padded Camisole</t>
        </is>
      </c>
      <c r="B140" s="404" t="inlineStr">
        <is>
          <t>Loungewear</t>
        </is>
      </c>
      <c r="C140" s="405" t="inlineStr">
        <is>
          <t>4 — LOW (natural sellthrough)</t>
        </is>
      </c>
      <c r="D140" s="409" t="n">
        <v>0</v>
      </c>
      <c r="E140" s="409" t="n">
        <v>38</v>
      </c>
      <c r="F140" s="409" t="n">
        <v>38</v>
      </c>
      <c r="G140" s="510" t="n">
        <v>10</v>
      </c>
      <c r="H140" s="409" t="inlineStr">
        <is>
          <t>$184</t>
        </is>
      </c>
      <c r="I140" s="508" t="inlineStr">
        <is>
          <t>$450</t>
        </is>
      </c>
      <c r="J140" s="409" t="inlineStr">
        <is>
          <t>Transfer (CN) + Flash Sale (US)</t>
        </is>
      </c>
    </row>
    <row r="141" ht="18" customHeight="1" s="229">
      <c r="A141" s="411" t="inlineStr">
        <is>
          <t>Box Fit Pajama Top</t>
        </is>
      </c>
      <c r="B141" s="412" t="inlineStr">
        <is>
          <t>Loungewear</t>
        </is>
      </c>
      <c r="C141" s="413" t="inlineStr">
        <is>
          <t>4 — LOW (natural sellthrough)</t>
        </is>
      </c>
      <c r="D141" s="417" t="n">
        <v>7</v>
      </c>
      <c r="E141" s="417" t="n">
        <v>31</v>
      </c>
      <c r="F141" s="417" t="n">
        <v>38</v>
      </c>
      <c r="G141" s="511" t="n">
        <v>3</v>
      </c>
      <c r="H141" s="417" t="inlineStr">
        <is>
          <t>$240</t>
        </is>
      </c>
      <c r="I141" s="509" t="inlineStr">
        <is>
          <t>$210</t>
        </is>
      </c>
      <c r="J141" s="417" t="inlineStr">
        <is>
          <t>Transfer (CN) + Flash Sale (US)</t>
        </is>
      </c>
    </row>
    <row r="142" ht="18" customHeight="1" s="229">
      <c r="A142" s="403" t="inlineStr">
        <is>
          <t>Maternity Pajama Pants</t>
        </is>
      </c>
      <c r="B142" s="404" t="inlineStr">
        <is>
          <t>Loungewear</t>
        </is>
      </c>
      <c r="C142" s="405" t="inlineStr">
        <is>
          <t>4 — LOW (natural sellthrough)</t>
        </is>
      </c>
      <c r="D142" s="409" t="n">
        <v>5</v>
      </c>
      <c r="E142" s="409" t="n">
        <v>27</v>
      </c>
      <c r="F142" s="409" t="n">
        <v>32</v>
      </c>
      <c r="G142" s="510" t="n">
        <v>14</v>
      </c>
      <c r="H142" s="409" t="inlineStr">
        <is>
          <t>$1,073</t>
        </is>
      </c>
      <c r="I142" s="508" t="inlineStr">
        <is>
          <t>$480</t>
        </is>
      </c>
      <c r="J142" s="409" t="inlineStr">
        <is>
          <t>Transfer (CN) + Flash Sale (US)</t>
        </is>
      </c>
    </row>
    <row r="143" ht="18" customHeight="1" s="229">
      <c r="A143" s="411" t="inlineStr">
        <is>
          <t>Silky Knit Hoodie</t>
        </is>
      </c>
      <c r="B143" s="412" t="inlineStr">
        <is>
          <t>Loungewear</t>
        </is>
      </c>
      <c r="C143" s="413" t="inlineStr">
        <is>
          <t>3 — MEDIUM (selldown or markdown)</t>
        </is>
      </c>
      <c r="D143" s="417" t="n">
        <v>14</v>
      </c>
      <c r="E143" s="417" t="n">
        <v>12</v>
      </c>
      <c r="F143" s="417" t="n">
        <v>26</v>
      </c>
      <c r="G143" s="511" t="n">
        <v>16</v>
      </c>
      <c r="H143" s="417" t="inlineStr">
        <is>
          <t>$1,158</t>
        </is>
      </c>
      <c r="I143" s="509" t="inlineStr">
        <is>
          <t>$1,035</t>
        </is>
      </c>
      <c r="J143" s="417" t="inlineStr">
        <is>
          <t>Transfer (CN) + Flash Sale (US)</t>
        </is>
      </c>
    </row>
    <row r="144" ht="18" customHeight="1" s="229">
      <c r="A144" s="403" t="inlineStr">
        <is>
          <t>Mid-Rise Bootcut Jeans</t>
        </is>
      </c>
      <c r="B144" s="404" t="inlineStr">
        <is>
          <t>Loungewear</t>
        </is>
      </c>
      <c r="C144" s="405" t="inlineStr">
        <is>
          <t>3 — MEDIUM (selldown or markdown)</t>
        </is>
      </c>
      <c r="D144" s="409" t="n">
        <v>26</v>
      </c>
      <c r="E144" s="409" t="n">
        <v>0</v>
      </c>
      <c r="F144" s="409" t="n">
        <v>26</v>
      </c>
      <c r="G144" s="409" t="inlineStr">
        <is>
          <t>-</t>
        </is>
      </c>
      <c r="H144" s="409" t="inlineStr">
        <is>
          <t>$3,834</t>
        </is>
      </c>
      <c r="I144" s="508" t="inlineStr">
        <is>
          <t>$1,125</t>
        </is>
      </c>
      <c r="J144" s="409" t="inlineStr">
        <is>
          <t>Transfer Only</t>
        </is>
      </c>
    </row>
    <row r="145" ht="18" customHeight="1" s="229">
      <c r="A145" s="411" t="inlineStr">
        <is>
          <t>Padded Thermal Set</t>
        </is>
      </c>
      <c r="B145" s="412" t="inlineStr">
        <is>
          <t>Loungewear</t>
        </is>
      </c>
      <c r="C145" s="413" t="inlineStr">
        <is>
          <t>4 — LOW (natural sellthrough)</t>
        </is>
      </c>
      <c r="D145" s="417" t="n">
        <v>0</v>
      </c>
      <c r="E145" s="417" t="n">
        <v>25</v>
      </c>
      <c r="F145" s="417" t="n">
        <v>25</v>
      </c>
      <c r="G145" s="511" t="n">
        <v>14</v>
      </c>
      <c r="H145" s="417" t="inlineStr">
        <is>
          <t>$766</t>
        </is>
      </c>
      <c r="I145" s="509" t="inlineStr">
        <is>
          <t>$555</t>
        </is>
      </c>
      <c r="J145" s="417" t="inlineStr">
        <is>
          <t>Transfer (CN) + Flash Sale (US)</t>
        </is>
      </c>
    </row>
    <row r="146" ht="18" customHeight="1" s="229">
      <c r="A146" s="403" t="inlineStr">
        <is>
          <t>Shimmer Mock Neck Sweater</t>
        </is>
      </c>
      <c r="B146" s="404" t="inlineStr">
        <is>
          <t>Loungewear</t>
        </is>
      </c>
      <c r="C146" s="405" t="inlineStr">
        <is>
          <t>4 — LOW (natural sellthrough)</t>
        </is>
      </c>
      <c r="D146" s="409" t="n">
        <v>15</v>
      </c>
      <c r="E146" s="409" t="n">
        <v>7</v>
      </c>
      <c r="F146" s="409" t="n">
        <v>22</v>
      </c>
      <c r="G146" s="409" t="inlineStr">
        <is>
          <t>-</t>
        </is>
      </c>
      <c r="H146" s="409" t="inlineStr">
        <is>
          <t>$1,028</t>
        </is>
      </c>
      <c r="I146" s="508" t="inlineStr">
        <is>
          <t>$495</t>
        </is>
      </c>
      <c r="J146" s="409" t="inlineStr">
        <is>
          <t>Transfer Only</t>
        </is>
      </c>
    </row>
    <row r="147" ht="18" customHeight="1" s="229">
      <c r="A147" s="411" t="inlineStr">
        <is>
          <t>Plush Fleece Pajama Set</t>
        </is>
      </c>
      <c r="B147" s="412" t="inlineStr">
        <is>
          <t>Loungewear</t>
        </is>
      </c>
      <c r="C147" s="413" t="inlineStr">
        <is>
          <t>4 — LOW (natural sellthrough)</t>
        </is>
      </c>
      <c r="D147" s="417" t="n">
        <v>5</v>
      </c>
      <c r="E147" s="417" t="n">
        <v>6</v>
      </c>
      <c r="F147" s="417" t="n">
        <v>11</v>
      </c>
      <c r="G147" s="511" t="n">
        <v>10</v>
      </c>
      <c r="H147" s="417" t="inlineStr">
        <is>
          <t>$1,326</t>
        </is>
      </c>
      <c r="I147" s="509" t="inlineStr">
        <is>
          <t>$675</t>
        </is>
      </c>
      <c r="J147" s="417" t="inlineStr">
        <is>
          <t>Transfer (CN) + Flash Sale (US)</t>
        </is>
      </c>
    </row>
    <row r="148" ht="18" customHeight="1" s="229">
      <c r="A148" s="403" t="inlineStr">
        <is>
          <t>Classic Cozy Fleece Pajama Top</t>
        </is>
      </c>
      <c r="B148" s="404" t="inlineStr">
        <is>
          <t>Loungewear</t>
        </is>
      </c>
      <c r="C148" s="405" t="inlineStr">
        <is>
          <t>4 — LOW (natural sellthrough)</t>
        </is>
      </c>
      <c r="D148" s="409" t="n">
        <v>11</v>
      </c>
      <c r="E148" s="409" t="n">
        <v>0</v>
      </c>
      <c r="F148" s="409" t="n">
        <v>11</v>
      </c>
      <c r="G148" s="510" t="n">
        <v>3</v>
      </c>
      <c r="H148" s="409" t="inlineStr">
        <is>
          <t>$401</t>
        </is>
      </c>
      <c r="I148" s="508" t="inlineStr">
        <is>
          <t>$495</t>
        </is>
      </c>
      <c r="J148" s="409" t="inlineStr">
        <is>
          <t>Transfer (CN) + Flash Sale (US)</t>
        </is>
      </c>
    </row>
    <row r="149" ht="18" customHeight="1" s="229">
      <c r="A149" s="411" t="inlineStr">
        <is>
          <t>Flower Print Classic Embroidered Pajama Top</t>
        </is>
      </c>
      <c r="B149" s="412" t="inlineStr">
        <is>
          <t>Loungewear</t>
        </is>
      </c>
      <c r="C149" s="413" t="inlineStr">
        <is>
          <t>4 — LOW (natural sellthrough)</t>
        </is>
      </c>
      <c r="D149" s="417" t="n">
        <v>6</v>
      </c>
      <c r="E149" s="417" t="n">
        <v>0</v>
      </c>
      <c r="F149" s="417" t="n">
        <v>6</v>
      </c>
      <c r="G149" s="511" t="n">
        <v>7</v>
      </c>
      <c r="H149" s="417" t="inlineStr">
        <is>
          <t>$136</t>
        </is>
      </c>
      <c r="I149" s="509" t="inlineStr">
        <is>
          <t>$495</t>
        </is>
      </c>
      <c r="J149" s="417" t="inlineStr">
        <is>
          <t>Transfer (CN) + Flash Sale (US)</t>
        </is>
      </c>
    </row>
    <row r="150" ht="18" customHeight="1" s="229">
      <c r="A150" s="403" t="inlineStr">
        <is>
          <t>UltraFlex Cotton Padded Camisole</t>
        </is>
      </c>
      <c r="B150" s="404" t="inlineStr">
        <is>
          <t>Loungewear</t>
        </is>
      </c>
      <c r="C150" s="405" t="inlineStr">
        <is>
          <t>4 — LOW (natural sellthrough)</t>
        </is>
      </c>
      <c r="D150" s="409" t="n">
        <v>5</v>
      </c>
      <c r="E150" s="409" t="n">
        <v>0</v>
      </c>
      <c r="F150" s="409" t="n">
        <v>5</v>
      </c>
      <c r="G150" s="510" t="n">
        <v>26</v>
      </c>
      <c r="H150" s="409" t="inlineStr">
        <is>
          <t>$1,394</t>
        </is>
      </c>
      <c r="I150" s="508" t="inlineStr">
        <is>
          <t>$660</t>
        </is>
      </c>
      <c r="J150" s="409" t="inlineStr">
        <is>
          <t>Transfer (CN) + Flash Sale (US)</t>
        </is>
      </c>
    </row>
    <row r="151" ht="18" customHeight="1" s="229">
      <c r="A151" s="411" t="inlineStr">
        <is>
          <t>Sherpa Fleece Pajama Set</t>
        </is>
      </c>
      <c r="B151" s="412" t="inlineStr">
        <is>
          <t>Loungewear</t>
        </is>
      </c>
      <c r="C151" s="413" t="inlineStr">
        <is>
          <t>4 — LOW (natural sellthrough)</t>
        </is>
      </c>
      <c r="D151" s="417" t="n">
        <v>3</v>
      </c>
      <c r="E151" s="417" t="n">
        <v>0</v>
      </c>
      <c r="F151" s="417" t="n">
        <v>3</v>
      </c>
      <c r="G151" s="417" t="inlineStr">
        <is>
          <t>-</t>
        </is>
      </c>
      <c r="H151" s="417" t="inlineStr">
        <is>
          <t>$517</t>
        </is>
      </c>
      <c r="I151" s="509" t="inlineStr">
        <is>
          <t>$135</t>
        </is>
      </c>
      <c r="J151" s="417" t="inlineStr">
        <is>
          <t>Transfer Only</t>
        </is>
      </c>
    </row>
    <row r="152" ht="18" customHeight="1" s="229">
      <c r="A152" s="359" t="inlineStr">
        <is>
          <t>UNDERWEAR  —  72 products  |  26,111 total CN units  (Yuntu: 8,673  |  菜鸟仓: 17,438)</t>
        </is>
      </c>
      <c r="B152" s="360" t="n"/>
      <c r="C152" s="360" t="n"/>
      <c r="D152" s="360" t="n"/>
      <c r="E152" s="360" t="n"/>
      <c r="F152" s="360" t="n"/>
      <c r="G152" s="360" t="n"/>
      <c r="H152" s="360" t="n"/>
      <c r="I152" s="360" t="n"/>
      <c r="J152" s="360" t="n"/>
    </row>
    <row r="153" ht="18" customHeight="1" s="229">
      <c r="A153" s="361" t="inlineStr">
        <is>
          <t>Twin Cross Plunge Contour Bra 2.0</t>
        </is>
      </c>
      <c r="B153" s="362" t="inlineStr">
        <is>
          <t>Underwear</t>
        </is>
      </c>
      <c r="C153" s="364" t="inlineStr">
        <is>
          <t>3 — MEDIUM (selldown or markdown)</t>
        </is>
      </c>
      <c r="D153" s="368" t="n">
        <v>45</v>
      </c>
      <c r="E153" s="368" t="n">
        <v>2086</v>
      </c>
      <c r="F153" s="368" t="n">
        <v>2131</v>
      </c>
      <c r="G153" s="512" t="n">
        <v>118</v>
      </c>
      <c r="H153" s="368" t="inlineStr">
        <is>
          <t>$5,293</t>
        </is>
      </c>
      <c r="I153" s="513" t="inlineStr">
        <is>
          <t>$3,160</t>
        </is>
      </c>
      <c r="J153" s="368" t="inlineStr">
        <is>
          <t>Transfer (CN) + Flash Sale (US)</t>
        </is>
      </c>
    </row>
    <row r="154" ht="18" customHeight="1" s="229">
      <c r="A154" s="370" t="inlineStr">
        <is>
          <t>Pure Comfort Modal Mid Waist Brief</t>
        </is>
      </c>
      <c r="B154" s="371" t="inlineStr">
        <is>
          <t>Underwear</t>
        </is>
      </c>
      <c r="C154" s="372" t="inlineStr">
        <is>
          <t>3 — MEDIUM (selldown or markdown)</t>
        </is>
      </c>
      <c r="D154" s="376" t="n">
        <v>83</v>
      </c>
      <c r="E154" s="376" t="n">
        <v>1947</v>
      </c>
      <c r="F154" s="376" t="n">
        <v>2030</v>
      </c>
      <c r="G154" s="376" t="inlineStr">
        <is>
          <t>-</t>
        </is>
      </c>
      <c r="H154" s="376" t="inlineStr">
        <is>
          <t>$2,667</t>
        </is>
      </c>
      <c r="I154" s="514" t="inlineStr">
        <is>
          <t>$1,760</t>
        </is>
      </c>
      <c r="J154" s="376" t="inlineStr">
        <is>
          <t>Transfer Only</t>
        </is>
      </c>
    </row>
    <row r="155" ht="18" customHeight="1" s="229">
      <c r="A155" s="361" t="inlineStr">
        <is>
          <t>Pure Comfort Ribbed Low Waist Brief</t>
        </is>
      </c>
      <c r="B155" s="362" t="inlineStr">
        <is>
          <t>Underwear</t>
        </is>
      </c>
      <c r="C155" s="364" t="inlineStr">
        <is>
          <t>3 — MEDIUM (selldown or markdown)</t>
        </is>
      </c>
      <c r="D155" s="368" t="n">
        <v>65</v>
      </c>
      <c r="E155" s="368" t="n">
        <v>1214</v>
      </c>
      <c r="F155" s="368" t="n">
        <v>1279</v>
      </c>
      <c r="G155" s="368" t="inlineStr">
        <is>
          <t>-</t>
        </is>
      </c>
      <c r="H155" s="368" t="inlineStr">
        <is>
          <t>$1,572</t>
        </is>
      </c>
      <c r="I155" s="513" t="inlineStr">
        <is>
          <t>$1,900</t>
        </is>
      </c>
      <c r="J155" s="368" t="inlineStr">
        <is>
          <t>Transfer Only</t>
        </is>
      </c>
    </row>
    <row r="156" ht="18" customHeight="1" s="229">
      <c r="A156" s="370" t="inlineStr">
        <is>
          <t>3D Smile Support Plunge Bra</t>
        </is>
      </c>
      <c r="B156" s="371" t="inlineStr">
        <is>
          <t>Underwear</t>
        </is>
      </c>
      <c r="C156" s="372" t="inlineStr">
        <is>
          <t>3 — MEDIUM (selldown or markdown)</t>
        </is>
      </c>
      <c r="D156" s="376" t="n">
        <v>1161</v>
      </c>
      <c r="E156" s="376" t="n">
        <v>0</v>
      </c>
      <c r="F156" s="376" t="n">
        <v>1161</v>
      </c>
      <c r="G156" s="515" t="n">
        <v>7</v>
      </c>
      <c r="H156" s="376" t="inlineStr">
        <is>
          <t>$7,402</t>
        </is>
      </c>
      <c r="I156" s="514" t="inlineStr">
        <is>
          <t>$34,470</t>
        </is>
      </c>
      <c r="J156" s="376" t="inlineStr">
        <is>
          <t>Transfer (CN) + Flash Sale (US)</t>
        </is>
      </c>
    </row>
    <row r="157" ht="18" customHeight="1" s="229">
      <c r="A157" s="361" t="inlineStr">
        <is>
          <t>Belle Lace Wireless Bra</t>
        </is>
      </c>
      <c r="B157" s="362" t="inlineStr">
        <is>
          <t>Underwear</t>
        </is>
      </c>
      <c r="C157" s="364" t="inlineStr">
        <is>
          <t>1 — URGENT (high inventory, no sales)</t>
        </is>
      </c>
      <c r="D157" s="368" t="n">
        <v>1151</v>
      </c>
      <c r="E157" s="368" t="n">
        <v>0</v>
      </c>
      <c r="F157" s="368" t="n">
        <v>1151</v>
      </c>
      <c r="G157" s="368" t="inlineStr">
        <is>
          <t>-</t>
        </is>
      </c>
      <c r="H157" s="368" t="inlineStr">
        <is>
          <t>$324</t>
        </is>
      </c>
      <c r="I157" s="513" t="inlineStr">
        <is>
          <t>$23,020</t>
        </is>
      </c>
      <c r="J157" s="368" t="inlineStr">
        <is>
          <t>Transfer Only</t>
        </is>
      </c>
    </row>
    <row r="158" ht="18" customHeight="1" s="229">
      <c r="A158" s="370" t="inlineStr">
        <is>
          <t>Twin Cross Wide Strap Plunge Contour Bra 2.0</t>
        </is>
      </c>
      <c r="B158" s="371" t="inlineStr">
        <is>
          <t>Underwear</t>
        </is>
      </c>
      <c r="C158" s="372" t="inlineStr">
        <is>
          <t>3 — MEDIUM (selldown or markdown)</t>
        </is>
      </c>
      <c r="D158" s="376" t="n">
        <v>57</v>
      </c>
      <c r="E158" s="376" t="n">
        <v>914</v>
      </c>
      <c r="F158" s="376" t="n">
        <v>971</v>
      </c>
      <c r="G158" s="376" t="inlineStr">
        <is>
          <t>-</t>
        </is>
      </c>
      <c r="H158" s="376" t="inlineStr">
        <is>
          <t>$2,823</t>
        </is>
      </c>
      <c r="I158" s="514" t="inlineStr">
        <is>
          <t>$1,420</t>
        </is>
      </c>
      <c r="J158" s="376" t="inlineStr">
        <is>
          <t>Transfer Only</t>
        </is>
      </c>
    </row>
    <row r="159" ht="18" customHeight="1" s="229">
      <c r="A159" s="361" t="inlineStr">
        <is>
          <t>Cotton Cozy Briefs (3-Pack)</t>
        </is>
      </c>
      <c r="B159" s="362" t="inlineStr">
        <is>
          <t>Underwear</t>
        </is>
      </c>
      <c r="C159" s="364" t="inlineStr">
        <is>
          <t>3 — MEDIUM (selldown or markdown)</t>
        </is>
      </c>
      <c r="D159" s="368" t="n">
        <v>43</v>
      </c>
      <c r="E159" s="368" t="n">
        <v>852</v>
      </c>
      <c r="F159" s="368" t="n">
        <v>895</v>
      </c>
      <c r="G159" s="368" t="inlineStr">
        <is>
          <t>-</t>
        </is>
      </c>
      <c r="H159" s="368" t="inlineStr">
        <is>
          <t>$2,168</t>
        </is>
      </c>
      <c r="I159" s="513" t="inlineStr">
        <is>
          <t>$1,260</t>
        </is>
      </c>
      <c r="J159" s="368" t="inlineStr">
        <is>
          <t>Transfer Only</t>
        </is>
      </c>
    </row>
    <row r="160" ht="18" customHeight="1" s="229">
      <c r="A160" s="370" t="inlineStr">
        <is>
          <t>Pure Comfort Mid Waist Cheeky Brief</t>
        </is>
      </c>
      <c r="B160" s="371" t="inlineStr">
        <is>
          <t>Underwear</t>
        </is>
      </c>
      <c r="C160" s="372" t="inlineStr">
        <is>
          <t>3 — MEDIUM (selldown or markdown)</t>
        </is>
      </c>
      <c r="D160" s="376" t="n">
        <v>55</v>
      </c>
      <c r="E160" s="376" t="n">
        <v>817</v>
      </c>
      <c r="F160" s="376" t="n">
        <v>872</v>
      </c>
      <c r="G160" s="376" t="inlineStr">
        <is>
          <t>-</t>
        </is>
      </c>
      <c r="H160" s="376" t="inlineStr">
        <is>
          <t>$1,258</t>
        </is>
      </c>
      <c r="I160" s="514" t="inlineStr">
        <is>
          <t>$1,080</t>
        </is>
      </c>
      <c r="J160" s="376" t="inlineStr">
        <is>
          <t>Transfer Only</t>
        </is>
      </c>
    </row>
    <row r="161" ht="18" customHeight="1" s="229">
      <c r="A161" s="361" t="inlineStr">
        <is>
          <t>3D Smile Support Cutout Bra</t>
        </is>
      </c>
      <c r="B161" s="362" t="inlineStr">
        <is>
          <t>Underwear</t>
        </is>
      </c>
      <c r="C161" s="364" t="inlineStr">
        <is>
          <t>3 — MEDIUM (selldown or markdown)</t>
        </is>
      </c>
      <c r="D161" s="368" t="n">
        <v>699</v>
      </c>
      <c r="E161" s="368" t="n">
        <v>136</v>
      </c>
      <c r="F161" s="368" t="n">
        <v>835</v>
      </c>
      <c r="G161" s="368" t="inlineStr">
        <is>
          <t>-</t>
        </is>
      </c>
      <c r="H161" s="368" t="inlineStr">
        <is>
          <t>$9,404</t>
        </is>
      </c>
      <c r="I161" s="513" t="inlineStr">
        <is>
          <t>$19,530</t>
        </is>
      </c>
      <c r="J161" s="368" t="inlineStr">
        <is>
          <t>Transfer Only</t>
        </is>
      </c>
    </row>
    <row r="162" ht="18" customHeight="1" s="229">
      <c r="A162" s="370" t="inlineStr">
        <is>
          <t>Nude Shape Triangle Bra</t>
        </is>
      </c>
      <c r="B162" s="371" t="inlineStr">
        <is>
          <t>Underwear</t>
        </is>
      </c>
      <c r="C162" s="372" t="inlineStr">
        <is>
          <t>3 — MEDIUM (selldown or markdown)</t>
        </is>
      </c>
      <c r="D162" s="376" t="n">
        <v>797</v>
      </c>
      <c r="E162" s="376" t="n">
        <v>0</v>
      </c>
      <c r="F162" s="376" t="n">
        <v>797</v>
      </c>
      <c r="G162" s="515" t="n">
        <v>25</v>
      </c>
      <c r="H162" s="376" t="inlineStr">
        <is>
          <t>$6,336</t>
        </is>
      </c>
      <c r="I162" s="514" t="inlineStr">
        <is>
          <t>$24,660</t>
        </is>
      </c>
      <c r="J162" s="376" t="inlineStr">
        <is>
          <t>Transfer (CN) + Flash Sale (US)</t>
        </is>
      </c>
    </row>
    <row r="163" ht="18" customHeight="1" s="229">
      <c r="A163" s="361" t="inlineStr">
        <is>
          <t>Pantie Pro Mid Waist Period Brief</t>
        </is>
      </c>
      <c r="B163" s="362" t="inlineStr">
        <is>
          <t>Underwear</t>
        </is>
      </c>
      <c r="C163" s="364" t="inlineStr">
        <is>
          <t>4 — LOW (natural sellthrough)</t>
        </is>
      </c>
      <c r="D163" s="368" t="n">
        <v>21</v>
      </c>
      <c r="E163" s="368" t="n">
        <v>771</v>
      </c>
      <c r="F163" s="368" t="n">
        <v>792</v>
      </c>
      <c r="G163" s="368" t="inlineStr">
        <is>
          <t>-</t>
        </is>
      </c>
      <c r="H163" s="368" t="inlineStr">
        <is>
          <t>$827</t>
        </is>
      </c>
      <c r="I163" s="513" t="inlineStr">
        <is>
          <t>$490</t>
        </is>
      </c>
      <c r="J163" s="368" t="inlineStr">
        <is>
          <t>Transfer Only</t>
        </is>
      </c>
    </row>
    <row r="164" ht="18" customHeight="1" s="229">
      <c r="A164" s="370" t="inlineStr">
        <is>
          <t>Barely Zero Red Plaid Bra - Holiday Limited Edition</t>
        </is>
      </c>
      <c r="B164" s="371" t="inlineStr">
        <is>
          <t>Underwear</t>
        </is>
      </c>
      <c r="C164" s="372" t="inlineStr">
        <is>
          <t>3 — MEDIUM (selldown or markdown)</t>
        </is>
      </c>
      <c r="D164" s="376" t="n">
        <v>727</v>
      </c>
      <c r="E164" s="376" t="n">
        <v>0</v>
      </c>
      <c r="F164" s="376" t="n">
        <v>727</v>
      </c>
      <c r="G164" s="376" t="inlineStr">
        <is>
          <t>-</t>
        </is>
      </c>
      <c r="H164" s="376" t="inlineStr">
        <is>
          <t>$1,971</t>
        </is>
      </c>
      <c r="I164" s="514" t="inlineStr">
        <is>
          <t>$14,640</t>
        </is>
      </c>
      <c r="J164" s="376" t="inlineStr">
        <is>
          <t>Transfer Only</t>
        </is>
      </c>
    </row>
    <row r="165" ht="18" customHeight="1" s="229">
      <c r="A165" s="361" t="inlineStr">
        <is>
          <t>Plisse Lace 3/4 Cup Bra</t>
        </is>
      </c>
      <c r="B165" s="362" t="inlineStr">
        <is>
          <t>Underwear</t>
        </is>
      </c>
      <c r="C165" s="364" t="inlineStr">
        <is>
          <t>3 — MEDIUM (selldown or markdown)</t>
        </is>
      </c>
      <c r="D165" s="368" t="n">
        <v>34</v>
      </c>
      <c r="E165" s="368" t="n">
        <v>607</v>
      </c>
      <c r="F165" s="368" t="n">
        <v>641</v>
      </c>
      <c r="G165" s="368" t="inlineStr">
        <is>
          <t>-</t>
        </is>
      </c>
      <c r="H165" s="368" t="inlineStr">
        <is>
          <t>$2,953</t>
        </is>
      </c>
      <c r="I165" s="513" t="inlineStr">
        <is>
          <t>$930</t>
        </is>
      </c>
      <c r="J165" s="368" t="inlineStr">
        <is>
          <t>Transfer Only</t>
        </is>
      </c>
    </row>
    <row r="166" ht="18" customHeight="1" s="229">
      <c r="A166" s="370" t="inlineStr">
        <is>
          <t>Pure Comfort Ribbed Plunge Bra</t>
        </is>
      </c>
      <c r="B166" s="371" t="inlineStr">
        <is>
          <t>Underwear</t>
        </is>
      </c>
      <c r="C166" s="372" t="inlineStr">
        <is>
          <t>3 — MEDIUM (selldown or markdown)</t>
        </is>
      </c>
      <c r="D166" s="376" t="n">
        <v>34</v>
      </c>
      <c r="E166" s="376" t="n">
        <v>583</v>
      </c>
      <c r="F166" s="376" t="n">
        <v>617</v>
      </c>
      <c r="G166" s="515" t="n">
        <v>38</v>
      </c>
      <c r="H166" s="376" t="inlineStr">
        <is>
          <t>$2,707</t>
        </is>
      </c>
      <c r="I166" s="514" t="inlineStr">
        <is>
          <t>$1,270</t>
        </is>
      </c>
      <c r="J166" s="376" t="inlineStr">
        <is>
          <t>Transfer (CN) + Flash Sale (US)</t>
        </is>
      </c>
    </row>
    <row r="167" ht="18" customHeight="1" s="229">
      <c r="A167" s="361" t="inlineStr">
        <is>
          <t>Nude Shape 3/4 Cup Bra</t>
        </is>
      </c>
      <c r="B167" s="362" t="inlineStr">
        <is>
          <t>Underwear</t>
        </is>
      </c>
      <c r="C167" s="364" t="inlineStr">
        <is>
          <t>2 — HIGH (excess inventory vs demand)</t>
        </is>
      </c>
      <c r="D167" s="368" t="n">
        <v>613</v>
      </c>
      <c r="E167" s="368" t="n">
        <v>0</v>
      </c>
      <c r="F167" s="368" t="n">
        <v>613</v>
      </c>
      <c r="G167" s="368" t="inlineStr">
        <is>
          <t>-</t>
        </is>
      </c>
      <c r="H167" s="368" t="inlineStr">
        <is>
          <t>$752</t>
        </is>
      </c>
      <c r="I167" s="513" t="inlineStr">
        <is>
          <t>$8,980</t>
        </is>
      </c>
      <c r="J167" s="368" t="inlineStr">
        <is>
          <t>Transfer Only</t>
        </is>
      </c>
    </row>
    <row r="168" ht="18" customHeight="1" s="229">
      <c r="A168" s="370" t="inlineStr">
        <is>
          <t>Shimmer Low Waist Brief</t>
        </is>
      </c>
      <c r="B168" s="371" t="inlineStr">
        <is>
          <t>Underwear</t>
        </is>
      </c>
      <c r="C168" s="372" t="inlineStr">
        <is>
          <t>3 — MEDIUM (selldown or markdown)</t>
        </is>
      </c>
      <c r="D168" s="376" t="n">
        <v>75</v>
      </c>
      <c r="E168" s="376" t="n">
        <v>487</v>
      </c>
      <c r="F168" s="376" t="n">
        <v>562</v>
      </c>
      <c r="G168" s="376" t="inlineStr">
        <is>
          <t>-</t>
        </is>
      </c>
      <c r="H168" s="376" t="inlineStr">
        <is>
          <t>$435</t>
        </is>
      </c>
      <c r="I168" s="514" t="inlineStr">
        <is>
          <t>$870</t>
        </is>
      </c>
      <c r="J168" s="376" t="inlineStr">
        <is>
          <t>Transfer Only</t>
        </is>
      </c>
    </row>
    <row r="169" ht="18" customHeight="1" s="229">
      <c r="A169" s="361" t="inlineStr">
        <is>
          <t>Modal Silk Briefs 3-Pack</t>
        </is>
      </c>
      <c r="B169" s="362" t="inlineStr">
        <is>
          <t>Underwear</t>
        </is>
      </c>
      <c r="C169" s="364" t="inlineStr">
        <is>
          <t>2 — HIGH (excess inventory vs demand)</t>
        </is>
      </c>
      <c r="D169" s="368" t="n">
        <v>528</v>
      </c>
      <c r="E169" s="368" t="n">
        <v>0</v>
      </c>
      <c r="F169" s="368" t="n">
        <v>528</v>
      </c>
      <c r="G169" s="368" t="inlineStr">
        <is>
          <t>-</t>
        </is>
      </c>
      <c r="H169" s="368" t="inlineStr">
        <is>
          <t>$163</t>
        </is>
      </c>
      <c r="I169" s="513" t="inlineStr">
        <is>
          <t>$3,450</t>
        </is>
      </c>
      <c r="J169" s="368" t="inlineStr">
        <is>
          <t>Transfer Only</t>
        </is>
      </c>
    </row>
    <row r="170" ht="18" customHeight="1" s="229">
      <c r="A170" s="370" t="inlineStr">
        <is>
          <t>Nude Shape 1/2 Cup Bra</t>
        </is>
      </c>
      <c r="B170" s="371" t="inlineStr">
        <is>
          <t>Underwear</t>
        </is>
      </c>
      <c r="C170" s="372" t="inlineStr">
        <is>
          <t>3 — MEDIUM (selldown or markdown)</t>
        </is>
      </c>
      <c r="D170" s="376" t="n">
        <v>509</v>
      </c>
      <c r="E170" s="376" t="n">
        <v>0</v>
      </c>
      <c r="F170" s="376" t="n">
        <v>509</v>
      </c>
      <c r="G170" s="376" t="inlineStr">
        <is>
          <t>-</t>
        </is>
      </c>
      <c r="H170" s="376" t="inlineStr">
        <is>
          <t>$3,282</t>
        </is>
      </c>
      <c r="I170" s="514" t="inlineStr">
        <is>
          <t>$11,210</t>
        </is>
      </c>
      <c r="J170" s="376" t="inlineStr">
        <is>
          <t>Transfer Only</t>
        </is>
      </c>
    </row>
    <row r="171" ht="18" customHeight="1" s="229">
      <c r="A171" s="361" t="inlineStr">
        <is>
          <t>Plisse Lace Low Waist Brief</t>
        </is>
      </c>
      <c r="B171" s="362" t="inlineStr">
        <is>
          <t>Underwear</t>
        </is>
      </c>
      <c r="C171" s="364" t="inlineStr">
        <is>
          <t>3 — MEDIUM (selldown or markdown)</t>
        </is>
      </c>
      <c r="D171" s="368" t="n">
        <v>18</v>
      </c>
      <c r="E171" s="368" t="n">
        <v>429</v>
      </c>
      <c r="F171" s="368" t="n">
        <v>447</v>
      </c>
      <c r="G171" s="368" t="inlineStr">
        <is>
          <t>-</t>
        </is>
      </c>
      <c r="H171" s="368" t="inlineStr">
        <is>
          <t>$578</t>
        </is>
      </c>
      <c r="I171" s="513" t="inlineStr">
        <is>
          <t>$520</t>
        </is>
      </c>
      <c r="J171" s="368" t="inlineStr">
        <is>
          <t>Transfer Only</t>
        </is>
      </c>
    </row>
    <row r="172" ht="18" customHeight="1" s="229">
      <c r="A172" s="370" t="inlineStr">
        <is>
          <t>Nude Shape Triangle Bra 2.0</t>
        </is>
      </c>
      <c r="B172" s="371" t="inlineStr">
        <is>
          <t>Underwear</t>
        </is>
      </c>
      <c r="C172" s="372" t="inlineStr">
        <is>
          <t>3 — MEDIUM (selldown or markdown)</t>
        </is>
      </c>
      <c r="D172" s="376" t="n">
        <v>25</v>
      </c>
      <c r="E172" s="376" t="n">
        <v>403</v>
      </c>
      <c r="F172" s="376" t="n">
        <v>428</v>
      </c>
      <c r="G172" s="515" t="n">
        <v>17</v>
      </c>
      <c r="H172" s="376" t="inlineStr">
        <is>
          <t>$1,840</t>
        </is>
      </c>
      <c r="I172" s="514" t="inlineStr">
        <is>
          <t>$1,010</t>
        </is>
      </c>
      <c r="J172" s="376" t="inlineStr">
        <is>
          <t>Transfer (CN) + Flash Sale (US)</t>
        </is>
      </c>
    </row>
    <row r="173" ht="18" customHeight="1" s="229">
      <c r="A173" s="361" t="inlineStr">
        <is>
          <t>Pliss√© Low Waist Brief</t>
        </is>
      </c>
      <c r="B173" s="362" t="inlineStr">
        <is>
          <t>Underwear</t>
        </is>
      </c>
      <c r="C173" s="364" t="inlineStr">
        <is>
          <t>3 — MEDIUM (selldown or markdown)</t>
        </is>
      </c>
      <c r="D173" s="368" t="n">
        <v>46</v>
      </c>
      <c r="E173" s="368" t="n">
        <v>367</v>
      </c>
      <c r="F173" s="368" t="n">
        <v>413</v>
      </c>
      <c r="G173" s="368" t="inlineStr">
        <is>
          <t>-</t>
        </is>
      </c>
      <c r="H173" s="368" t="inlineStr">
        <is>
          <t>$423</t>
        </is>
      </c>
      <c r="I173" s="513" t="inlineStr">
        <is>
          <t>$640</t>
        </is>
      </c>
      <c r="J173" s="368" t="inlineStr">
        <is>
          <t>Transfer Only</t>
        </is>
      </c>
    </row>
    <row r="174" ht="18" customHeight="1" s="229">
      <c r="A174" s="370" t="inlineStr">
        <is>
          <t>Twin Cross Mesh Bra</t>
        </is>
      </c>
      <c r="B174" s="371" t="inlineStr">
        <is>
          <t>Underwear</t>
        </is>
      </c>
      <c r="C174" s="372" t="inlineStr">
        <is>
          <t>3 — MEDIUM (selldown or markdown)</t>
        </is>
      </c>
      <c r="D174" s="376" t="n">
        <v>21</v>
      </c>
      <c r="E174" s="376" t="n">
        <v>386</v>
      </c>
      <c r="F174" s="376" t="n">
        <v>407</v>
      </c>
      <c r="G174" s="515" t="n">
        <v>26</v>
      </c>
      <c r="H174" s="376" t="inlineStr">
        <is>
          <t>$4,103</t>
        </is>
      </c>
      <c r="I174" s="514" t="inlineStr">
        <is>
          <t>$1,390</t>
        </is>
      </c>
      <c r="J174" s="376" t="inlineStr">
        <is>
          <t>Transfer (CN) + Flash Sale (US)</t>
        </is>
      </c>
    </row>
    <row r="175" ht="18" customHeight="1" s="229">
      <c r="A175" s="361" t="inlineStr">
        <is>
          <t>Nude Shape Mid Waist Brief</t>
        </is>
      </c>
      <c r="B175" s="362" t="inlineStr">
        <is>
          <t>Underwear</t>
        </is>
      </c>
      <c r="C175" s="364" t="inlineStr">
        <is>
          <t>3 — MEDIUM (selldown or markdown)</t>
        </is>
      </c>
      <c r="D175" s="368" t="n">
        <v>35</v>
      </c>
      <c r="E175" s="368" t="n">
        <v>357</v>
      </c>
      <c r="F175" s="368" t="n">
        <v>392</v>
      </c>
      <c r="G175" s="368" t="inlineStr">
        <is>
          <t>-</t>
        </is>
      </c>
      <c r="H175" s="368" t="inlineStr">
        <is>
          <t>$1,492</t>
        </is>
      </c>
      <c r="I175" s="513" t="inlineStr">
        <is>
          <t>$1,050</t>
        </is>
      </c>
      <c r="J175" s="368" t="inlineStr">
        <is>
          <t>Transfer Only</t>
        </is>
      </c>
    </row>
    <row r="176" ht="18" customHeight="1" s="229">
      <c r="A176" s="370" t="inlineStr">
        <is>
          <t>Nude Shape Mesh Bra</t>
        </is>
      </c>
      <c r="B176" s="371" t="inlineStr">
        <is>
          <t>Underwear</t>
        </is>
      </c>
      <c r="C176" s="372" t="inlineStr">
        <is>
          <t>4 — LOW (natural sellthrough)</t>
        </is>
      </c>
      <c r="D176" s="376" t="n">
        <v>41</v>
      </c>
      <c r="E176" s="376" t="n">
        <v>345</v>
      </c>
      <c r="F176" s="376" t="n">
        <v>386</v>
      </c>
      <c r="G176" s="515" t="n">
        <v>2</v>
      </c>
      <c r="H176" s="376" t="inlineStr">
        <is>
          <t>$1,020</t>
        </is>
      </c>
      <c r="I176" s="514" t="inlineStr">
        <is>
          <t>$250</t>
        </is>
      </c>
      <c r="J176" s="376" t="inlineStr">
        <is>
          <t>Transfer (CN) + Flash Sale (US)</t>
        </is>
      </c>
    </row>
    <row r="177" ht="18" customHeight="1" s="229">
      <c r="A177" s="361" t="inlineStr">
        <is>
          <t>Belle Lace Mid Waist Brief 2.0</t>
        </is>
      </c>
      <c r="B177" s="362" t="inlineStr">
        <is>
          <t>Underwear</t>
        </is>
      </c>
      <c r="C177" s="364" t="inlineStr">
        <is>
          <t>3 — MEDIUM (selldown or markdown)</t>
        </is>
      </c>
      <c r="D177" s="368" t="n">
        <v>33</v>
      </c>
      <c r="E177" s="368" t="n">
        <v>337</v>
      </c>
      <c r="F177" s="368" t="n">
        <v>370</v>
      </c>
      <c r="G177" s="368" t="inlineStr">
        <is>
          <t>-</t>
        </is>
      </c>
      <c r="H177" s="368" t="inlineStr">
        <is>
          <t>$741</t>
        </is>
      </c>
      <c r="I177" s="513" t="inlineStr">
        <is>
          <t>$770</t>
        </is>
      </c>
      <c r="J177" s="368" t="inlineStr">
        <is>
          <t>Transfer Only</t>
        </is>
      </c>
    </row>
    <row r="178" ht="18" customHeight="1" s="229">
      <c r="A178" s="370" t="inlineStr">
        <is>
          <t>Nude Shape Bra Top</t>
        </is>
      </c>
      <c r="B178" s="371" t="inlineStr">
        <is>
          <t>Underwear</t>
        </is>
      </c>
      <c r="C178" s="372" t="inlineStr">
        <is>
          <t>2 — HIGH (excess inventory vs demand)</t>
        </is>
      </c>
      <c r="D178" s="376" t="n">
        <v>364</v>
      </c>
      <c r="E178" s="376" t="n">
        <v>0</v>
      </c>
      <c r="F178" s="376" t="n">
        <v>364</v>
      </c>
      <c r="G178" s="515" t="n">
        <v>7</v>
      </c>
      <c r="H178" s="376" t="inlineStr">
        <is>
          <t>$546</t>
        </is>
      </c>
      <c r="I178" s="514" t="inlineStr">
        <is>
          <t>$7,100</t>
        </is>
      </c>
      <c r="J178" s="376" t="inlineStr">
        <is>
          <t>Transfer (CN) + Flash Sale (US)</t>
        </is>
      </c>
    </row>
    <row r="179" ht="18" customHeight="1" s="229">
      <c r="A179" s="361" t="inlineStr">
        <is>
          <t>Pure Comfort Mid Waist Brief</t>
        </is>
      </c>
      <c r="B179" s="362" t="inlineStr">
        <is>
          <t>Underwear</t>
        </is>
      </c>
      <c r="C179" s="364" t="inlineStr">
        <is>
          <t>3 — MEDIUM (selldown or markdown)</t>
        </is>
      </c>
      <c r="D179" s="368" t="n">
        <v>45</v>
      </c>
      <c r="E179" s="368" t="n">
        <v>310</v>
      </c>
      <c r="F179" s="368" t="n">
        <v>355</v>
      </c>
      <c r="G179" s="368" t="inlineStr">
        <is>
          <t>-</t>
        </is>
      </c>
      <c r="H179" s="368" t="inlineStr">
        <is>
          <t>$1,111</t>
        </is>
      </c>
      <c r="I179" s="513" t="inlineStr">
        <is>
          <t>$1,380</t>
        </is>
      </c>
      <c r="J179" s="368" t="inlineStr">
        <is>
          <t>Transfer Only</t>
        </is>
      </c>
    </row>
    <row r="180" ht="18" customHeight="1" s="229">
      <c r="A180" s="370" t="inlineStr">
        <is>
          <t>Nude Tulle Mid Waist Brief</t>
        </is>
      </c>
      <c r="B180" s="371" t="inlineStr">
        <is>
          <t>Underwear</t>
        </is>
      </c>
      <c r="C180" s="372" t="inlineStr">
        <is>
          <t>3 — MEDIUM (selldown or markdown)</t>
        </is>
      </c>
      <c r="D180" s="376" t="n">
        <v>25</v>
      </c>
      <c r="E180" s="376" t="n">
        <v>309</v>
      </c>
      <c r="F180" s="376" t="n">
        <v>334</v>
      </c>
      <c r="G180" s="376" t="inlineStr">
        <is>
          <t>-</t>
        </is>
      </c>
      <c r="H180" s="376" t="inlineStr">
        <is>
          <t>$803</t>
        </is>
      </c>
      <c r="I180" s="514" t="inlineStr">
        <is>
          <t>$650</t>
        </is>
      </c>
      <c r="J180" s="376" t="inlineStr">
        <is>
          <t>Transfer Only</t>
        </is>
      </c>
    </row>
    <row r="181" ht="18" customHeight="1" s="229">
      <c r="A181" s="361" t="inlineStr">
        <is>
          <t>Pantie Pro High Waist Period Brief</t>
        </is>
      </c>
      <c r="B181" s="362" t="inlineStr">
        <is>
          <t>Underwear</t>
        </is>
      </c>
      <c r="C181" s="364" t="inlineStr">
        <is>
          <t>3 — MEDIUM (selldown or markdown)</t>
        </is>
      </c>
      <c r="D181" s="368" t="n">
        <v>19</v>
      </c>
      <c r="E181" s="368" t="n">
        <v>303</v>
      </c>
      <c r="F181" s="368" t="n">
        <v>322</v>
      </c>
      <c r="G181" s="368" t="inlineStr">
        <is>
          <t>-</t>
        </is>
      </c>
      <c r="H181" s="368" t="inlineStr">
        <is>
          <t>$2,070</t>
        </is>
      </c>
      <c r="I181" s="513" t="inlineStr">
        <is>
          <t>$520</t>
        </is>
      </c>
      <c r="J181" s="368" t="inlineStr">
        <is>
          <t>Transfer Only</t>
        </is>
      </c>
    </row>
    <row r="182" ht="18" customHeight="1" s="229">
      <c r="A182" s="370" t="inlineStr">
        <is>
          <t>Pure Comfort Ribbed Triangle Bra</t>
        </is>
      </c>
      <c r="B182" s="371" t="inlineStr">
        <is>
          <t>Underwear</t>
        </is>
      </c>
      <c r="C182" s="372" t="inlineStr">
        <is>
          <t>3 — MEDIUM (selldown or markdown)</t>
        </is>
      </c>
      <c r="D182" s="376" t="n">
        <v>35</v>
      </c>
      <c r="E182" s="376" t="n">
        <v>282</v>
      </c>
      <c r="F182" s="376" t="n">
        <v>317</v>
      </c>
      <c r="G182" s="376" t="inlineStr">
        <is>
          <t>-</t>
        </is>
      </c>
      <c r="H182" s="376" t="inlineStr">
        <is>
          <t>$1,584</t>
        </is>
      </c>
      <c r="I182" s="514" t="inlineStr">
        <is>
          <t>$1,080</t>
        </is>
      </c>
      <c r="J182" s="376" t="inlineStr">
        <is>
          <t>Transfer Only</t>
        </is>
      </c>
    </row>
    <row r="183" ht="18" customHeight="1" s="229">
      <c r="A183" s="361" t="inlineStr">
        <is>
          <t>Postpartum High Waist Shaping Brief</t>
        </is>
      </c>
      <c r="B183" s="362" t="inlineStr">
        <is>
          <t>Underwear</t>
        </is>
      </c>
      <c r="C183" s="364" t="inlineStr">
        <is>
          <t>4 — LOW (natural sellthrough)</t>
        </is>
      </c>
      <c r="D183" s="368" t="n">
        <v>14</v>
      </c>
      <c r="E183" s="368" t="n">
        <v>265</v>
      </c>
      <c r="F183" s="368" t="n">
        <v>279</v>
      </c>
      <c r="G183" s="368" t="inlineStr">
        <is>
          <t>-</t>
        </is>
      </c>
      <c r="H183" s="368" t="inlineStr">
        <is>
          <t>$716</t>
        </is>
      </c>
      <c r="I183" s="513" t="inlineStr">
        <is>
          <t>$240</t>
        </is>
      </c>
      <c r="J183" s="368" t="inlineStr">
        <is>
          <t>Transfer Only</t>
        </is>
      </c>
    </row>
    <row r="184" ht="18" customHeight="1" s="229">
      <c r="A184" s="370" t="inlineStr">
        <is>
          <t>Cotton Cozy Bra</t>
        </is>
      </c>
      <c r="B184" s="371" t="inlineStr">
        <is>
          <t>Underwear</t>
        </is>
      </c>
      <c r="C184" s="372" t="inlineStr">
        <is>
          <t>3 — MEDIUM (selldown or markdown)</t>
        </is>
      </c>
      <c r="D184" s="376" t="n">
        <v>47</v>
      </c>
      <c r="E184" s="376" t="n">
        <v>213</v>
      </c>
      <c r="F184" s="376" t="n">
        <v>260</v>
      </c>
      <c r="G184" s="515" t="n">
        <v>8</v>
      </c>
      <c r="H184" s="376" t="inlineStr">
        <is>
          <t>$1,257</t>
        </is>
      </c>
      <c r="I184" s="514" t="inlineStr">
        <is>
          <t>$900</t>
        </is>
      </c>
      <c r="J184" s="376" t="inlineStr">
        <is>
          <t>Transfer (CN) + Flash Sale (US)</t>
        </is>
      </c>
    </row>
    <row r="185" ht="18" customHeight="1" s="229">
      <c r="A185" s="361" t="inlineStr">
        <is>
          <t>Pliss√© Deep V Bra</t>
        </is>
      </c>
      <c r="B185" s="362" t="inlineStr">
        <is>
          <t>Underwear</t>
        </is>
      </c>
      <c r="C185" s="364" t="inlineStr">
        <is>
          <t>4 — LOW (natural sellthrough)</t>
        </is>
      </c>
      <c r="D185" s="368" t="n">
        <v>10</v>
      </c>
      <c r="E185" s="368" t="n">
        <v>239</v>
      </c>
      <c r="F185" s="368" t="n">
        <v>249</v>
      </c>
      <c r="G185" s="368" t="inlineStr">
        <is>
          <t>-</t>
        </is>
      </c>
      <c r="H185" s="368" t="inlineStr">
        <is>
          <t>$1,098</t>
        </is>
      </c>
      <c r="I185" s="513" t="inlineStr">
        <is>
          <t>$210</t>
        </is>
      </c>
      <c r="J185" s="368" t="inlineStr">
        <is>
          <t>Transfer Only</t>
        </is>
      </c>
    </row>
    <row r="186" ht="18" customHeight="1" s="229">
      <c r="A186" s="370" t="inlineStr">
        <is>
          <t>Nude Shape High Waist Brief 2.0</t>
        </is>
      </c>
      <c r="B186" s="371" t="inlineStr">
        <is>
          <t>Underwear</t>
        </is>
      </c>
      <c r="C186" s="372" t="inlineStr">
        <is>
          <t>4 — LOW (natural sellthrough)</t>
        </is>
      </c>
      <c r="D186" s="376" t="n">
        <v>17</v>
      </c>
      <c r="E186" s="376" t="n">
        <v>227</v>
      </c>
      <c r="F186" s="376" t="n">
        <v>244</v>
      </c>
      <c r="G186" s="376" t="inlineStr">
        <is>
          <t>-</t>
        </is>
      </c>
      <c r="H186" s="376" t="inlineStr">
        <is>
          <t>$1,147</t>
        </is>
      </c>
      <c r="I186" s="514" t="inlineStr">
        <is>
          <t>$350</t>
        </is>
      </c>
      <c r="J186" s="376" t="inlineStr">
        <is>
          <t>Transfer Only</t>
        </is>
      </c>
    </row>
    <row r="187" ht="18" customHeight="1" s="229">
      <c r="A187" s="361" t="inlineStr">
        <is>
          <t>Pantie Pro Light Low Waist Period Brief</t>
        </is>
      </c>
      <c r="B187" s="362" t="inlineStr">
        <is>
          <t>Underwear</t>
        </is>
      </c>
      <c r="C187" s="364" t="inlineStr">
        <is>
          <t>4 — LOW (natural sellthrough)</t>
        </is>
      </c>
      <c r="D187" s="368" t="n">
        <v>0</v>
      </c>
      <c r="E187" s="368" t="n">
        <v>244</v>
      </c>
      <c r="F187" s="368" t="n">
        <v>244</v>
      </c>
      <c r="G187" s="368" t="inlineStr">
        <is>
          <t>-</t>
        </is>
      </c>
      <c r="H187" s="368" t="inlineStr">
        <is>
          <t>$298</t>
        </is>
      </c>
      <c r="I187" s="513" t="inlineStr">
        <is>
          <t>$0</t>
        </is>
      </c>
      <c r="J187" s="368" t="inlineStr">
        <is>
          <t>Transfer Only</t>
        </is>
      </c>
    </row>
    <row r="188" ht="18" customHeight="1" s="229">
      <c r="A188" s="370" t="inlineStr">
        <is>
          <t>Self Silk Satin Triangle Bra</t>
        </is>
      </c>
      <c r="B188" s="371" t="inlineStr">
        <is>
          <t>Underwear</t>
        </is>
      </c>
      <c r="C188" s="372" t="inlineStr">
        <is>
          <t>3 — MEDIUM (selldown or markdown)</t>
        </is>
      </c>
      <c r="D188" s="376" t="n">
        <v>220</v>
      </c>
      <c r="E188" s="376" t="n">
        <v>0</v>
      </c>
      <c r="F188" s="376" t="n">
        <v>220</v>
      </c>
      <c r="G188" s="376" t="inlineStr">
        <is>
          <t>-</t>
        </is>
      </c>
      <c r="H188" s="376" t="inlineStr">
        <is>
          <t>$1,273</t>
        </is>
      </c>
      <c r="I188" s="514" t="inlineStr">
        <is>
          <t>$4,100</t>
        </is>
      </c>
      <c r="J188" s="376" t="inlineStr">
        <is>
          <t>Transfer Only</t>
        </is>
      </c>
    </row>
    <row r="189" ht="18" customHeight="1" s="229">
      <c r="A189" s="361" t="inlineStr">
        <is>
          <t>Self Silk Satin Mid Waist Brief</t>
        </is>
      </c>
      <c r="B189" s="362" t="inlineStr">
        <is>
          <t>Underwear</t>
        </is>
      </c>
      <c r="C189" s="364" t="inlineStr">
        <is>
          <t>2 — HIGH (excess inventory vs demand)</t>
        </is>
      </c>
      <c r="D189" s="368" t="n">
        <v>220</v>
      </c>
      <c r="E189" s="368" t="n">
        <v>0</v>
      </c>
      <c r="F189" s="368" t="n">
        <v>220</v>
      </c>
      <c r="G189" s="368" t="inlineStr">
        <is>
          <t>-</t>
        </is>
      </c>
      <c r="H189" s="368" t="inlineStr">
        <is>
          <t>$671</t>
        </is>
      </c>
      <c r="I189" s="513" t="inlineStr">
        <is>
          <t>$4,140</t>
        </is>
      </c>
      <c r="J189" s="368" t="inlineStr">
        <is>
          <t>Transfer Only</t>
        </is>
      </c>
    </row>
    <row r="190" ht="18" customHeight="1" s="229">
      <c r="A190" s="370" t="inlineStr">
        <is>
          <t>Nude Tulle Thick Strap Bra</t>
        </is>
      </c>
      <c r="B190" s="371" t="inlineStr">
        <is>
          <t>Underwear</t>
        </is>
      </c>
      <c r="C190" s="372" t="inlineStr">
        <is>
          <t>3 — MEDIUM (selldown or markdown)</t>
        </is>
      </c>
      <c r="D190" s="376" t="n">
        <v>32</v>
      </c>
      <c r="E190" s="376" t="n">
        <v>177</v>
      </c>
      <c r="F190" s="376" t="n">
        <v>209</v>
      </c>
      <c r="G190" s="376" t="inlineStr">
        <is>
          <t>-</t>
        </is>
      </c>
      <c r="H190" s="376" t="inlineStr">
        <is>
          <t>$2,259</t>
        </is>
      </c>
      <c r="I190" s="514" t="inlineStr">
        <is>
          <t>$840</t>
        </is>
      </c>
      <c r="J190" s="376" t="inlineStr">
        <is>
          <t>Transfer Only</t>
        </is>
      </c>
    </row>
    <row r="191" ht="18" customHeight="1" s="229">
      <c r="A191" s="361" t="inlineStr">
        <is>
          <t>Nude Skin Mesh Mid Waist Brief</t>
        </is>
      </c>
      <c r="B191" s="362" t="inlineStr">
        <is>
          <t>Underwear</t>
        </is>
      </c>
      <c r="C191" s="364" t="inlineStr">
        <is>
          <t>3 — MEDIUM (selldown or markdown)</t>
        </is>
      </c>
      <c r="D191" s="368" t="n">
        <v>23</v>
      </c>
      <c r="E191" s="368" t="n">
        <v>164</v>
      </c>
      <c r="F191" s="368" t="n">
        <v>187</v>
      </c>
      <c r="G191" s="368" t="inlineStr">
        <is>
          <t>-</t>
        </is>
      </c>
      <c r="H191" s="368" t="inlineStr">
        <is>
          <t>$1,008</t>
        </is>
      </c>
      <c r="I191" s="513" t="inlineStr">
        <is>
          <t>$610</t>
        </is>
      </c>
      <c r="J191" s="368" t="inlineStr">
        <is>
          <t>Transfer Only</t>
        </is>
      </c>
    </row>
    <row r="192" ht="18" customHeight="1" s="229">
      <c r="A192" s="370" t="inlineStr">
        <is>
          <t>Pure Comfort Premium Jacquard Bra</t>
        </is>
      </c>
      <c r="B192" s="371" t="inlineStr">
        <is>
          <t>Underwear</t>
        </is>
      </c>
      <c r="C192" s="372" t="inlineStr">
        <is>
          <t>3 — MEDIUM (selldown or markdown)</t>
        </is>
      </c>
      <c r="D192" s="376" t="n">
        <v>36</v>
      </c>
      <c r="E192" s="376" t="n">
        <v>139</v>
      </c>
      <c r="F192" s="376" t="n">
        <v>175</v>
      </c>
      <c r="G192" s="515" t="n">
        <v>20</v>
      </c>
      <c r="H192" s="376" t="inlineStr">
        <is>
          <t>$2,386</t>
        </is>
      </c>
      <c r="I192" s="514" t="inlineStr">
        <is>
          <t>$1,470</t>
        </is>
      </c>
      <c r="J192" s="376" t="inlineStr">
        <is>
          <t>Transfer (CN) + Flash Sale (US)</t>
        </is>
      </c>
    </row>
    <row r="193" ht="18" customHeight="1" s="229">
      <c r="A193" s="361" t="inlineStr">
        <is>
          <t>Tempting Low Waist Brief</t>
        </is>
      </c>
      <c r="B193" s="362" t="inlineStr">
        <is>
          <t>Underwear</t>
        </is>
      </c>
      <c r="C193" s="364" t="inlineStr">
        <is>
          <t>4 — LOW (natural sellthrough)</t>
        </is>
      </c>
      <c r="D193" s="368" t="n">
        <v>11</v>
      </c>
      <c r="E193" s="368" t="n">
        <v>159</v>
      </c>
      <c r="F193" s="368" t="n">
        <v>170</v>
      </c>
      <c r="G193" s="368" t="inlineStr">
        <is>
          <t>-</t>
        </is>
      </c>
      <c r="H193" s="368" t="inlineStr">
        <is>
          <t>$479</t>
        </is>
      </c>
      <c r="I193" s="513" t="inlineStr">
        <is>
          <t>$240</t>
        </is>
      </c>
      <c r="J193" s="368" t="inlineStr">
        <is>
          <t>Transfer Only</t>
        </is>
      </c>
    </row>
    <row r="194" ht="18" customHeight="1" s="229">
      <c r="A194" s="370" t="inlineStr">
        <is>
          <t>Tempting Deep V Bra</t>
        </is>
      </c>
      <c r="B194" s="371" t="inlineStr">
        <is>
          <t>Underwear</t>
        </is>
      </c>
      <c r="C194" s="372" t="inlineStr">
        <is>
          <t>4 — LOW (natural sellthrough)</t>
        </is>
      </c>
      <c r="D194" s="376" t="n">
        <v>8</v>
      </c>
      <c r="E194" s="376" t="n">
        <v>145</v>
      </c>
      <c r="F194" s="376" t="n">
        <v>153</v>
      </c>
      <c r="G194" s="376" t="inlineStr">
        <is>
          <t>-</t>
        </is>
      </c>
      <c r="H194" s="376" t="inlineStr">
        <is>
          <t>$1,889</t>
        </is>
      </c>
      <c r="I194" s="514" t="inlineStr">
        <is>
          <t>$210</t>
        </is>
      </c>
      <c r="J194" s="376" t="inlineStr">
        <is>
          <t>Transfer Only</t>
        </is>
      </c>
    </row>
    <row r="195" ht="18" customHeight="1" s="229">
      <c r="A195" s="361" t="inlineStr">
        <is>
          <t>Winged Support Curve Bra</t>
        </is>
      </c>
      <c r="B195" s="362" t="inlineStr">
        <is>
          <t>Underwear</t>
        </is>
      </c>
      <c r="C195" s="364" t="inlineStr">
        <is>
          <t>3 — MEDIUM (selldown or markdown)</t>
        </is>
      </c>
      <c r="D195" s="368" t="n">
        <v>32</v>
      </c>
      <c r="E195" s="368" t="n">
        <v>119</v>
      </c>
      <c r="F195" s="368" t="n">
        <v>151</v>
      </c>
      <c r="G195" s="512" t="n">
        <v>11</v>
      </c>
      <c r="H195" s="368" t="inlineStr">
        <is>
          <t>$520</t>
        </is>
      </c>
      <c r="I195" s="513" t="inlineStr">
        <is>
          <t>$870</t>
        </is>
      </c>
      <c r="J195" s="368" t="inlineStr">
        <is>
          <t>Transfer (CN) + Flash Sale (US)</t>
        </is>
      </c>
    </row>
    <row r="196" ht="18" customHeight="1" s="229">
      <c r="A196" s="370" t="inlineStr">
        <is>
          <t>Nude Tulle Triangle Bra</t>
        </is>
      </c>
      <c r="B196" s="371" t="inlineStr">
        <is>
          <t>Underwear</t>
        </is>
      </c>
      <c r="C196" s="372" t="inlineStr">
        <is>
          <t>3 — MEDIUM (selldown or markdown)</t>
        </is>
      </c>
      <c r="D196" s="376" t="n">
        <v>19</v>
      </c>
      <c r="E196" s="376" t="n">
        <v>129</v>
      </c>
      <c r="F196" s="376" t="n">
        <v>148</v>
      </c>
      <c r="G196" s="515" t="n">
        <v>1</v>
      </c>
      <c r="H196" s="376" t="inlineStr">
        <is>
          <t>$2,382</t>
        </is>
      </c>
      <c r="I196" s="514" t="inlineStr">
        <is>
          <t>$600</t>
        </is>
      </c>
      <c r="J196" s="376" t="inlineStr">
        <is>
          <t>Transfer (CN) + Flash Sale (US)</t>
        </is>
      </c>
    </row>
    <row r="197" ht="18" customHeight="1" s="229">
      <c r="A197" s="361" t="inlineStr">
        <is>
          <t>Basic Chic Bikini Brief</t>
        </is>
      </c>
      <c r="B197" s="362" t="inlineStr">
        <is>
          <t>Underwear</t>
        </is>
      </c>
      <c r="C197" s="364" t="inlineStr">
        <is>
          <t>4 — LOW (natural sellthrough)</t>
        </is>
      </c>
      <c r="D197" s="368" t="n">
        <v>25</v>
      </c>
      <c r="E197" s="368" t="n">
        <v>119</v>
      </c>
      <c r="F197" s="368" t="n">
        <v>144</v>
      </c>
      <c r="G197" s="368" t="inlineStr">
        <is>
          <t>-</t>
        </is>
      </c>
      <c r="H197" s="368" t="inlineStr">
        <is>
          <t>$304</t>
        </is>
      </c>
      <c r="I197" s="513" t="inlineStr">
        <is>
          <t>$300</t>
        </is>
      </c>
      <c r="J197" s="368" t="inlineStr">
        <is>
          <t>Transfer Only</t>
        </is>
      </c>
    </row>
    <row r="198" ht="18" customHeight="1" s="229">
      <c r="A198" s="370" t="inlineStr">
        <is>
          <t>Pantie Pro Overnight Mid Waist Period Brief</t>
        </is>
      </c>
      <c r="B198" s="371" t="inlineStr">
        <is>
          <t>Underwear</t>
        </is>
      </c>
      <c r="C198" s="372" t="inlineStr">
        <is>
          <t>4 — LOW (natural sellthrough)</t>
        </is>
      </c>
      <c r="D198" s="376" t="n">
        <v>13</v>
      </c>
      <c r="E198" s="376" t="n">
        <v>125</v>
      </c>
      <c r="F198" s="376" t="n">
        <v>138</v>
      </c>
      <c r="G198" s="376" t="inlineStr">
        <is>
          <t>-</t>
        </is>
      </c>
      <c r="H198" s="376" t="inlineStr">
        <is>
          <t>$203</t>
        </is>
      </c>
      <c r="I198" s="514" t="inlineStr">
        <is>
          <t>$140</t>
        </is>
      </c>
      <c r="J198" s="376" t="inlineStr">
        <is>
          <t>Transfer Only</t>
        </is>
      </c>
    </row>
    <row r="199" ht="18" customHeight="1" s="229">
      <c r="A199" s="361" t="inlineStr">
        <is>
          <t>UltraFlex Cotton Low Waist Briefs (2-Pack)</t>
        </is>
      </c>
      <c r="B199" s="362" t="inlineStr">
        <is>
          <t>Underwear</t>
        </is>
      </c>
      <c r="C199" s="364" t="inlineStr">
        <is>
          <t>3 — MEDIUM (selldown or markdown)</t>
        </is>
      </c>
      <c r="D199" s="368" t="n">
        <v>133</v>
      </c>
      <c r="E199" s="368" t="n">
        <v>0</v>
      </c>
      <c r="F199" s="368" t="n">
        <v>133</v>
      </c>
      <c r="G199" s="368" t="inlineStr">
        <is>
          <t>-</t>
        </is>
      </c>
      <c r="H199" s="368" t="inlineStr">
        <is>
          <t>$2,143</t>
        </is>
      </c>
      <c r="I199" s="513" t="inlineStr">
        <is>
          <t>$3,990</t>
        </is>
      </c>
      <c r="J199" s="368" t="inlineStr">
        <is>
          <t>Transfer Only</t>
        </is>
      </c>
    </row>
    <row r="200" ht="18" customHeight="1" s="229">
      <c r="A200" s="370" t="inlineStr">
        <is>
          <t>Self Silk Mid Waist Brief</t>
        </is>
      </c>
      <c r="B200" s="371" t="inlineStr">
        <is>
          <t>Underwear</t>
        </is>
      </c>
      <c r="C200" s="372" t="inlineStr">
        <is>
          <t>3 — MEDIUM (selldown or markdown)</t>
        </is>
      </c>
      <c r="D200" s="376" t="n">
        <v>28</v>
      </c>
      <c r="E200" s="376" t="n">
        <v>79</v>
      </c>
      <c r="F200" s="376" t="n">
        <v>107</v>
      </c>
      <c r="G200" s="376" t="inlineStr">
        <is>
          <t>-</t>
        </is>
      </c>
      <c r="H200" s="376" t="inlineStr">
        <is>
          <t>$837</t>
        </is>
      </c>
      <c r="I200" s="514" t="inlineStr">
        <is>
          <t>$640</t>
        </is>
      </c>
      <c r="J200" s="376" t="inlineStr">
        <is>
          <t>Transfer Only</t>
        </is>
      </c>
    </row>
    <row r="201" ht="18" customHeight="1" s="229">
      <c r="A201" s="361" t="inlineStr">
        <is>
          <t>Nude Shape Mid Waist Brief 2.0</t>
        </is>
      </c>
      <c r="B201" s="362" t="inlineStr">
        <is>
          <t>Underwear</t>
        </is>
      </c>
      <c r="C201" s="364" t="inlineStr">
        <is>
          <t>4 — LOW (natural sellthrough)</t>
        </is>
      </c>
      <c r="D201" s="368" t="n">
        <v>1</v>
      </c>
      <c r="E201" s="368" t="n">
        <v>103</v>
      </c>
      <c r="F201" s="368" t="n">
        <v>104</v>
      </c>
      <c r="G201" s="368" t="inlineStr">
        <is>
          <t>-</t>
        </is>
      </c>
      <c r="H201" s="368" t="inlineStr">
        <is>
          <t>$927</t>
        </is>
      </c>
      <c r="I201" s="513" t="inlineStr">
        <is>
          <t>$30</t>
        </is>
      </c>
      <c r="J201" s="368" t="inlineStr">
        <is>
          <t>Transfer Only</t>
        </is>
      </c>
    </row>
    <row r="202" ht="18" customHeight="1" s="229">
      <c r="A202" s="370" t="inlineStr">
        <is>
          <t>Basic Chic Mid Waist Brief - 3 Pack</t>
        </is>
      </c>
      <c r="B202" s="371" t="inlineStr">
        <is>
          <t>Underwear</t>
        </is>
      </c>
      <c r="C202" s="372" t="inlineStr">
        <is>
          <t>3 — MEDIUM (selldown or markdown)</t>
        </is>
      </c>
      <c r="D202" s="376" t="n">
        <v>34</v>
      </c>
      <c r="E202" s="376" t="n">
        <v>61</v>
      </c>
      <c r="F202" s="376" t="n">
        <v>95</v>
      </c>
      <c r="G202" s="376" t="inlineStr">
        <is>
          <t>-</t>
        </is>
      </c>
      <c r="H202" s="376" t="inlineStr">
        <is>
          <t>$8,240</t>
        </is>
      </c>
      <c r="I202" s="514" t="inlineStr">
        <is>
          <t>$1,000</t>
        </is>
      </c>
      <c r="J202" s="376" t="inlineStr">
        <is>
          <t>Transfer Only</t>
        </is>
      </c>
    </row>
    <row r="203" ht="18" customHeight="1" s="229">
      <c r="A203" s="361" t="inlineStr">
        <is>
          <t>Women's Briefs Gift Set</t>
        </is>
      </c>
      <c r="B203" s="362" t="inlineStr">
        <is>
          <t>Underwear</t>
        </is>
      </c>
      <c r="C203" s="364" t="inlineStr">
        <is>
          <t>4 — LOW (natural sellthrough)</t>
        </is>
      </c>
      <c r="D203" s="368" t="n">
        <v>0</v>
      </c>
      <c r="E203" s="368" t="n">
        <v>70</v>
      </c>
      <c r="F203" s="368" t="n">
        <v>70</v>
      </c>
      <c r="G203" s="368" t="inlineStr">
        <is>
          <t>-</t>
        </is>
      </c>
      <c r="H203" s="368" t="inlineStr">
        <is>
          <t>$5,495</t>
        </is>
      </c>
      <c r="I203" s="513" t="inlineStr">
        <is>
          <t>$0</t>
        </is>
      </c>
      <c r="J203" s="368" t="inlineStr">
        <is>
          <t>Transfer Only</t>
        </is>
      </c>
    </row>
    <row r="204" ht="18" customHeight="1" s="229">
      <c r="A204" s="370" t="inlineStr">
        <is>
          <t>Self Silk Triangle Bra</t>
        </is>
      </c>
      <c r="B204" s="371" t="inlineStr">
        <is>
          <t>Underwear</t>
        </is>
      </c>
      <c r="C204" s="372" t="inlineStr">
        <is>
          <t>3 — MEDIUM (selldown or markdown)</t>
        </is>
      </c>
      <c r="D204" s="376" t="n">
        <v>50</v>
      </c>
      <c r="E204" s="376" t="n">
        <v>19</v>
      </c>
      <c r="F204" s="376" t="n">
        <v>69</v>
      </c>
      <c r="G204" s="515" t="n">
        <v>4</v>
      </c>
      <c r="H204" s="376" t="inlineStr">
        <is>
          <t>$2,260</t>
        </is>
      </c>
      <c r="I204" s="514" t="inlineStr">
        <is>
          <t>$1,500</t>
        </is>
      </c>
      <c r="J204" s="376" t="inlineStr">
        <is>
          <t>Transfer (CN) + Flash Sale (US)</t>
        </is>
      </c>
    </row>
    <row r="205" ht="18" customHeight="1" s="229">
      <c r="A205" s="361" t="inlineStr">
        <is>
          <t>Pure Comfort Premium Triangle Bra</t>
        </is>
      </c>
      <c r="B205" s="362" t="inlineStr">
        <is>
          <t>Underwear</t>
        </is>
      </c>
      <c r="C205" s="364" t="inlineStr">
        <is>
          <t>4 — LOW (natural sellthrough)</t>
        </is>
      </c>
      <c r="D205" s="368" t="n">
        <v>4</v>
      </c>
      <c r="E205" s="368" t="n">
        <v>65</v>
      </c>
      <c r="F205" s="368" t="n">
        <v>69</v>
      </c>
      <c r="G205" s="512" t="n">
        <v>2</v>
      </c>
      <c r="H205" s="368" t="inlineStr">
        <is>
          <t>$856</t>
        </is>
      </c>
      <c r="I205" s="513" t="inlineStr">
        <is>
          <t>$180</t>
        </is>
      </c>
      <c r="J205" s="368" t="inlineStr">
        <is>
          <t>Transfer (CN) + Flash Sale (US)</t>
        </is>
      </c>
    </row>
    <row r="206" ht="18" customHeight="1" s="229">
      <c r="A206" s="370" t="inlineStr">
        <is>
          <t>Second Skin Mid Waist Brief</t>
        </is>
      </c>
      <c r="B206" s="371" t="inlineStr">
        <is>
          <t>Underwear</t>
        </is>
      </c>
      <c r="C206" s="372" t="inlineStr">
        <is>
          <t>4 — LOW (natural sellthrough)</t>
        </is>
      </c>
      <c r="D206" s="376" t="n">
        <v>0</v>
      </c>
      <c r="E206" s="376" t="n">
        <v>63</v>
      </c>
      <c r="F206" s="376" t="n">
        <v>63</v>
      </c>
      <c r="G206" s="376" t="inlineStr">
        <is>
          <t>-</t>
        </is>
      </c>
      <c r="H206" s="376" t="inlineStr">
        <is>
          <t>$1,145</t>
        </is>
      </c>
      <c r="I206" s="514" t="inlineStr">
        <is>
          <t>$0</t>
        </is>
      </c>
      <c r="J206" s="376" t="inlineStr">
        <is>
          <t>Transfer Only</t>
        </is>
      </c>
    </row>
    <row r="207" ht="18" customHeight="1" s="229">
      <c r="A207" s="361" t="inlineStr">
        <is>
          <t>Twin Cross Mesh Mid Waist Brief</t>
        </is>
      </c>
      <c r="B207" s="362" t="inlineStr">
        <is>
          <t>Underwear</t>
        </is>
      </c>
      <c r="C207" s="364" t="inlineStr">
        <is>
          <t>3 — MEDIUM (selldown or markdown)</t>
        </is>
      </c>
      <c r="D207" s="368" t="n">
        <v>37</v>
      </c>
      <c r="E207" s="368" t="n">
        <v>21</v>
      </c>
      <c r="F207" s="368" t="n">
        <v>58</v>
      </c>
      <c r="G207" s="368" t="inlineStr">
        <is>
          <t>-</t>
        </is>
      </c>
      <c r="H207" s="368" t="inlineStr">
        <is>
          <t>$3,157</t>
        </is>
      </c>
      <c r="I207" s="513" t="inlineStr">
        <is>
          <t>$1,110</t>
        </is>
      </c>
      <c r="J207" s="368" t="inlineStr">
        <is>
          <t>Transfer Only</t>
        </is>
      </c>
    </row>
    <row r="208" ht="18" customHeight="1" s="229">
      <c r="A208" s="370" t="inlineStr">
        <is>
          <t>Pantie Pro Light Mid Waist Period Brief</t>
        </is>
      </c>
      <c r="B208" s="371" t="inlineStr">
        <is>
          <t>Underwear</t>
        </is>
      </c>
      <c r="C208" s="372" t="inlineStr">
        <is>
          <t>4 — LOW (natural sellthrough)</t>
        </is>
      </c>
      <c r="D208" s="376" t="n">
        <v>2</v>
      </c>
      <c r="E208" s="376" t="n">
        <v>54</v>
      </c>
      <c r="F208" s="376" t="n">
        <v>56</v>
      </c>
      <c r="G208" s="376" t="inlineStr">
        <is>
          <t>-</t>
        </is>
      </c>
      <c r="H208" s="376" t="inlineStr">
        <is>
          <t>$375</t>
        </is>
      </c>
      <c r="I208" s="514" t="inlineStr">
        <is>
          <t>$60</t>
        </is>
      </c>
      <c r="J208" s="376" t="inlineStr">
        <is>
          <t>Transfer Only</t>
        </is>
      </c>
    </row>
    <row r="209" ht="18" customHeight="1" s="229">
      <c r="A209" s="361" t="inlineStr">
        <is>
          <t>Nude Shape Low Waist Brief</t>
        </is>
      </c>
      <c r="B209" s="362" t="inlineStr">
        <is>
          <t>Underwear</t>
        </is>
      </c>
      <c r="C209" s="364" t="inlineStr">
        <is>
          <t>2 — HIGH (excess inventory vs demand)</t>
        </is>
      </c>
      <c r="D209" s="368" t="n">
        <v>55</v>
      </c>
      <c r="E209" s="368" t="n">
        <v>0</v>
      </c>
      <c r="F209" s="368" t="n">
        <v>55</v>
      </c>
      <c r="G209" s="368" t="inlineStr">
        <is>
          <t>-</t>
        </is>
      </c>
      <c r="H209" s="368" t="inlineStr">
        <is>
          <t>$119</t>
        </is>
      </c>
      <c r="I209" s="513" t="inlineStr">
        <is>
          <t>$1,650</t>
        </is>
      </c>
      <c r="J209" s="368" t="inlineStr">
        <is>
          <t>Transfer Only</t>
        </is>
      </c>
    </row>
    <row r="210" ht="18" customHeight="1" s="229">
      <c r="A210" s="370" t="inlineStr">
        <is>
          <t>Silk Blend Briefs (3 Pack)</t>
        </is>
      </c>
      <c r="B210" s="371" t="inlineStr">
        <is>
          <t>Underwear</t>
        </is>
      </c>
      <c r="C210" s="372" t="inlineStr">
        <is>
          <t>3 — MEDIUM (selldown or markdown)</t>
        </is>
      </c>
      <c r="D210" s="376" t="n">
        <v>51</v>
      </c>
      <c r="E210" s="376" t="n">
        <v>0</v>
      </c>
      <c r="F210" s="376" t="n">
        <v>51</v>
      </c>
      <c r="G210" s="376" t="inlineStr">
        <is>
          <t>-</t>
        </is>
      </c>
      <c r="H210" s="376" t="inlineStr">
        <is>
          <t>$4,227</t>
        </is>
      </c>
      <c r="I210" s="514" t="inlineStr">
        <is>
          <t>$1,530</t>
        </is>
      </c>
      <c r="J210" s="376" t="inlineStr">
        <is>
          <t>Transfer Only</t>
        </is>
      </c>
    </row>
    <row r="211" ht="18" customHeight="1" s="229">
      <c r="A211" s="361" t="inlineStr">
        <is>
          <t>Belle Lace Triangle Bra</t>
        </is>
      </c>
      <c r="B211" s="362" t="inlineStr">
        <is>
          <t>Underwear</t>
        </is>
      </c>
      <c r="C211" s="364" t="inlineStr">
        <is>
          <t>4 — LOW (natural sellthrough)</t>
        </is>
      </c>
      <c r="D211" s="368" t="n">
        <v>3</v>
      </c>
      <c r="E211" s="368" t="n">
        <v>47</v>
      </c>
      <c r="F211" s="368" t="n">
        <v>50</v>
      </c>
      <c r="G211" s="512" t="n">
        <v>5</v>
      </c>
      <c r="H211" s="368" t="inlineStr">
        <is>
          <t>$1,586</t>
        </is>
      </c>
      <c r="I211" s="513" t="inlineStr">
        <is>
          <t>$180</t>
        </is>
      </c>
      <c r="J211" s="368" t="inlineStr">
        <is>
          <t>Transfer (CN) + Flash Sale (US)</t>
        </is>
      </c>
    </row>
    <row r="212" ht="18" customHeight="1" s="229">
      <c r="A212" s="370" t="inlineStr">
        <is>
          <t>Winged Support ¬æ Cup Bra</t>
        </is>
      </c>
      <c r="B212" s="371" t="inlineStr">
        <is>
          <t>Underwear</t>
        </is>
      </c>
      <c r="C212" s="372" t="inlineStr">
        <is>
          <t>3 — MEDIUM (selldown or markdown)</t>
        </is>
      </c>
      <c r="D212" s="376" t="n">
        <v>45</v>
      </c>
      <c r="E212" s="376" t="n">
        <v>0</v>
      </c>
      <c r="F212" s="376" t="n">
        <v>45</v>
      </c>
      <c r="G212" s="515" t="n">
        <v>17</v>
      </c>
      <c r="H212" s="376" t="inlineStr">
        <is>
          <t>$570</t>
        </is>
      </c>
      <c r="I212" s="514" t="inlineStr">
        <is>
          <t>$940</t>
        </is>
      </c>
      <c r="J212" s="376" t="inlineStr">
        <is>
          <t>Transfer (CN) + Flash Sale (US)</t>
        </is>
      </c>
    </row>
    <row r="213" ht="18" customHeight="1" s="229">
      <c r="A213" s="361" t="inlineStr">
        <is>
          <t>Nude Shape High Waist Sculpture Shorts</t>
        </is>
      </c>
      <c r="B213" s="362" t="inlineStr">
        <is>
          <t>Underwear</t>
        </is>
      </c>
      <c r="C213" s="364" t="inlineStr">
        <is>
          <t>4 — LOW (natural sellthrough)</t>
        </is>
      </c>
      <c r="D213" s="368" t="n">
        <v>12</v>
      </c>
      <c r="E213" s="368" t="n">
        <v>33</v>
      </c>
      <c r="F213" s="368" t="n">
        <v>45</v>
      </c>
      <c r="G213" s="368" t="inlineStr">
        <is>
          <t>-</t>
        </is>
      </c>
      <c r="H213" s="368" t="inlineStr">
        <is>
          <t>$1,044</t>
        </is>
      </c>
      <c r="I213" s="513" t="inlineStr">
        <is>
          <t>$360</t>
        </is>
      </c>
      <c r="J213" s="368" t="inlineStr">
        <is>
          <t>Transfer Only</t>
        </is>
      </c>
    </row>
    <row r="214" ht="18" customHeight="1" s="229">
      <c r="A214" s="370" t="inlineStr">
        <is>
          <t>Essential Low-Waist Brief</t>
        </is>
      </c>
      <c r="B214" s="371" t="inlineStr">
        <is>
          <t>Underwear</t>
        </is>
      </c>
      <c r="C214" s="372" t="inlineStr">
        <is>
          <t>2 — HIGH (excess inventory vs demand)</t>
        </is>
      </c>
      <c r="D214" s="376" t="n">
        <v>41</v>
      </c>
      <c r="E214" s="376" t="n">
        <v>0</v>
      </c>
      <c r="F214" s="376" t="n">
        <v>41</v>
      </c>
      <c r="G214" s="376" t="inlineStr">
        <is>
          <t>-</t>
        </is>
      </c>
      <c r="H214" s="376" t="inlineStr">
        <is>
          <t>$591</t>
        </is>
      </c>
      <c r="I214" s="514" t="inlineStr">
        <is>
          <t>$1,230</t>
        </is>
      </c>
      <c r="J214" s="376" t="inlineStr">
        <is>
          <t>Transfer Only</t>
        </is>
      </c>
    </row>
    <row r="215" ht="18" customHeight="1" s="229">
      <c r="A215" s="361" t="inlineStr">
        <is>
          <t>Thin¬†Strap¬†Low¬†Waist¬†Brief</t>
        </is>
      </c>
      <c r="B215" s="362" t="inlineStr">
        <is>
          <t>Underwear</t>
        </is>
      </c>
      <c r="C215" s="364" t="inlineStr">
        <is>
          <t>4 — LOW (natural sellthrough)</t>
        </is>
      </c>
      <c r="D215" s="368" t="n">
        <v>4</v>
      </c>
      <c r="E215" s="368" t="n">
        <v>33</v>
      </c>
      <c r="F215" s="368" t="n">
        <v>37</v>
      </c>
      <c r="G215" s="368" t="inlineStr">
        <is>
          <t>-</t>
        </is>
      </c>
      <c r="H215" s="368" t="inlineStr">
        <is>
          <t>$121</t>
        </is>
      </c>
      <c r="I215" s="513" t="inlineStr">
        <is>
          <t>$120</t>
        </is>
      </c>
      <c r="J215" s="368" t="inlineStr">
        <is>
          <t>Transfer Only</t>
        </is>
      </c>
    </row>
    <row r="216" ht="18" customHeight="1" s="229">
      <c r="A216" s="370" t="inlineStr">
        <is>
          <t>Nude Skin Bra</t>
        </is>
      </c>
      <c r="B216" s="371" t="inlineStr">
        <is>
          <t>Underwear</t>
        </is>
      </c>
      <c r="C216" s="372" t="inlineStr">
        <is>
          <t>2 — HIGH (dead product)</t>
        </is>
      </c>
      <c r="D216" s="376" t="n">
        <v>0</v>
      </c>
      <c r="E216" s="376" t="n">
        <v>30</v>
      </c>
      <c r="F216" s="376" t="n">
        <v>30</v>
      </c>
      <c r="G216" s="515" t="n">
        <v>8</v>
      </c>
      <c r="H216" s="376" t="inlineStr">
        <is>
          <t>$0</t>
        </is>
      </c>
      <c r="I216" s="514" t="inlineStr">
        <is>
          <t>$0</t>
        </is>
      </c>
      <c r="J216" s="376" t="inlineStr">
        <is>
          <t>Transfer (CN) + Flash Sale (US)</t>
        </is>
      </c>
    </row>
    <row r="217" ht="18" customHeight="1" s="229">
      <c r="A217" s="361" t="inlineStr">
        <is>
          <t>Cooling Briefs (3-Pack)</t>
        </is>
      </c>
      <c r="B217" s="362" t="inlineStr">
        <is>
          <t>Underwear</t>
        </is>
      </c>
      <c r="C217" s="364" t="inlineStr">
        <is>
          <t>4 — LOW (natural sellthrough)</t>
        </is>
      </c>
      <c r="D217" s="368" t="n">
        <v>9</v>
      </c>
      <c r="E217" s="368" t="n">
        <v>20</v>
      </c>
      <c r="F217" s="368" t="n">
        <v>29</v>
      </c>
      <c r="G217" s="368" t="inlineStr">
        <is>
          <t>-</t>
        </is>
      </c>
      <c r="H217" s="368" t="inlineStr">
        <is>
          <t>$254</t>
        </is>
      </c>
      <c r="I217" s="513" t="inlineStr">
        <is>
          <t>$210</t>
        </is>
      </c>
      <c r="J217" s="368" t="inlineStr">
        <is>
          <t>Transfer Only</t>
        </is>
      </c>
    </row>
    <row r="218" ht="18" customHeight="1" s="229">
      <c r="A218" s="370" t="inlineStr">
        <is>
          <t>Shimmer Plunge Bra</t>
        </is>
      </c>
      <c r="B218" s="371" t="inlineStr">
        <is>
          <t>Underwear</t>
        </is>
      </c>
      <c r="C218" s="372" t="inlineStr">
        <is>
          <t>4 — LOW (natural sellthrough)</t>
        </is>
      </c>
      <c r="D218" s="376" t="n">
        <v>0</v>
      </c>
      <c r="E218" s="376" t="n">
        <v>26</v>
      </c>
      <c r="F218" s="376" t="n">
        <v>26</v>
      </c>
      <c r="G218" s="515" t="n">
        <v>9</v>
      </c>
      <c r="H218" s="376" t="inlineStr">
        <is>
          <t>$179</t>
        </is>
      </c>
      <c r="I218" s="514" t="inlineStr">
        <is>
          <t>$270</t>
        </is>
      </c>
      <c r="J218" s="376" t="inlineStr">
        <is>
          <t>Transfer (CN) + Flash Sale (US)</t>
        </is>
      </c>
    </row>
    <row r="219" ht="18" customHeight="1" s="229">
      <c r="A219" s="361" t="inlineStr">
        <is>
          <t>Basic Chic Thong</t>
        </is>
      </c>
      <c r="B219" s="362" t="inlineStr">
        <is>
          <t>Underwear</t>
        </is>
      </c>
      <c r="C219" s="364" t="inlineStr">
        <is>
          <t>4 — LOW (natural sellthrough)</t>
        </is>
      </c>
      <c r="D219" s="368" t="n">
        <v>10</v>
      </c>
      <c r="E219" s="368" t="n">
        <v>8</v>
      </c>
      <c r="F219" s="368" t="n">
        <v>18</v>
      </c>
      <c r="G219" s="368" t="inlineStr">
        <is>
          <t>-</t>
        </is>
      </c>
      <c r="H219" s="368" t="inlineStr">
        <is>
          <t>$45</t>
        </is>
      </c>
      <c r="I219" s="513" t="inlineStr">
        <is>
          <t>$300</t>
        </is>
      </c>
      <c r="J219" s="368" t="inlineStr">
        <is>
          <t>Transfer Only</t>
        </is>
      </c>
    </row>
    <row r="220" ht="18" customHeight="1" s="229">
      <c r="A220" s="370" t="inlineStr">
        <is>
          <t>Maternity Crossover Low Waist Brief</t>
        </is>
      </c>
      <c r="B220" s="371" t="inlineStr">
        <is>
          <t>Underwear</t>
        </is>
      </c>
      <c r="C220" s="372" t="inlineStr">
        <is>
          <t>4 — LOW (natural sellthrough)</t>
        </is>
      </c>
      <c r="D220" s="376" t="n">
        <v>8</v>
      </c>
      <c r="E220" s="376" t="n">
        <v>0</v>
      </c>
      <c r="F220" s="376" t="n">
        <v>8</v>
      </c>
      <c r="G220" s="376" t="inlineStr">
        <is>
          <t>-</t>
        </is>
      </c>
      <c r="H220" s="376" t="inlineStr">
        <is>
          <t>$52</t>
        </is>
      </c>
      <c r="I220" s="514" t="inlineStr">
        <is>
          <t>$160</t>
        </is>
      </c>
      <c r="J220" s="376" t="inlineStr">
        <is>
          <t>Transfer Only</t>
        </is>
      </c>
    </row>
    <row r="221" ht="18" customHeight="1" s="229">
      <c r="A221" s="361" t="inlineStr">
        <is>
          <t>Pure Beauty Bridal Low Waist Brief</t>
        </is>
      </c>
      <c r="B221" s="362" t="inlineStr">
        <is>
          <t>Underwear</t>
        </is>
      </c>
      <c r="C221" s="364" t="inlineStr">
        <is>
          <t>4 — LOW (natural sellthrough)</t>
        </is>
      </c>
      <c r="D221" s="368" t="n">
        <v>7</v>
      </c>
      <c r="E221" s="368" t="n">
        <v>0</v>
      </c>
      <c r="F221" s="368" t="n">
        <v>7</v>
      </c>
      <c r="G221" s="368" t="inlineStr">
        <is>
          <t>-</t>
        </is>
      </c>
      <c r="H221" s="368" t="inlineStr">
        <is>
          <t>$127</t>
        </is>
      </c>
      <c r="I221" s="513" t="inlineStr">
        <is>
          <t>$210</t>
        </is>
      </c>
      <c r="J221" s="368" t="inlineStr">
        <is>
          <t>Transfer Only</t>
        </is>
      </c>
    </row>
    <row r="222" ht="18" customHeight="1" s="229">
      <c r="A222" s="370" t="inlineStr">
        <is>
          <t>Velvet Low-Waist Brief</t>
        </is>
      </c>
      <c r="B222" s="371" t="inlineStr">
        <is>
          <t>Underwear</t>
        </is>
      </c>
      <c r="C222" s="372" t="inlineStr">
        <is>
          <t>4 — LOW (natural sellthrough)</t>
        </is>
      </c>
      <c r="D222" s="376" t="n">
        <v>6</v>
      </c>
      <c r="E222" s="376" t="n">
        <v>0</v>
      </c>
      <c r="F222" s="376" t="n">
        <v>6</v>
      </c>
      <c r="G222" s="376" t="inlineStr">
        <is>
          <t>-</t>
        </is>
      </c>
      <c r="H222" s="376" t="inlineStr">
        <is>
          <t>$104</t>
        </is>
      </c>
      <c r="I222" s="514" t="inlineStr">
        <is>
          <t>$180</t>
        </is>
      </c>
      <c r="J222" s="376" t="inlineStr">
        <is>
          <t>Transfer Only</t>
        </is>
      </c>
    </row>
    <row r="223" ht="18" customHeight="1" s="229">
      <c r="A223" s="361" t="inlineStr">
        <is>
          <t>UltraFlex Light Bra</t>
        </is>
      </c>
      <c r="B223" s="362" t="inlineStr">
        <is>
          <t>Underwear</t>
        </is>
      </c>
      <c r="C223" s="364" t="inlineStr">
        <is>
          <t>4 — LOW (natural sellthrough)</t>
        </is>
      </c>
      <c r="D223" s="368" t="n">
        <v>1</v>
      </c>
      <c r="E223" s="368" t="n">
        <v>0</v>
      </c>
      <c r="F223" s="368" t="n">
        <v>1</v>
      </c>
      <c r="G223" s="512" t="n">
        <v>1</v>
      </c>
      <c r="H223" s="368" t="inlineStr">
        <is>
          <t>$4,430</t>
        </is>
      </c>
      <c r="I223" s="513" t="inlineStr">
        <is>
          <t>$30</t>
        </is>
      </c>
      <c r="J223" s="368" t="inlineStr">
        <is>
          <t>Transfer (CN) + Flash Sale (US)</t>
        </is>
      </c>
    </row>
    <row r="224" ht="18" customHeight="1" s="229">
      <c r="A224" s="370" t="inlineStr">
        <is>
          <t>Ultraflex Light Bra</t>
        </is>
      </c>
      <c r="B224" s="371" t="inlineStr">
        <is>
          <t>Underwear</t>
        </is>
      </c>
      <c r="C224" s="372" t="inlineStr">
        <is>
          <t>2 — HIGH (dead product)</t>
        </is>
      </c>
      <c r="D224" s="376" t="n">
        <v>1</v>
      </c>
      <c r="E224" s="376" t="n">
        <v>0</v>
      </c>
      <c r="F224" s="376" t="n">
        <v>1</v>
      </c>
      <c r="G224" s="515" t="n">
        <v>1</v>
      </c>
      <c r="H224" s="376" t="inlineStr">
        <is>
          <t>$0</t>
        </is>
      </c>
      <c r="I224" s="514" t="inlineStr">
        <is>
          <t>$0</t>
        </is>
      </c>
      <c r="J224" s="376" t="inlineStr">
        <is>
          <t>Transfer (CN) + Flash Sale (US)</t>
        </is>
      </c>
    </row>
    <row r="225" ht="18" customHeight="1" s="229">
      <c r="A225" s="381" t="inlineStr">
        <is>
          <t>ACTIVE  —  159 products  |  21,488 total CN units  (Yuntu: 8,938  |  菜鸟仓: 12,550)</t>
        </is>
      </c>
      <c r="B225" s="382" t="n"/>
      <c r="C225" s="382" t="n"/>
      <c r="D225" s="382" t="n"/>
      <c r="E225" s="382" t="n"/>
      <c r="F225" s="382" t="n"/>
      <c r="G225" s="382" t="n"/>
      <c r="H225" s="382" t="n"/>
      <c r="I225" s="382" t="n"/>
      <c r="J225" s="382" t="n"/>
    </row>
    <row r="226" ht="18" customHeight="1" s="229">
      <c r="A226" s="383" t="inlineStr">
        <is>
          <t>NEIWAI ACTIVE X Andrea Jiapei Li Stirrup Leggings</t>
        </is>
      </c>
      <c r="B226" s="384" t="inlineStr">
        <is>
          <t>Active</t>
        </is>
      </c>
      <c r="C226" s="385" t="inlineStr">
        <is>
          <t>4 — LOW (natural sellthrough)</t>
        </is>
      </c>
      <c r="D226" s="389" t="n">
        <v>8</v>
      </c>
      <c r="E226" s="389" t="n">
        <v>899</v>
      </c>
      <c r="F226" s="389" t="n">
        <v>907</v>
      </c>
      <c r="G226" s="389" t="inlineStr">
        <is>
          <t>-</t>
        </is>
      </c>
      <c r="H226" s="389" t="inlineStr">
        <is>
          <t>$203</t>
        </is>
      </c>
      <c r="I226" s="516" t="inlineStr">
        <is>
          <t>$486</t>
        </is>
      </c>
      <c r="J226" s="389" t="inlineStr">
        <is>
          <t>Transfer Only</t>
        </is>
      </c>
    </row>
    <row r="227" ht="18" customHeight="1" s="229">
      <c r="A227" s="391" t="inlineStr">
        <is>
          <t>NEIWAI ACTIVE X NYCB Mousse Medium Support Leggings</t>
        </is>
      </c>
      <c r="B227" s="392" t="inlineStr">
        <is>
          <t>Active</t>
        </is>
      </c>
      <c r="C227" s="393" t="inlineStr">
        <is>
          <t>3 — MEDIUM (selldown or markdown)</t>
        </is>
      </c>
      <c r="D227" s="397" t="n">
        <v>140</v>
      </c>
      <c r="E227" s="397" t="n">
        <v>589</v>
      </c>
      <c r="F227" s="397" t="n">
        <v>729</v>
      </c>
      <c r="G227" s="397" t="inlineStr">
        <is>
          <t>-</t>
        </is>
      </c>
      <c r="H227" s="397" t="inlineStr">
        <is>
          <t>$2,105</t>
        </is>
      </c>
      <c r="I227" s="517" t="inlineStr">
        <is>
          <t>$6,048</t>
        </is>
      </c>
      <c r="J227" s="397" t="inlineStr">
        <is>
          <t>Transfer Only</t>
        </is>
      </c>
    </row>
    <row r="228" ht="18" customHeight="1" s="229">
      <c r="A228" s="383" t="inlineStr">
        <is>
          <t>Dance Flare Leggings</t>
        </is>
      </c>
      <c r="B228" s="384" t="inlineStr">
        <is>
          <t>Active</t>
        </is>
      </c>
      <c r="C228" s="385" t="inlineStr">
        <is>
          <t>3 — MEDIUM (selldown or markdown)</t>
        </is>
      </c>
      <c r="D228" s="389" t="n">
        <v>35</v>
      </c>
      <c r="E228" s="389" t="n">
        <v>563</v>
      </c>
      <c r="F228" s="389" t="n">
        <v>598</v>
      </c>
      <c r="G228" s="389" t="inlineStr">
        <is>
          <t>-</t>
        </is>
      </c>
      <c r="H228" s="389" t="inlineStr">
        <is>
          <t>$1,656</t>
        </is>
      </c>
      <c r="I228" s="516" t="inlineStr">
        <is>
          <t>$1,062</t>
        </is>
      </c>
      <c r="J228" s="389" t="inlineStr">
        <is>
          <t>Transfer Only</t>
        </is>
      </c>
    </row>
    <row r="229" ht="18" customHeight="1" s="229">
      <c r="A229" s="391" t="inlineStr">
        <is>
          <t>Core Medium Support Leggings</t>
        </is>
      </c>
      <c r="B229" s="392" t="inlineStr">
        <is>
          <t>Active</t>
        </is>
      </c>
      <c r="C229" s="393" t="inlineStr">
        <is>
          <t>3 — MEDIUM (selldown or markdown)</t>
        </is>
      </c>
      <c r="D229" s="397" t="n">
        <v>31</v>
      </c>
      <c r="E229" s="397" t="n">
        <v>528</v>
      </c>
      <c r="F229" s="397" t="n">
        <v>559</v>
      </c>
      <c r="G229" s="397" t="inlineStr">
        <is>
          <t>-</t>
        </is>
      </c>
      <c r="H229" s="397" t="inlineStr">
        <is>
          <t>$793</t>
        </is>
      </c>
      <c r="I229" s="517" t="inlineStr">
        <is>
          <t>$1,332</t>
        </is>
      </c>
      <c r="J229" s="397" t="inlineStr">
        <is>
          <t>Transfer Only</t>
        </is>
      </c>
    </row>
    <row r="230" ht="18" customHeight="1" s="229">
      <c r="A230" s="383" t="inlineStr">
        <is>
          <t>Mousse Light Support Leggings</t>
        </is>
      </c>
      <c r="B230" s="384" t="inlineStr">
        <is>
          <t>Active</t>
        </is>
      </c>
      <c r="C230" s="385" t="inlineStr">
        <is>
          <t>3 — MEDIUM (selldown or markdown)</t>
        </is>
      </c>
      <c r="D230" s="389" t="n">
        <v>83</v>
      </c>
      <c r="E230" s="389" t="n">
        <v>446</v>
      </c>
      <c r="F230" s="389" t="n">
        <v>529</v>
      </c>
      <c r="G230" s="518" t="n">
        <v>3</v>
      </c>
      <c r="H230" s="389" t="inlineStr">
        <is>
          <t>$1,649</t>
        </is>
      </c>
      <c r="I230" s="516" t="inlineStr">
        <is>
          <t>$3,186</t>
        </is>
      </c>
      <c r="J230" s="389" t="inlineStr">
        <is>
          <t>Transfer (CN) + Flash Sale (US)</t>
        </is>
      </c>
    </row>
    <row r="231" ht="18" customHeight="1" s="229">
      <c r="A231" s="391" t="inlineStr">
        <is>
          <t>High Support Sports Bra</t>
        </is>
      </c>
      <c r="B231" s="392" t="inlineStr">
        <is>
          <t>Active</t>
        </is>
      </c>
      <c r="C231" s="393" t="inlineStr">
        <is>
          <t>3 — MEDIUM (selldown or markdown)</t>
        </is>
      </c>
      <c r="D231" s="397" t="n">
        <v>59</v>
      </c>
      <c r="E231" s="397" t="n">
        <v>444</v>
      </c>
      <c r="F231" s="397" t="n">
        <v>503</v>
      </c>
      <c r="G231" s="519" t="n">
        <v>27</v>
      </c>
      <c r="H231" s="397" t="inlineStr">
        <is>
          <t>$2,423</t>
        </is>
      </c>
      <c r="I231" s="517" t="inlineStr">
        <is>
          <t>$2,952</t>
        </is>
      </c>
      <c r="J231" s="397" t="inlineStr">
        <is>
          <t>Transfer (CN) + Flash Sale (US)</t>
        </is>
      </c>
    </row>
    <row r="232" ht="18" customHeight="1" s="229">
      <c r="A232" s="383" t="inlineStr">
        <is>
          <t>Ballet Longsleeve T-shirt</t>
        </is>
      </c>
      <c r="B232" s="384" t="inlineStr">
        <is>
          <t>Active</t>
        </is>
      </c>
      <c r="C232" s="385" t="inlineStr">
        <is>
          <t>4 — LOW (natural sellthrough)</t>
        </is>
      </c>
      <c r="D232" s="389" t="n">
        <v>37</v>
      </c>
      <c r="E232" s="389" t="n">
        <v>415</v>
      </c>
      <c r="F232" s="389" t="n">
        <v>452</v>
      </c>
      <c r="G232" s="389" t="inlineStr">
        <is>
          <t>-</t>
        </is>
      </c>
      <c r="H232" s="389" t="inlineStr">
        <is>
          <t>$780</t>
        </is>
      </c>
      <c r="I232" s="516" t="inlineStr">
        <is>
          <t>$864</t>
        </is>
      </c>
      <c r="J232" s="389" t="inlineStr">
        <is>
          <t>Transfer Only</t>
        </is>
      </c>
    </row>
    <row r="233" ht="18" customHeight="1" s="229">
      <c r="A233" s="391" t="inlineStr">
        <is>
          <t>Voyage Gathered Swimsuit</t>
        </is>
      </c>
      <c r="B233" s="392" t="inlineStr">
        <is>
          <t>Active</t>
        </is>
      </c>
      <c r="C233" s="393" t="inlineStr">
        <is>
          <t>2 — HIGH (excess inventory vs demand)</t>
        </is>
      </c>
      <c r="D233" s="397" t="n">
        <v>443</v>
      </c>
      <c r="E233" s="397" t="n">
        <v>0</v>
      </c>
      <c r="F233" s="397" t="n">
        <v>443</v>
      </c>
      <c r="G233" s="397" t="inlineStr">
        <is>
          <t>-</t>
        </is>
      </c>
      <c r="H233" s="397" t="inlineStr">
        <is>
          <t>$841</t>
        </is>
      </c>
      <c r="I233" s="517" t="inlineStr">
        <is>
          <t>$23,022</t>
        </is>
      </c>
      <c r="J233" s="397" t="inlineStr">
        <is>
          <t>Transfer Only</t>
        </is>
      </c>
    </row>
    <row r="234" ht="18" customHeight="1" s="229">
      <c r="A234" s="383" t="inlineStr">
        <is>
          <t>Mousse Cool Medium Support Leggings</t>
        </is>
      </c>
      <c r="B234" s="384" t="inlineStr">
        <is>
          <t>Active</t>
        </is>
      </c>
      <c r="C234" s="385" t="inlineStr">
        <is>
          <t>2 — HIGH (excess inventory vs demand)</t>
        </is>
      </c>
      <c r="D234" s="389" t="n">
        <v>438</v>
      </c>
      <c r="E234" s="389" t="n">
        <v>0</v>
      </c>
      <c r="F234" s="389" t="n">
        <v>438</v>
      </c>
      <c r="G234" s="389" t="inlineStr">
        <is>
          <t>-</t>
        </is>
      </c>
      <c r="H234" s="389" t="inlineStr">
        <is>
          <t>$80</t>
        </is>
      </c>
      <c r="I234" s="516" t="inlineStr">
        <is>
          <t>$4,446</t>
        </is>
      </c>
      <c r="J234" s="389" t="inlineStr">
        <is>
          <t>Transfer Only</t>
        </is>
      </c>
    </row>
    <row r="235" ht="18" customHeight="1" s="229">
      <c r="A235" s="391" t="inlineStr">
        <is>
          <t>Urban Sport Wool Leggings</t>
        </is>
      </c>
      <c r="B235" s="392" t="inlineStr">
        <is>
          <t>Active</t>
        </is>
      </c>
      <c r="C235" s="393" t="inlineStr">
        <is>
          <t>3 — MEDIUM (selldown or markdown)</t>
        </is>
      </c>
      <c r="D235" s="397" t="n">
        <v>29</v>
      </c>
      <c r="E235" s="397" t="n">
        <v>391</v>
      </c>
      <c r="F235" s="397" t="n">
        <v>420</v>
      </c>
      <c r="G235" s="397" t="inlineStr">
        <is>
          <t>-</t>
        </is>
      </c>
      <c r="H235" s="397" t="inlineStr">
        <is>
          <t>$1,788</t>
        </is>
      </c>
      <c r="I235" s="517" t="inlineStr">
        <is>
          <t>$990</t>
        </is>
      </c>
      <c r="J235" s="397" t="inlineStr">
        <is>
          <t>Transfer Only</t>
        </is>
      </c>
    </row>
    <row r="236" ht="18" customHeight="1" s="229">
      <c r="A236" s="383" t="inlineStr">
        <is>
          <t>Light Support Shorts</t>
        </is>
      </c>
      <c r="B236" s="384" t="inlineStr">
        <is>
          <t>Active</t>
        </is>
      </c>
      <c r="C236" s="385" t="inlineStr">
        <is>
          <t>4 — LOW (natural sellthrough)</t>
        </is>
      </c>
      <c r="D236" s="389" t="n">
        <v>16</v>
      </c>
      <c r="E236" s="389" t="n">
        <v>390</v>
      </c>
      <c r="F236" s="389" t="n">
        <v>406</v>
      </c>
      <c r="G236" s="389" t="inlineStr">
        <is>
          <t>-</t>
        </is>
      </c>
      <c r="H236" s="389" t="inlineStr">
        <is>
          <t>$105</t>
        </is>
      </c>
      <c r="I236" s="516" t="inlineStr">
        <is>
          <t>$288</t>
        </is>
      </c>
      <c r="J236" s="389" t="inlineStr">
        <is>
          <t>Transfer Only</t>
        </is>
      </c>
    </row>
    <row r="237" ht="18" customHeight="1" s="229">
      <c r="A237" s="391" t="inlineStr">
        <is>
          <t>Active Fitted Hoodie</t>
        </is>
      </c>
      <c r="B237" s="392" t="inlineStr">
        <is>
          <t>Active</t>
        </is>
      </c>
      <c r="C237" s="393" t="inlineStr">
        <is>
          <t>4 — LOW (natural sellthrough)</t>
        </is>
      </c>
      <c r="D237" s="397" t="n">
        <v>29</v>
      </c>
      <c r="E237" s="397" t="n">
        <v>295</v>
      </c>
      <c r="F237" s="397" t="n">
        <v>324</v>
      </c>
      <c r="G237" s="397" t="inlineStr">
        <is>
          <t>-</t>
        </is>
      </c>
      <c r="H237" s="397" t="inlineStr">
        <is>
          <t>$1,022</t>
        </is>
      </c>
      <c r="I237" s="517" t="inlineStr">
        <is>
          <t>$576</t>
        </is>
      </c>
      <c r="J237" s="397" t="inlineStr">
        <is>
          <t>Transfer Only</t>
        </is>
      </c>
    </row>
    <row r="238" ht="18" customHeight="1" s="229">
      <c r="A238" s="383" t="inlineStr">
        <is>
          <t>Ballet Knitted Wool Turtleneck Pullover</t>
        </is>
      </c>
      <c r="B238" s="384" t="inlineStr">
        <is>
          <t>Active</t>
        </is>
      </c>
      <c r="C238" s="385" t="inlineStr">
        <is>
          <t>4 — LOW (natural sellthrough)</t>
        </is>
      </c>
      <c r="D238" s="389" t="n">
        <v>20</v>
      </c>
      <c r="E238" s="389" t="n">
        <v>292</v>
      </c>
      <c r="F238" s="389" t="n">
        <v>312</v>
      </c>
      <c r="G238" s="389" t="inlineStr">
        <is>
          <t>-</t>
        </is>
      </c>
      <c r="H238" s="389" t="inlineStr">
        <is>
          <t>$1,055</t>
        </is>
      </c>
      <c r="I238" s="516" t="inlineStr">
        <is>
          <t>$558</t>
        </is>
      </c>
      <c r="J238" s="389" t="inlineStr">
        <is>
          <t>Transfer Only</t>
        </is>
      </c>
    </row>
    <row r="239" ht="18" customHeight="1" s="229">
      <c r="A239" s="391" t="inlineStr">
        <is>
          <t>Urban Sport Casual Sweater</t>
        </is>
      </c>
      <c r="B239" s="392" t="inlineStr">
        <is>
          <t>Active</t>
        </is>
      </c>
      <c r="C239" s="393" t="inlineStr">
        <is>
          <t>4 — LOW (natural sellthrough)</t>
        </is>
      </c>
      <c r="D239" s="397" t="n">
        <v>22</v>
      </c>
      <c r="E239" s="397" t="n">
        <v>285</v>
      </c>
      <c r="F239" s="397" t="n">
        <v>307</v>
      </c>
      <c r="G239" s="397" t="inlineStr">
        <is>
          <t>-</t>
        </is>
      </c>
      <c r="H239" s="397" t="inlineStr">
        <is>
          <t>$589</t>
        </is>
      </c>
      <c r="I239" s="517" t="inlineStr">
        <is>
          <t>$414</t>
        </is>
      </c>
      <c r="J239" s="397" t="inlineStr">
        <is>
          <t>Transfer Only</t>
        </is>
      </c>
    </row>
    <row r="240" ht="18" customHeight="1" s="229">
      <c r="A240" s="383" t="inlineStr">
        <is>
          <t>Mousse Medium Support Sports Bra</t>
        </is>
      </c>
      <c r="B240" s="384" t="inlineStr">
        <is>
          <t>Active</t>
        </is>
      </c>
      <c r="C240" s="385" t="inlineStr">
        <is>
          <t>4 — LOW (natural sellthrough)</t>
        </is>
      </c>
      <c r="D240" s="389" t="n">
        <v>23</v>
      </c>
      <c r="E240" s="389" t="n">
        <v>275</v>
      </c>
      <c r="F240" s="389" t="n">
        <v>298</v>
      </c>
      <c r="G240" s="518" t="n">
        <v>4</v>
      </c>
      <c r="H240" s="389" t="inlineStr">
        <is>
          <t>$1,061</t>
        </is>
      </c>
      <c r="I240" s="516" t="inlineStr">
        <is>
          <t>$666</t>
        </is>
      </c>
      <c r="J240" s="389" t="inlineStr">
        <is>
          <t>Transfer (CN) + Flash Sale (US)</t>
        </is>
      </c>
    </row>
    <row r="241" ht="18" customHeight="1" s="229">
      <c r="A241" s="391" t="inlineStr">
        <is>
          <t>Core Long Sleeve Training Top</t>
        </is>
      </c>
      <c r="B241" s="392" t="inlineStr">
        <is>
          <t>Active</t>
        </is>
      </c>
      <c r="C241" s="393" t="inlineStr">
        <is>
          <t>4 — LOW (natural sellthrough)</t>
        </is>
      </c>
      <c r="D241" s="397" t="n">
        <v>38</v>
      </c>
      <c r="E241" s="397" t="n">
        <v>257</v>
      </c>
      <c r="F241" s="397" t="n">
        <v>295</v>
      </c>
      <c r="G241" s="397" t="inlineStr">
        <is>
          <t>-</t>
        </is>
      </c>
      <c r="H241" s="397" t="inlineStr">
        <is>
          <t>$412</t>
        </is>
      </c>
      <c r="I241" s="517" t="inlineStr">
        <is>
          <t>$612</t>
        </is>
      </c>
      <c r="J241" s="397" t="inlineStr">
        <is>
          <t>Transfer Only</t>
        </is>
      </c>
    </row>
    <row r="242" ht="18" customHeight="1" s="229">
      <c r="A242" s="383" t="inlineStr">
        <is>
          <t>Active Ballet Stirrup Drawstring Leggings</t>
        </is>
      </c>
      <c r="B242" s="384" t="inlineStr">
        <is>
          <t>Active</t>
        </is>
      </c>
      <c r="C242" s="385" t="inlineStr">
        <is>
          <t>4 — LOW (natural sellthrough)</t>
        </is>
      </c>
      <c r="D242" s="389" t="n">
        <v>14</v>
      </c>
      <c r="E242" s="389" t="n">
        <v>269</v>
      </c>
      <c r="F242" s="389" t="n">
        <v>283</v>
      </c>
      <c r="G242" s="518" t="n">
        <v>2</v>
      </c>
      <c r="H242" s="389" t="inlineStr">
        <is>
          <t>$3,158</t>
        </is>
      </c>
      <c r="I242" s="516" t="inlineStr">
        <is>
          <t>$756</t>
        </is>
      </c>
      <c r="J242" s="389" t="inlineStr">
        <is>
          <t>Transfer (CN) + Flash Sale (US)</t>
        </is>
      </c>
    </row>
    <row r="243" ht="18" customHeight="1" s="229">
      <c r="A243" s="391" t="inlineStr">
        <is>
          <t>Ballet Knitted Wool Hoodie</t>
        </is>
      </c>
      <c r="B243" s="392" t="inlineStr">
        <is>
          <t>Active</t>
        </is>
      </c>
      <c r="C243" s="393" t="inlineStr">
        <is>
          <t>3 — MEDIUM (selldown or markdown)</t>
        </is>
      </c>
      <c r="D243" s="397" t="n">
        <v>28</v>
      </c>
      <c r="E243" s="397" t="n">
        <v>211</v>
      </c>
      <c r="F243" s="397" t="n">
        <v>239</v>
      </c>
      <c r="G243" s="397" t="inlineStr">
        <is>
          <t>-</t>
        </is>
      </c>
      <c r="H243" s="397" t="inlineStr">
        <is>
          <t>$1,357</t>
        </is>
      </c>
      <c r="I243" s="517" t="inlineStr">
        <is>
          <t>$1,152</t>
        </is>
      </c>
      <c r="J243" s="397" t="inlineStr">
        <is>
          <t>Transfer Only</t>
        </is>
      </c>
    </row>
    <row r="244" ht="18" customHeight="1" s="229">
      <c r="A244" s="383" t="inlineStr">
        <is>
          <t>Cross-back T-Shirt</t>
        </is>
      </c>
      <c r="B244" s="384" t="inlineStr">
        <is>
          <t>Active</t>
        </is>
      </c>
      <c r="C244" s="385" t="inlineStr">
        <is>
          <t>3 — MEDIUM (selldown or markdown)</t>
        </is>
      </c>
      <c r="D244" s="389" t="n">
        <v>214</v>
      </c>
      <c r="E244" s="389" t="n">
        <v>23</v>
      </c>
      <c r="F244" s="389" t="n">
        <v>237</v>
      </c>
      <c r="G244" s="389" t="inlineStr">
        <is>
          <t>-</t>
        </is>
      </c>
      <c r="H244" s="389" t="inlineStr">
        <is>
          <t>$64</t>
        </is>
      </c>
      <c r="I244" s="516" t="inlineStr">
        <is>
          <t>$1,062</t>
        </is>
      </c>
      <c r="J244" s="389" t="inlineStr">
        <is>
          <t>Transfer Only</t>
        </is>
      </c>
    </row>
    <row r="245" ht="18" customHeight="1" s="229">
      <c r="A245" s="391" t="inlineStr">
        <is>
          <t>Ballet Shrug</t>
        </is>
      </c>
      <c r="B245" s="392" t="inlineStr">
        <is>
          <t>Active</t>
        </is>
      </c>
      <c r="C245" s="393" t="inlineStr">
        <is>
          <t>2 — HIGH (excess inventory vs demand)</t>
        </is>
      </c>
      <c r="D245" s="397" t="n">
        <v>232</v>
      </c>
      <c r="E245" s="397" t="n">
        <v>0</v>
      </c>
      <c r="F245" s="397" t="n">
        <v>232</v>
      </c>
      <c r="G245" s="397" t="inlineStr">
        <is>
          <t>-</t>
        </is>
      </c>
      <c r="H245" s="397" t="inlineStr">
        <is>
          <t>$867</t>
        </is>
      </c>
      <c r="I245" s="517" t="inlineStr">
        <is>
          <t>$12,528</t>
        </is>
      </c>
      <c r="J245" s="397" t="inlineStr">
        <is>
          <t>Transfer Only</t>
        </is>
      </c>
    </row>
    <row r="246" ht="18" customHeight="1" s="229">
      <c r="A246" s="383" t="inlineStr">
        <is>
          <t>Core Training Skort</t>
        </is>
      </c>
      <c r="B246" s="384" t="inlineStr">
        <is>
          <t>Active</t>
        </is>
      </c>
      <c r="C246" s="385" t="inlineStr">
        <is>
          <t>4 — LOW (natural sellthrough)</t>
        </is>
      </c>
      <c r="D246" s="389" t="n">
        <v>34</v>
      </c>
      <c r="E246" s="389" t="n">
        <v>197</v>
      </c>
      <c r="F246" s="389" t="n">
        <v>231</v>
      </c>
      <c r="G246" s="389" t="inlineStr">
        <is>
          <t>-</t>
        </is>
      </c>
      <c r="H246" s="389" t="inlineStr">
        <is>
          <t>$273</t>
        </is>
      </c>
      <c r="I246" s="516" t="inlineStr">
        <is>
          <t>$324</t>
        </is>
      </c>
      <c r="J246" s="389" t="inlineStr">
        <is>
          <t>Transfer Only</t>
        </is>
      </c>
    </row>
    <row r="247" ht="18" customHeight="1" s="229">
      <c r="A247" s="391" t="inlineStr">
        <is>
          <t>Ballet Drawstring Joggers</t>
        </is>
      </c>
      <c r="B247" s="392" t="inlineStr">
        <is>
          <t>Active</t>
        </is>
      </c>
      <c r="C247" s="393" t="inlineStr">
        <is>
          <t>3 — MEDIUM (selldown or markdown)</t>
        </is>
      </c>
      <c r="D247" s="397" t="n">
        <v>128</v>
      </c>
      <c r="E247" s="397" t="n">
        <v>95</v>
      </c>
      <c r="F247" s="397" t="n">
        <v>223</v>
      </c>
      <c r="G247" s="397" t="inlineStr">
        <is>
          <t>-</t>
        </is>
      </c>
      <c r="H247" s="397" t="inlineStr">
        <is>
          <t>$1,533</t>
        </is>
      </c>
      <c r="I247" s="517" t="inlineStr">
        <is>
          <t>$6,516</t>
        </is>
      </c>
      <c r="J247" s="397" t="inlineStr">
        <is>
          <t>Transfer Only</t>
        </is>
      </c>
    </row>
    <row r="248" ht="18" customHeight="1" s="229">
      <c r="A248" s="383" t="inlineStr">
        <is>
          <t>Active Long Sleeve Tee</t>
        </is>
      </c>
      <c r="B248" s="384" t="inlineStr">
        <is>
          <t>Active</t>
        </is>
      </c>
      <c r="C248" s="385" t="inlineStr">
        <is>
          <t>4 — LOW (natural sellthrough)</t>
        </is>
      </c>
      <c r="D248" s="389" t="n">
        <v>31</v>
      </c>
      <c r="E248" s="389" t="n">
        <v>192</v>
      </c>
      <c r="F248" s="389" t="n">
        <v>223</v>
      </c>
      <c r="G248" s="389" t="inlineStr">
        <is>
          <t>-</t>
        </is>
      </c>
      <c r="H248" s="389" t="inlineStr">
        <is>
          <t>$808</t>
        </is>
      </c>
      <c r="I248" s="516" t="inlineStr">
        <is>
          <t>$756</t>
        </is>
      </c>
      <c r="J248" s="389" t="inlineStr">
        <is>
          <t>Transfer Only</t>
        </is>
      </c>
    </row>
    <row r="249" ht="18" customHeight="1" s="229">
      <c r="A249" s="391" t="inlineStr">
        <is>
          <t>High Support Leggings</t>
        </is>
      </c>
      <c r="B249" s="392" t="inlineStr">
        <is>
          <t>Active</t>
        </is>
      </c>
      <c r="C249" s="393" t="inlineStr">
        <is>
          <t>4 — LOW (natural sellthrough)</t>
        </is>
      </c>
      <c r="D249" s="397" t="n">
        <v>52</v>
      </c>
      <c r="E249" s="397" t="n">
        <v>168</v>
      </c>
      <c r="F249" s="397" t="n">
        <v>220</v>
      </c>
      <c r="G249" s="397" t="inlineStr">
        <is>
          <t>-</t>
        </is>
      </c>
      <c r="H249" s="397" t="inlineStr">
        <is>
          <t>$228</t>
        </is>
      </c>
      <c r="I249" s="517" t="inlineStr">
        <is>
          <t>$522</t>
        </is>
      </c>
      <c r="J249" s="397" t="inlineStr">
        <is>
          <t>Transfer Only</t>
        </is>
      </c>
    </row>
    <row r="250" ht="18" customHeight="1" s="229">
      <c r="A250" s="383" t="inlineStr">
        <is>
          <t>Mousse Cut-out Padded Crop Top</t>
        </is>
      </c>
      <c r="B250" s="384" t="inlineStr">
        <is>
          <t>Active</t>
        </is>
      </c>
      <c r="C250" s="385" t="inlineStr">
        <is>
          <t>4 — LOW (natural sellthrough)</t>
        </is>
      </c>
      <c r="D250" s="389" t="n">
        <v>23</v>
      </c>
      <c r="E250" s="389" t="n">
        <v>194</v>
      </c>
      <c r="F250" s="389" t="n">
        <v>217</v>
      </c>
      <c r="G250" s="389" t="inlineStr">
        <is>
          <t>-</t>
        </is>
      </c>
      <c r="H250" s="389" t="inlineStr">
        <is>
          <t>$1,862</t>
        </is>
      </c>
      <c r="I250" s="516" t="inlineStr">
        <is>
          <t>$882</t>
        </is>
      </c>
      <c r="J250" s="389" t="inlineStr">
        <is>
          <t>Transfer Only</t>
        </is>
      </c>
    </row>
    <row r="251" ht="18" customHeight="1" s="229">
      <c r="A251" s="391" t="inlineStr">
        <is>
          <t>Mousse Cropped Sports Tank</t>
        </is>
      </c>
      <c r="B251" s="392" t="inlineStr">
        <is>
          <t>Active</t>
        </is>
      </c>
      <c r="C251" s="393" t="inlineStr">
        <is>
          <t>4 — LOW (natural sellthrough)</t>
        </is>
      </c>
      <c r="D251" s="397" t="n">
        <v>26</v>
      </c>
      <c r="E251" s="397" t="n">
        <v>190</v>
      </c>
      <c r="F251" s="397" t="n">
        <v>216</v>
      </c>
      <c r="G251" s="397" t="inlineStr">
        <is>
          <t>-</t>
        </is>
      </c>
      <c r="H251" s="397" t="inlineStr">
        <is>
          <t>$695</t>
        </is>
      </c>
      <c r="I251" s="517" t="inlineStr">
        <is>
          <t>$684</t>
        </is>
      </c>
      <c r="J251" s="397" t="inlineStr">
        <is>
          <t>Transfer Only</t>
        </is>
      </c>
    </row>
    <row r="252" ht="18" customHeight="1" s="229">
      <c r="A252" s="383" t="inlineStr">
        <is>
          <t>Mousse Long Sleeve Sports Top</t>
        </is>
      </c>
      <c r="B252" s="384" t="inlineStr">
        <is>
          <t>Active</t>
        </is>
      </c>
      <c r="C252" s="385" t="inlineStr">
        <is>
          <t>3 — MEDIUM (selldown or markdown)</t>
        </is>
      </c>
      <c r="D252" s="389" t="n">
        <v>21</v>
      </c>
      <c r="E252" s="389" t="n">
        <v>194</v>
      </c>
      <c r="F252" s="389" t="n">
        <v>215</v>
      </c>
      <c r="G252" s="389" t="inlineStr">
        <is>
          <t>-</t>
        </is>
      </c>
      <c r="H252" s="389" t="inlineStr">
        <is>
          <t>$1,339</t>
        </is>
      </c>
      <c r="I252" s="516" t="inlineStr">
        <is>
          <t>$936</t>
        </is>
      </c>
      <c r="J252" s="389" t="inlineStr">
        <is>
          <t>Transfer Only</t>
        </is>
      </c>
    </row>
    <row r="253" ht="18" customHeight="1" s="229">
      <c r="A253" s="391" t="inlineStr">
        <is>
          <t>Dance Wool Wrap Cardigan</t>
        </is>
      </c>
      <c r="B253" s="392" t="inlineStr">
        <is>
          <t>Active</t>
        </is>
      </c>
      <c r="C253" s="393" t="inlineStr">
        <is>
          <t>4 — LOW (natural sellthrough)</t>
        </is>
      </c>
      <c r="D253" s="397" t="n">
        <v>11</v>
      </c>
      <c r="E253" s="397" t="n">
        <v>199</v>
      </c>
      <c r="F253" s="397" t="n">
        <v>210</v>
      </c>
      <c r="G253" s="397" t="inlineStr">
        <is>
          <t>-</t>
        </is>
      </c>
      <c r="H253" s="397" t="inlineStr">
        <is>
          <t>$3,429</t>
        </is>
      </c>
      <c r="I253" s="517" t="inlineStr">
        <is>
          <t>$666</t>
        </is>
      </c>
      <c r="J253" s="397" t="inlineStr">
        <is>
          <t>Transfer Only</t>
        </is>
      </c>
    </row>
    <row r="254" ht="18" customHeight="1" s="229">
      <c r="A254" s="383" t="inlineStr">
        <is>
          <t>Flyaway Tank</t>
        </is>
      </c>
      <c r="B254" s="384" t="inlineStr">
        <is>
          <t>Active</t>
        </is>
      </c>
      <c r="C254" s="385" t="inlineStr">
        <is>
          <t>2 — HIGH (excess inventory vs demand)</t>
        </is>
      </c>
      <c r="D254" s="389" t="n">
        <v>207</v>
      </c>
      <c r="E254" s="389" t="n">
        <v>0</v>
      </c>
      <c r="F254" s="389" t="n">
        <v>207</v>
      </c>
      <c r="G254" s="389" t="inlineStr">
        <is>
          <t>-</t>
        </is>
      </c>
      <c r="H254" s="389" t="inlineStr">
        <is>
          <t>$160</t>
        </is>
      </c>
      <c r="I254" s="516" t="inlineStr">
        <is>
          <t>$5,886</t>
        </is>
      </c>
      <c r="J254" s="389" t="inlineStr">
        <is>
          <t>Transfer Only</t>
        </is>
      </c>
    </row>
    <row r="255" ht="18" customHeight="1" s="229">
      <c r="A255" s="391" t="inlineStr">
        <is>
          <t>Half-Zip Sweatshirt</t>
        </is>
      </c>
      <c r="B255" s="392" t="inlineStr">
        <is>
          <t>Active</t>
        </is>
      </c>
      <c r="C255" s="393" t="inlineStr">
        <is>
          <t>4 — LOW (natural sellthrough)</t>
        </is>
      </c>
      <c r="D255" s="397" t="n">
        <v>14</v>
      </c>
      <c r="E255" s="397" t="n">
        <v>192</v>
      </c>
      <c r="F255" s="397" t="n">
        <v>206</v>
      </c>
      <c r="G255" s="397" t="inlineStr">
        <is>
          <t>-</t>
        </is>
      </c>
      <c r="H255" s="397" t="inlineStr">
        <is>
          <t>$130</t>
        </is>
      </c>
      <c r="I255" s="517" t="inlineStr">
        <is>
          <t>$180</t>
        </is>
      </c>
      <c r="J255" s="397" t="inlineStr">
        <is>
          <t>Transfer Only</t>
        </is>
      </c>
    </row>
    <row r="256" ht="18" customHeight="1" s="229">
      <c r="A256" s="383" t="inlineStr">
        <is>
          <t>Merino Wool 2-way Beanie</t>
        </is>
      </c>
      <c r="B256" s="384" t="inlineStr">
        <is>
          <t>Active</t>
        </is>
      </c>
      <c r="C256" s="385" t="inlineStr">
        <is>
          <t>4 — LOW (natural sellthrough)</t>
        </is>
      </c>
      <c r="D256" s="389" t="n">
        <v>12</v>
      </c>
      <c r="E256" s="389" t="n">
        <v>186</v>
      </c>
      <c r="F256" s="389" t="n">
        <v>198</v>
      </c>
      <c r="G256" s="389" t="inlineStr">
        <is>
          <t>-</t>
        </is>
      </c>
      <c r="H256" s="389" t="inlineStr">
        <is>
          <t>$1,500</t>
        </is>
      </c>
      <c r="I256" s="516" t="inlineStr">
        <is>
          <t>$702</t>
        </is>
      </c>
      <c r="J256" s="389" t="inlineStr">
        <is>
          <t>Transfer Only</t>
        </is>
      </c>
    </row>
    <row r="257" ht="18" customHeight="1" s="229">
      <c r="A257" s="391" t="inlineStr">
        <is>
          <t>Dance Sport Leggings</t>
        </is>
      </c>
      <c r="B257" s="392" t="inlineStr">
        <is>
          <t>Active</t>
        </is>
      </c>
      <c r="C257" s="393" t="inlineStr">
        <is>
          <t>4 — LOW (natural sellthrough)</t>
        </is>
      </c>
      <c r="D257" s="397" t="n">
        <v>41</v>
      </c>
      <c r="E257" s="397" t="n">
        <v>153</v>
      </c>
      <c r="F257" s="397" t="n">
        <v>194</v>
      </c>
      <c r="G257" s="397" t="inlineStr">
        <is>
          <t>-</t>
        </is>
      </c>
      <c r="H257" s="397" t="inlineStr">
        <is>
          <t>$305</t>
        </is>
      </c>
      <c r="I257" s="517" t="inlineStr">
        <is>
          <t>$342</t>
        </is>
      </c>
      <c r="J257" s="397" t="inlineStr">
        <is>
          <t>Transfer Only</t>
        </is>
      </c>
    </row>
    <row r="258" ht="18" customHeight="1" s="229">
      <c r="A258" s="383" t="inlineStr">
        <is>
          <t>Mousse Hooded Jacket</t>
        </is>
      </c>
      <c r="B258" s="384" t="inlineStr">
        <is>
          <t>Active</t>
        </is>
      </c>
      <c r="C258" s="385" t="inlineStr">
        <is>
          <t>4 — LOW (natural sellthrough)</t>
        </is>
      </c>
      <c r="D258" s="389" t="n">
        <v>20</v>
      </c>
      <c r="E258" s="389" t="n">
        <v>170</v>
      </c>
      <c r="F258" s="389" t="n">
        <v>190</v>
      </c>
      <c r="G258" s="389" t="inlineStr">
        <is>
          <t>-</t>
        </is>
      </c>
      <c r="H258" s="389" t="inlineStr">
        <is>
          <t>$232</t>
        </is>
      </c>
      <c r="I258" s="516" t="inlineStr">
        <is>
          <t>$486</t>
        </is>
      </c>
      <c r="J258" s="389" t="inlineStr">
        <is>
          <t>Transfer Only</t>
        </is>
      </c>
    </row>
    <row r="259" ht="18" customHeight="1" s="229">
      <c r="A259" s="391" t="inlineStr">
        <is>
          <t>NEIWAI X SAVISLOOK Bikini Bottom</t>
        </is>
      </c>
      <c r="B259" s="392" t="inlineStr">
        <is>
          <t>Active</t>
        </is>
      </c>
      <c r="C259" s="393" t="inlineStr">
        <is>
          <t>2 — HIGH (excess inventory vs demand)</t>
        </is>
      </c>
      <c r="D259" s="397" t="n">
        <v>189</v>
      </c>
      <c r="E259" s="397" t="n">
        <v>0</v>
      </c>
      <c r="F259" s="397" t="n">
        <v>189</v>
      </c>
      <c r="G259" s="397" t="inlineStr">
        <is>
          <t>-</t>
        </is>
      </c>
      <c r="H259" s="397" t="inlineStr">
        <is>
          <t>$0</t>
        </is>
      </c>
      <c r="I259" s="517" t="inlineStr">
        <is>
          <t>$1,962</t>
        </is>
      </c>
      <c r="J259" s="397" t="inlineStr">
        <is>
          <t>Transfer Only</t>
        </is>
      </c>
    </row>
    <row r="260" ht="18" customHeight="1" s="229">
      <c r="A260" s="383" t="inlineStr">
        <is>
          <t>Mousse Cool Biker Shorts</t>
        </is>
      </c>
      <c r="B260" s="384" t="inlineStr">
        <is>
          <t>Active</t>
        </is>
      </c>
      <c r="C260" s="385" t="inlineStr">
        <is>
          <t>2 — HIGH (excess inventory vs demand)</t>
        </is>
      </c>
      <c r="D260" s="389" t="n">
        <v>189</v>
      </c>
      <c r="E260" s="389" t="n">
        <v>0</v>
      </c>
      <c r="F260" s="389" t="n">
        <v>189</v>
      </c>
      <c r="G260" s="389" t="inlineStr">
        <is>
          <t>-</t>
        </is>
      </c>
      <c r="H260" s="389" t="inlineStr">
        <is>
          <t>$136</t>
        </is>
      </c>
      <c r="I260" s="516" t="inlineStr">
        <is>
          <t>$2,250</t>
        </is>
      </c>
      <c r="J260" s="389" t="inlineStr">
        <is>
          <t>Transfer Only</t>
        </is>
      </c>
    </row>
    <row r="261" ht="18" customHeight="1" s="229">
      <c r="A261" s="391" t="inlineStr">
        <is>
          <t>Urban Sport Two-Tone Sweatshirt</t>
        </is>
      </c>
      <c r="B261" s="392" t="inlineStr">
        <is>
          <t>Active</t>
        </is>
      </c>
      <c r="C261" s="393" t="inlineStr">
        <is>
          <t>4 — LOW (natural sellthrough)</t>
        </is>
      </c>
      <c r="D261" s="397" t="n">
        <v>19</v>
      </c>
      <c r="E261" s="397" t="n">
        <v>165</v>
      </c>
      <c r="F261" s="397" t="n">
        <v>184</v>
      </c>
      <c r="G261" s="397" t="inlineStr">
        <is>
          <t>-</t>
        </is>
      </c>
      <c r="H261" s="397" t="inlineStr">
        <is>
          <t>$1,011</t>
        </is>
      </c>
      <c r="I261" s="517" t="inlineStr">
        <is>
          <t>$612</t>
        </is>
      </c>
      <c r="J261" s="397" t="inlineStr">
        <is>
          <t>Transfer Only</t>
        </is>
      </c>
    </row>
    <row r="262" ht="18" customHeight="1" s="229">
      <c r="A262" s="383" t="inlineStr">
        <is>
          <t>Dance Ruched Long Sleeve Top</t>
        </is>
      </c>
      <c r="B262" s="384" t="inlineStr">
        <is>
          <t>Active</t>
        </is>
      </c>
      <c r="C262" s="385" t="inlineStr">
        <is>
          <t>2 — HIGH (excess inventory vs demand)</t>
        </is>
      </c>
      <c r="D262" s="389" t="n">
        <v>174</v>
      </c>
      <c r="E262" s="389" t="n">
        <v>0</v>
      </c>
      <c r="F262" s="389" t="n">
        <v>174</v>
      </c>
      <c r="G262" s="389" t="inlineStr">
        <is>
          <t>-</t>
        </is>
      </c>
      <c r="H262" s="389" t="inlineStr">
        <is>
          <t>$69</t>
        </is>
      </c>
      <c r="I262" s="516" t="inlineStr">
        <is>
          <t>$3,150</t>
        </is>
      </c>
      <c r="J262" s="389" t="inlineStr">
        <is>
          <t>Transfer Only</t>
        </is>
      </c>
    </row>
    <row r="263" ht="18" customHeight="1" s="229">
      <c r="A263" s="391" t="inlineStr">
        <is>
          <t>2-Pack Ankle Socks</t>
        </is>
      </c>
      <c r="B263" s="392" t="inlineStr">
        <is>
          <t>Active</t>
        </is>
      </c>
      <c r="C263" s="393" t="inlineStr">
        <is>
          <t>2 — HIGH (excess inventory vs demand)</t>
        </is>
      </c>
      <c r="D263" s="397" t="n">
        <v>172</v>
      </c>
      <c r="E263" s="397" t="n">
        <v>0</v>
      </c>
      <c r="F263" s="397" t="n">
        <v>172</v>
      </c>
      <c r="G263" s="397" t="inlineStr">
        <is>
          <t>-</t>
        </is>
      </c>
      <c r="H263" s="397" t="inlineStr">
        <is>
          <t>$221</t>
        </is>
      </c>
      <c r="I263" s="517" t="inlineStr">
        <is>
          <t>$9,288</t>
        </is>
      </c>
      <c r="J263" s="397" t="inlineStr">
        <is>
          <t>Transfer Only</t>
        </is>
      </c>
    </row>
    <row r="264" ht="18" customHeight="1" s="229">
      <c r="A264" s="383" t="inlineStr">
        <is>
          <t>Ballet High Neck Bra Top</t>
        </is>
      </c>
      <c r="B264" s="384" t="inlineStr">
        <is>
          <t>Active</t>
        </is>
      </c>
      <c r="C264" s="385" t="inlineStr">
        <is>
          <t>4 — LOW (natural sellthrough)</t>
        </is>
      </c>
      <c r="D264" s="389" t="n">
        <v>27</v>
      </c>
      <c r="E264" s="389" t="n">
        <v>144</v>
      </c>
      <c r="F264" s="389" t="n">
        <v>171</v>
      </c>
      <c r="G264" s="389" t="inlineStr">
        <is>
          <t>-</t>
        </is>
      </c>
      <c r="H264" s="389" t="inlineStr">
        <is>
          <t>$617</t>
        </is>
      </c>
      <c r="I264" s="516" t="inlineStr">
        <is>
          <t>$756</t>
        </is>
      </c>
      <c r="J264" s="389" t="inlineStr">
        <is>
          <t>Transfer Only</t>
        </is>
      </c>
    </row>
    <row r="265" ht="18" customHeight="1" s="229">
      <c r="A265" s="391" t="inlineStr">
        <is>
          <t>NEIWAI ACTIVE X NYCB Ballet Wool Ribbed Shrug</t>
        </is>
      </c>
      <c r="B265" s="392" t="inlineStr">
        <is>
          <t>Active</t>
        </is>
      </c>
      <c r="C265" s="393" t="inlineStr">
        <is>
          <t>3 — MEDIUM (selldown or markdown)</t>
        </is>
      </c>
      <c r="D265" s="397" t="n">
        <v>170</v>
      </c>
      <c r="E265" s="397" t="n">
        <v>0</v>
      </c>
      <c r="F265" s="397" t="n">
        <v>170</v>
      </c>
      <c r="G265" s="397" t="inlineStr">
        <is>
          <t>-</t>
        </is>
      </c>
      <c r="H265" s="397" t="inlineStr">
        <is>
          <t>$1,444</t>
        </is>
      </c>
      <c r="I265" s="517" t="inlineStr">
        <is>
          <t>$7,650</t>
        </is>
      </c>
      <c r="J265" s="397" t="inlineStr">
        <is>
          <t>Transfer Only</t>
        </is>
      </c>
    </row>
    <row r="266" ht="18" customHeight="1" s="229">
      <c r="A266" s="383" t="inlineStr">
        <is>
          <t>Hooded Coat</t>
        </is>
      </c>
      <c r="B266" s="384" t="inlineStr">
        <is>
          <t>Active</t>
        </is>
      </c>
      <c r="C266" s="385" t="inlineStr">
        <is>
          <t>2 — HIGH (excess inventory vs demand)</t>
        </is>
      </c>
      <c r="D266" s="389" t="n">
        <v>168</v>
      </c>
      <c r="E266" s="389" t="n">
        <v>0</v>
      </c>
      <c r="F266" s="389" t="n">
        <v>168</v>
      </c>
      <c r="G266" s="389" t="inlineStr">
        <is>
          <t>-</t>
        </is>
      </c>
      <c r="H266" s="389" t="inlineStr">
        <is>
          <t>$228</t>
        </is>
      </c>
      <c r="I266" s="516" t="inlineStr">
        <is>
          <t>$2,628</t>
        </is>
      </c>
      <c r="J266" s="389" t="inlineStr">
        <is>
          <t>Transfer Only</t>
        </is>
      </c>
    </row>
    <row r="267" ht="18" customHeight="1" s="229">
      <c r="A267" s="391" t="inlineStr">
        <is>
          <t>Dolce Bikini Top</t>
        </is>
      </c>
      <c r="B267" s="392" t="inlineStr">
        <is>
          <t>Active</t>
        </is>
      </c>
      <c r="C267" s="393" t="inlineStr">
        <is>
          <t>2 — HIGH (excess inventory vs demand)</t>
        </is>
      </c>
      <c r="D267" s="397" t="n">
        <v>162</v>
      </c>
      <c r="E267" s="397" t="n">
        <v>0</v>
      </c>
      <c r="F267" s="397" t="n">
        <v>162</v>
      </c>
      <c r="G267" s="397" t="inlineStr">
        <is>
          <t>-</t>
        </is>
      </c>
      <c r="H267" s="397" t="inlineStr">
        <is>
          <t>$258</t>
        </is>
      </c>
      <c r="I267" s="517" t="inlineStr">
        <is>
          <t>$4,320</t>
        </is>
      </c>
      <c r="J267" s="397" t="inlineStr">
        <is>
          <t>Transfer Only</t>
        </is>
      </c>
    </row>
    <row r="268" ht="18" customHeight="1" s="229">
      <c r="A268" s="383" t="inlineStr">
        <is>
          <t>Ballet Wide Leg Pants</t>
        </is>
      </c>
      <c r="B268" s="384" t="inlineStr">
        <is>
          <t>Active</t>
        </is>
      </c>
      <c r="C268" s="385" t="inlineStr">
        <is>
          <t>3 — MEDIUM (selldown or markdown)</t>
        </is>
      </c>
      <c r="D268" s="389" t="n">
        <v>162</v>
      </c>
      <c r="E268" s="389" t="n">
        <v>0</v>
      </c>
      <c r="F268" s="389" t="n">
        <v>162</v>
      </c>
      <c r="G268" s="389" t="inlineStr">
        <is>
          <t>-</t>
        </is>
      </c>
      <c r="H268" s="389" t="inlineStr">
        <is>
          <t>$1,132</t>
        </is>
      </c>
      <c r="I268" s="516" t="inlineStr">
        <is>
          <t>$7,344</t>
        </is>
      </c>
      <c r="J268" s="389" t="inlineStr">
        <is>
          <t>Transfer Only</t>
        </is>
      </c>
    </row>
    <row r="269" ht="18" customHeight="1" s="229">
      <c r="A269" s="391" t="inlineStr">
        <is>
          <t>Tennis Dress</t>
        </is>
      </c>
      <c r="B269" s="392" t="inlineStr">
        <is>
          <t>Active</t>
        </is>
      </c>
      <c r="C269" s="393" t="inlineStr">
        <is>
          <t>4 — LOW (natural sellthrough)</t>
        </is>
      </c>
      <c r="D269" s="397" t="n">
        <v>44</v>
      </c>
      <c r="E269" s="397" t="n">
        <v>117</v>
      </c>
      <c r="F269" s="397" t="n">
        <v>161</v>
      </c>
      <c r="G269" s="397" t="inlineStr">
        <is>
          <t>-</t>
        </is>
      </c>
      <c r="H269" s="397" t="inlineStr">
        <is>
          <t>$534</t>
        </is>
      </c>
      <c r="I269" s="517" t="inlineStr">
        <is>
          <t>$810</t>
        </is>
      </c>
      <c r="J269" s="397" t="inlineStr">
        <is>
          <t>Transfer Only</t>
        </is>
      </c>
    </row>
    <row r="270" ht="18" customHeight="1" s="229">
      <c r="A270" s="383" t="inlineStr">
        <is>
          <t>Breeze Half Zip Crop Top</t>
        </is>
      </c>
      <c r="B270" s="384" t="inlineStr">
        <is>
          <t>Active</t>
        </is>
      </c>
      <c r="C270" s="385" t="inlineStr">
        <is>
          <t>4 — LOW (natural sellthrough)</t>
        </is>
      </c>
      <c r="D270" s="389" t="n">
        <v>39</v>
      </c>
      <c r="E270" s="389" t="n">
        <v>118</v>
      </c>
      <c r="F270" s="389" t="n">
        <v>157</v>
      </c>
      <c r="G270" s="389" t="inlineStr">
        <is>
          <t>-</t>
        </is>
      </c>
      <c r="H270" s="389" t="inlineStr">
        <is>
          <t>$44</t>
        </is>
      </c>
      <c r="I270" s="516" t="inlineStr">
        <is>
          <t>$396</t>
        </is>
      </c>
      <c r="J270" s="389" t="inlineStr">
        <is>
          <t>Transfer Only</t>
        </is>
      </c>
    </row>
    <row r="271" ht="18" customHeight="1" s="229">
      <c r="A271" s="391" t="inlineStr">
        <is>
          <t>Ballet Wool Jacket</t>
        </is>
      </c>
      <c r="B271" s="392" t="inlineStr">
        <is>
          <t>Active</t>
        </is>
      </c>
      <c r="C271" s="393" t="inlineStr">
        <is>
          <t>4 — LOW (natural sellthrough)</t>
        </is>
      </c>
      <c r="D271" s="397" t="n">
        <v>9</v>
      </c>
      <c r="E271" s="397" t="n">
        <v>147</v>
      </c>
      <c r="F271" s="397" t="n">
        <v>156</v>
      </c>
      <c r="G271" s="397" t="inlineStr">
        <is>
          <t>-</t>
        </is>
      </c>
      <c r="H271" s="397" t="inlineStr">
        <is>
          <t>$1,575</t>
        </is>
      </c>
      <c r="I271" s="517" t="inlineStr">
        <is>
          <t>$432</t>
        </is>
      </c>
      <c r="J271" s="397" t="inlineStr">
        <is>
          <t>Transfer Only</t>
        </is>
      </c>
    </row>
    <row r="272" ht="18" customHeight="1" s="229">
      <c r="A272" s="383" t="inlineStr">
        <is>
          <t>NEIWAI ACTIVE X NYCB Polartec Fleece Hooded Jacket</t>
        </is>
      </c>
      <c r="B272" s="384" t="inlineStr">
        <is>
          <t>Active</t>
        </is>
      </c>
      <c r="C272" s="385" t="inlineStr">
        <is>
          <t>4 — LOW (natural sellthrough)</t>
        </is>
      </c>
      <c r="D272" s="389" t="n">
        <v>152</v>
      </c>
      <c r="E272" s="389" t="n">
        <v>0</v>
      </c>
      <c r="F272" s="389" t="n">
        <v>152</v>
      </c>
      <c r="G272" s="389" t="inlineStr">
        <is>
          <t>-</t>
        </is>
      </c>
      <c r="H272" s="389" t="inlineStr">
        <is>
          <t>$412</t>
        </is>
      </c>
      <c r="I272" s="516" t="inlineStr">
        <is>
          <t>$414</t>
        </is>
      </c>
      <c r="J272" s="389" t="inlineStr">
        <is>
          <t>Transfer Only</t>
        </is>
      </c>
    </row>
    <row r="273" ht="18" customHeight="1" s="229">
      <c r="A273" s="391" t="inlineStr">
        <is>
          <t>Side Knotted Sleeveless Top</t>
        </is>
      </c>
      <c r="B273" s="392" t="inlineStr">
        <is>
          <t>Active</t>
        </is>
      </c>
      <c r="C273" s="393" t="inlineStr">
        <is>
          <t>3 — MEDIUM (selldown or markdown)</t>
        </is>
      </c>
      <c r="D273" s="397" t="n">
        <v>39</v>
      </c>
      <c r="E273" s="397" t="n">
        <v>108</v>
      </c>
      <c r="F273" s="397" t="n">
        <v>147</v>
      </c>
      <c r="G273" s="397" t="inlineStr">
        <is>
          <t>-</t>
        </is>
      </c>
      <c r="H273" s="397" t="inlineStr">
        <is>
          <t>$850</t>
        </is>
      </c>
      <c r="I273" s="517" t="inlineStr">
        <is>
          <t>$1,368</t>
        </is>
      </c>
      <c r="J273" s="397" t="inlineStr">
        <is>
          <t>Transfer Only</t>
        </is>
      </c>
    </row>
    <row r="274" ht="18" customHeight="1" s="229">
      <c r="A274" s="383" t="inlineStr">
        <is>
          <t>NEIWAI ACTIVE X NYCB Waffle Short-Sleeve T-Shirt</t>
        </is>
      </c>
      <c r="B274" s="384" t="inlineStr">
        <is>
          <t>Active</t>
        </is>
      </c>
      <c r="C274" s="385" t="inlineStr">
        <is>
          <t>2 — HIGH (excess inventory vs demand)</t>
        </is>
      </c>
      <c r="D274" s="389" t="n">
        <v>145</v>
      </c>
      <c r="E274" s="389" t="n">
        <v>0</v>
      </c>
      <c r="F274" s="389" t="n">
        <v>145</v>
      </c>
      <c r="G274" s="389" t="inlineStr">
        <is>
          <t>-</t>
        </is>
      </c>
      <c r="H274" s="389" t="inlineStr">
        <is>
          <t>$128</t>
        </is>
      </c>
      <c r="I274" s="516" t="inlineStr">
        <is>
          <t>$2,754</t>
        </is>
      </c>
      <c r="J274" s="389" t="inlineStr">
        <is>
          <t>Transfer Only</t>
        </is>
      </c>
    </row>
    <row r="275" ht="18" customHeight="1" s="229">
      <c r="A275" s="391" t="inlineStr">
        <is>
          <t>Crew Neck Sweatshirt</t>
        </is>
      </c>
      <c r="B275" s="392" t="inlineStr">
        <is>
          <t>Active</t>
        </is>
      </c>
      <c r="C275" s="393" t="inlineStr">
        <is>
          <t>4 — LOW (natural sellthrough)</t>
        </is>
      </c>
      <c r="D275" s="397" t="n">
        <v>15</v>
      </c>
      <c r="E275" s="397" t="n">
        <v>129</v>
      </c>
      <c r="F275" s="397" t="n">
        <v>144</v>
      </c>
      <c r="G275" s="397" t="inlineStr">
        <is>
          <t>-</t>
        </is>
      </c>
      <c r="H275" s="397" t="inlineStr">
        <is>
          <t>$84</t>
        </is>
      </c>
      <c r="I275" s="517" t="inlineStr">
        <is>
          <t>$126</t>
        </is>
      </c>
      <c r="J275" s="397" t="inlineStr">
        <is>
          <t>Transfer Only</t>
        </is>
      </c>
    </row>
    <row r="276" ht="18" customHeight="1" s="229">
      <c r="A276" s="383" t="inlineStr">
        <is>
          <t>Active Wool Cardigan</t>
        </is>
      </c>
      <c r="B276" s="384" t="inlineStr">
        <is>
          <t>Active</t>
        </is>
      </c>
      <c r="C276" s="385" t="inlineStr">
        <is>
          <t>3 — MEDIUM (selldown or markdown)</t>
        </is>
      </c>
      <c r="D276" s="389" t="n">
        <v>56</v>
      </c>
      <c r="E276" s="389" t="n">
        <v>81</v>
      </c>
      <c r="F276" s="389" t="n">
        <v>137</v>
      </c>
      <c r="G276" s="389" t="inlineStr">
        <is>
          <t>-</t>
        </is>
      </c>
      <c r="H276" s="389" t="inlineStr">
        <is>
          <t>$1,872</t>
        </is>
      </c>
      <c r="I276" s="516" t="inlineStr">
        <is>
          <t>$1,188</t>
        </is>
      </c>
      <c r="J276" s="389" t="inlineStr">
        <is>
          <t>Transfer Only</t>
        </is>
      </c>
    </row>
    <row r="277" ht="18" customHeight="1" s="229">
      <c r="A277" s="391" t="inlineStr">
        <is>
          <t>Breeze Cropped Sunblock Jacket</t>
        </is>
      </c>
      <c r="B277" s="392" t="inlineStr">
        <is>
          <t>Active</t>
        </is>
      </c>
      <c r="C277" s="393" t="inlineStr">
        <is>
          <t>4 — LOW (natural sellthrough)</t>
        </is>
      </c>
      <c r="D277" s="397" t="n">
        <v>20</v>
      </c>
      <c r="E277" s="397" t="n">
        <v>117</v>
      </c>
      <c r="F277" s="397" t="n">
        <v>137</v>
      </c>
      <c r="G277" s="397" t="inlineStr">
        <is>
          <t>-</t>
        </is>
      </c>
      <c r="H277" s="397" t="inlineStr">
        <is>
          <t>$274</t>
        </is>
      </c>
      <c r="I277" s="517" t="inlineStr">
        <is>
          <t>$324</t>
        </is>
      </c>
      <c r="J277" s="397" t="inlineStr">
        <is>
          <t>Transfer Only</t>
        </is>
      </c>
    </row>
    <row r="278" ht="18" customHeight="1" s="229">
      <c r="A278" s="383" t="inlineStr">
        <is>
          <t>NEIWAI ACTIVE X NYCB Mousse Medium Support Long Sports Bra</t>
        </is>
      </c>
      <c r="B278" s="384" t="inlineStr">
        <is>
          <t>Active</t>
        </is>
      </c>
      <c r="C278" s="385" t="inlineStr">
        <is>
          <t>3 — MEDIUM (selldown or markdown)</t>
        </is>
      </c>
      <c r="D278" s="389" t="n">
        <v>94</v>
      </c>
      <c r="E278" s="389" t="n">
        <v>36</v>
      </c>
      <c r="F278" s="389" t="n">
        <v>130</v>
      </c>
      <c r="G278" s="518" t="n">
        <v>2</v>
      </c>
      <c r="H278" s="389" t="inlineStr">
        <is>
          <t>$1,735</t>
        </is>
      </c>
      <c r="I278" s="516" t="inlineStr">
        <is>
          <t>$2,610</t>
        </is>
      </c>
      <c r="J278" s="389" t="inlineStr">
        <is>
          <t>Transfer (CN) + Flash Sale (US)</t>
        </is>
      </c>
    </row>
    <row r="279" ht="18" customHeight="1" s="229">
      <c r="A279" s="391" t="inlineStr">
        <is>
          <t>Active Wool Knee Socks</t>
        </is>
      </c>
      <c r="B279" s="392" t="inlineStr">
        <is>
          <t>Active</t>
        </is>
      </c>
      <c r="C279" s="393" t="inlineStr">
        <is>
          <t>4 — LOW (natural sellthrough)</t>
        </is>
      </c>
      <c r="D279" s="397" t="n">
        <v>6</v>
      </c>
      <c r="E279" s="397" t="n">
        <v>124</v>
      </c>
      <c r="F279" s="397" t="n">
        <v>130</v>
      </c>
      <c r="G279" s="397" t="inlineStr">
        <is>
          <t>-</t>
        </is>
      </c>
      <c r="H279" s="397" t="inlineStr">
        <is>
          <t>$346</t>
        </is>
      </c>
      <c r="I279" s="517" t="inlineStr">
        <is>
          <t>$324</t>
        </is>
      </c>
      <c r="J279" s="397" t="inlineStr">
        <is>
          <t>Transfer Only</t>
        </is>
      </c>
    </row>
    <row r="280" ht="18" customHeight="1" s="229">
      <c r="A280" s="383" t="inlineStr">
        <is>
          <t>Modal Dance Wide Leg Pants</t>
        </is>
      </c>
      <c r="B280" s="384" t="inlineStr">
        <is>
          <t>Active</t>
        </is>
      </c>
      <c r="C280" s="385" t="inlineStr">
        <is>
          <t>2 — HIGH (excess inventory vs demand)</t>
        </is>
      </c>
      <c r="D280" s="389" t="n">
        <v>127</v>
      </c>
      <c r="E280" s="389" t="n">
        <v>0</v>
      </c>
      <c r="F280" s="389" t="n">
        <v>127</v>
      </c>
      <c r="G280" s="389" t="inlineStr">
        <is>
          <t>-</t>
        </is>
      </c>
      <c r="H280" s="389" t="inlineStr">
        <is>
          <t>$644</t>
        </is>
      </c>
      <c r="I280" s="516" t="inlineStr">
        <is>
          <t>$5,418</t>
        </is>
      </c>
      <c r="J280" s="389" t="inlineStr">
        <is>
          <t>Transfer Only</t>
        </is>
      </c>
    </row>
    <row r="281" ht="18" customHeight="1" s="229">
      <c r="A281" s="391" t="inlineStr">
        <is>
          <t>NEIWAI ACTIVE X NYCB Sandwashed Modal Hoodie</t>
        </is>
      </c>
      <c r="B281" s="392" t="inlineStr">
        <is>
          <t>Active</t>
        </is>
      </c>
      <c r="C281" s="393" t="inlineStr">
        <is>
          <t>2 — HIGH (excess inventory vs demand)</t>
        </is>
      </c>
      <c r="D281" s="397" t="n">
        <v>125</v>
      </c>
      <c r="E281" s="397" t="n">
        <v>0</v>
      </c>
      <c r="F281" s="397" t="n">
        <v>125</v>
      </c>
      <c r="G281" s="397" t="inlineStr">
        <is>
          <t>-</t>
        </is>
      </c>
      <c r="H281" s="397" t="inlineStr">
        <is>
          <t>$602</t>
        </is>
      </c>
      <c r="I281" s="517" t="inlineStr">
        <is>
          <t>$2,250</t>
        </is>
      </c>
      <c r="J281" s="397" t="inlineStr">
        <is>
          <t>Transfer Only</t>
        </is>
      </c>
    </row>
    <row r="282" ht="18" customHeight="1" s="229">
      <c r="A282" s="383" t="inlineStr">
        <is>
          <t>Ballet Wool Wrap Sweater</t>
        </is>
      </c>
      <c r="B282" s="384" t="inlineStr">
        <is>
          <t>Active</t>
        </is>
      </c>
      <c r="C282" s="385" t="inlineStr">
        <is>
          <t>4 — LOW (natural sellthrough)</t>
        </is>
      </c>
      <c r="D282" s="389" t="n">
        <v>8</v>
      </c>
      <c r="E282" s="389" t="n">
        <v>116</v>
      </c>
      <c r="F282" s="389" t="n">
        <v>124</v>
      </c>
      <c r="G282" s="518" t="n">
        <v>6</v>
      </c>
      <c r="H282" s="389" t="inlineStr">
        <is>
          <t>$1,410</t>
        </is>
      </c>
      <c r="I282" s="516" t="inlineStr">
        <is>
          <t>$540</t>
        </is>
      </c>
      <c r="J282" s="389" t="inlineStr">
        <is>
          <t>Transfer (CN) + Flash Sale (US)</t>
        </is>
      </c>
    </row>
    <row r="283" ht="18" customHeight="1" s="229">
      <c r="A283" s="391" t="inlineStr">
        <is>
          <t>Dance Sports Bra</t>
        </is>
      </c>
      <c r="B283" s="392" t="inlineStr">
        <is>
          <t>Active</t>
        </is>
      </c>
      <c r="C283" s="393" t="inlineStr">
        <is>
          <t>4 — LOW (natural sellthrough)</t>
        </is>
      </c>
      <c r="D283" s="397" t="n">
        <v>3</v>
      </c>
      <c r="E283" s="397" t="n">
        <v>121</v>
      </c>
      <c r="F283" s="397" t="n">
        <v>124</v>
      </c>
      <c r="G283" s="519" t="n">
        <v>3</v>
      </c>
      <c r="H283" s="397" t="inlineStr">
        <is>
          <t>$166</t>
        </is>
      </c>
      <c r="I283" s="517" t="inlineStr">
        <is>
          <t>$108</t>
        </is>
      </c>
      <c r="J283" s="397" t="inlineStr">
        <is>
          <t>Transfer (CN) + Flash Sale (US)</t>
        </is>
      </c>
    </row>
    <row r="284" ht="18" customHeight="1" s="229">
      <c r="A284" s="383" t="inlineStr">
        <is>
          <t>Seamless Biker Shorts</t>
        </is>
      </c>
      <c r="B284" s="384" t="inlineStr">
        <is>
          <t>Active</t>
        </is>
      </c>
      <c r="C284" s="385" t="inlineStr">
        <is>
          <t>4 — LOW (natural sellthrough)</t>
        </is>
      </c>
      <c r="D284" s="389" t="n">
        <v>11</v>
      </c>
      <c r="E284" s="389" t="n">
        <v>108</v>
      </c>
      <c r="F284" s="389" t="n">
        <v>119</v>
      </c>
      <c r="G284" s="389" t="inlineStr">
        <is>
          <t>-</t>
        </is>
      </c>
      <c r="H284" s="389" t="inlineStr">
        <is>
          <t>$550</t>
        </is>
      </c>
      <c r="I284" s="516" t="inlineStr">
        <is>
          <t>$522</t>
        </is>
      </c>
      <c r="J284" s="389" t="inlineStr">
        <is>
          <t>Transfer Only</t>
        </is>
      </c>
    </row>
    <row r="285" ht="18" customHeight="1" s="229">
      <c r="A285" s="391" t="inlineStr">
        <is>
          <t>NEIWAI ACTIVE X NYCB Light Woven Joggers</t>
        </is>
      </c>
      <c r="B285" s="392" t="inlineStr">
        <is>
          <t>Active</t>
        </is>
      </c>
      <c r="C285" s="393" t="inlineStr">
        <is>
          <t>2 — HIGH (excess inventory vs demand)</t>
        </is>
      </c>
      <c r="D285" s="397" t="n">
        <v>118</v>
      </c>
      <c r="E285" s="397" t="n">
        <v>0</v>
      </c>
      <c r="F285" s="397" t="n">
        <v>118</v>
      </c>
      <c r="G285" s="397" t="inlineStr">
        <is>
          <t>-</t>
        </is>
      </c>
      <c r="H285" s="397" t="inlineStr">
        <is>
          <t>$892</t>
        </is>
      </c>
      <c r="I285" s="517" t="inlineStr">
        <is>
          <t>$3,312</t>
        </is>
      </c>
      <c r="J285" s="397" t="inlineStr">
        <is>
          <t>Transfer Only</t>
        </is>
      </c>
    </row>
    <row r="286" ht="18" customHeight="1" s="229">
      <c r="A286" s="383" t="inlineStr">
        <is>
          <t>Essential 2-In-1 Training Shorts</t>
        </is>
      </c>
      <c r="B286" s="384" t="inlineStr">
        <is>
          <t>Active</t>
        </is>
      </c>
      <c r="C286" s="385" t="inlineStr">
        <is>
          <t>4 — LOW (natural sellthrough)</t>
        </is>
      </c>
      <c r="D286" s="389" t="n">
        <v>33</v>
      </c>
      <c r="E286" s="389" t="n">
        <v>84</v>
      </c>
      <c r="F286" s="389" t="n">
        <v>117</v>
      </c>
      <c r="G286" s="389" t="inlineStr">
        <is>
          <t>-</t>
        </is>
      </c>
      <c r="H286" s="389" t="inlineStr">
        <is>
          <t>$365</t>
        </is>
      </c>
      <c r="I286" s="516" t="inlineStr">
        <is>
          <t>$882</t>
        </is>
      </c>
      <c r="J286" s="389" t="inlineStr">
        <is>
          <t>Transfer Only</t>
        </is>
      </c>
    </row>
    <row r="287" ht="18" customHeight="1" s="229">
      <c r="A287" s="391" t="inlineStr">
        <is>
          <t>Core High Support Leggings</t>
        </is>
      </c>
      <c r="B287" s="392" t="inlineStr">
        <is>
          <t>Active</t>
        </is>
      </c>
      <c r="C287" s="393" t="inlineStr">
        <is>
          <t>4 — LOW (natural sellthrough)</t>
        </is>
      </c>
      <c r="D287" s="397" t="n">
        <v>6</v>
      </c>
      <c r="E287" s="397" t="n">
        <v>111</v>
      </c>
      <c r="F287" s="397" t="n">
        <v>117</v>
      </c>
      <c r="G287" s="397" t="inlineStr">
        <is>
          <t>-</t>
        </is>
      </c>
      <c r="H287" s="397" t="inlineStr">
        <is>
          <t>$398</t>
        </is>
      </c>
      <c r="I287" s="517" t="inlineStr">
        <is>
          <t>$270</t>
        </is>
      </c>
      <c r="J287" s="397" t="inlineStr">
        <is>
          <t>Transfer Only</t>
        </is>
      </c>
    </row>
    <row r="288" ht="18" customHeight="1" s="229">
      <c r="A288" s="383" t="inlineStr">
        <is>
          <t>Core Racerback Tank Top</t>
        </is>
      </c>
      <c r="B288" s="384" t="inlineStr">
        <is>
          <t>Active</t>
        </is>
      </c>
      <c r="C288" s="385" t="inlineStr">
        <is>
          <t>4 — LOW (natural sellthrough)</t>
        </is>
      </c>
      <c r="D288" s="389" t="n">
        <v>22</v>
      </c>
      <c r="E288" s="389" t="n">
        <v>94</v>
      </c>
      <c r="F288" s="389" t="n">
        <v>116</v>
      </c>
      <c r="G288" s="389" t="inlineStr">
        <is>
          <t>-</t>
        </is>
      </c>
      <c r="H288" s="389" t="inlineStr">
        <is>
          <t>$866</t>
        </is>
      </c>
      <c r="I288" s="516" t="inlineStr">
        <is>
          <t>$900</t>
        </is>
      </c>
      <c r="J288" s="389" t="inlineStr">
        <is>
          <t>Transfer Only</t>
        </is>
      </c>
    </row>
    <row r="289" ht="18" customHeight="1" s="229">
      <c r="A289" s="391" t="inlineStr">
        <is>
          <t>Dance U-Neck Long Sleeve Top</t>
        </is>
      </c>
      <c r="B289" s="392" t="inlineStr">
        <is>
          <t>Active</t>
        </is>
      </c>
      <c r="C289" s="393" t="inlineStr">
        <is>
          <t>4 — LOW (natural sellthrough)</t>
        </is>
      </c>
      <c r="D289" s="397" t="n">
        <v>47</v>
      </c>
      <c r="E289" s="397" t="n">
        <v>68</v>
      </c>
      <c r="F289" s="397" t="n">
        <v>115</v>
      </c>
      <c r="G289" s="397" t="inlineStr">
        <is>
          <t>-</t>
        </is>
      </c>
      <c r="H289" s="397" t="inlineStr">
        <is>
          <t>$318</t>
        </is>
      </c>
      <c r="I289" s="517" t="inlineStr">
        <is>
          <t>$648</t>
        </is>
      </c>
      <c r="J289" s="397" t="inlineStr">
        <is>
          <t>Transfer Only</t>
        </is>
      </c>
    </row>
    <row r="290" ht="18" customHeight="1" s="229">
      <c r="A290" s="383" t="inlineStr">
        <is>
          <t>Core Training Skorts</t>
        </is>
      </c>
      <c r="B290" s="384" t="inlineStr">
        <is>
          <t>Active</t>
        </is>
      </c>
      <c r="C290" s="385" t="inlineStr">
        <is>
          <t>4 — LOW (natural sellthrough)</t>
        </is>
      </c>
      <c r="D290" s="389" t="n">
        <v>26</v>
      </c>
      <c r="E290" s="389" t="n">
        <v>88</v>
      </c>
      <c r="F290" s="389" t="n">
        <v>114</v>
      </c>
      <c r="G290" s="389" t="inlineStr">
        <is>
          <t>-</t>
        </is>
      </c>
      <c r="H290" s="389" t="inlineStr">
        <is>
          <t>$211</t>
        </is>
      </c>
      <c r="I290" s="516" t="inlineStr">
        <is>
          <t>$630</t>
        </is>
      </c>
      <c r="J290" s="389" t="inlineStr">
        <is>
          <t>Transfer Only</t>
        </is>
      </c>
    </row>
    <row r="291" ht="18" customHeight="1" s="229">
      <c r="A291" s="391" t="inlineStr">
        <is>
          <t>Tennis Skort</t>
        </is>
      </c>
      <c r="B291" s="392" t="inlineStr">
        <is>
          <t>Active</t>
        </is>
      </c>
      <c r="C291" s="393" t="inlineStr">
        <is>
          <t>4 — LOW (natural sellthrough)</t>
        </is>
      </c>
      <c r="D291" s="397" t="n">
        <v>45</v>
      </c>
      <c r="E291" s="397" t="n">
        <v>68</v>
      </c>
      <c r="F291" s="397" t="n">
        <v>113</v>
      </c>
      <c r="G291" s="397" t="inlineStr">
        <is>
          <t>-</t>
        </is>
      </c>
      <c r="H291" s="397" t="inlineStr">
        <is>
          <t>$312</t>
        </is>
      </c>
      <c r="I291" s="517" t="inlineStr">
        <is>
          <t>$846</t>
        </is>
      </c>
      <c r="J291" s="397" t="inlineStr">
        <is>
          <t>Transfer Only</t>
        </is>
      </c>
    </row>
    <row r="292" ht="18" customHeight="1" s="229">
      <c r="A292" s="383" t="inlineStr">
        <is>
          <t>NEIWAI ACTIVE X Andrea Jiapei Li Cutout Short Sleeve T-shirt</t>
        </is>
      </c>
      <c r="B292" s="384" t="inlineStr">
        <is>
          <t>Active</t>
        </is>
      </c>
      <c r="C292" s="385" t="inlineStr">
        <is>
          <t>4 — LOW (natural sellthrough)</t>
        </is>
      </c>
      <c r="D292" s="389" t="n">
        <v>36</v>
      </c>
      <c r="E292" s="389" t="n">
        <v>77</v>
      </c>
      <c r="F292" s="389" t="n">
        <v>113</v>
      </c>
      <c r="G292" s="389" t="inlineStr">
        <is>
          <t>-</t>
        </is>
      </c>
      <c r="H292" s="389" t="inlineStr">
        <is>
          <t>$189</t>
        </is>
      </c>
      <c r="I292" s="516" t="inlineStr">
        <is>
          <t>$378</t>
        </is>
      </c>
      <c r="J292" s="389" t="inlineStr">
        <is>
          <t>Transfer Only</t>
        </is>
      </c>
    </row>
    <row r="293" ht="18" customHeight="1" s="229">
      <c r="A293" s="391" t="inlineStr">
        <is>
          <t>NEIWAI ACTIVE X NYCB Ballet Wrap Cardigan</t>
        </is>
      </c>
      <c r="B293" s="392" t="inlineStr">
        <is>
          <t>Active</t>
        </is>
      </c>
      <c r="C293" s="393" t="inlineStr">
        <is>
          <t>3 — MEDIUM (selldown or markdown)</t>
        </is>
      </c>
      <c r="D293" s="397" t="n">
        <v>112</v>
      </c>
      <c r="E293" s="397" t="n">
        <v>0</v>
      </c>
      <c r="F293" s="397" t="n">
        <v>112</v>
      </c>
      <c r="G293" s="397" t="inlineStr">
        <is>
          <t>-</t>
        </is>
      </c>
      <c r="H293" s="397" t="inlineStr">
        <is>
          <t>$1,713</t>
        </is>
      </c>
      <c r="I293" s="517" t="inlineStr">
        <is>
          <t>$4,788</t>
        </is>
      </c>
      <c r="J293" s="397" t="inlineStr">
        <is>
          <t>Transfer Only</t>
        </is>
      </c>
    </row>
    <row r="294" ht="18" customHeight="1" s="229">
      <c r="A294" s="383" t="inlineStr">
        <is>
          <t>Urban Sport Stirrup Legging</t>
        </is>
      </c>
      <c r="B294" s="384" t="inlineStr">
        <is>
          <t>Active</t>
        </is>
      </c>
      <c r="C294" s="385" t="inlineStr">
        <is>
          <t>2 — HIGH (excess inventory vs demand)</t>
        </is>
      </c>
      <c r="D294" s="389" t="n">
        <v>110</v>
      </c>
      <c r="E294" s="389" t="n">
        <v>0</v>
      </c>
      <c r="F294" s="389" t="n">
        <v>110</v>
      </c>
      <c r="G294" s="389" t="inlineStr">
        <is>
          <t>-</t>
        </is>
      </c>
      <c r="H294" s="389" t="inlineStr">
        <is>
          <t>$465</t>
        </is>
      </c>
      <c r="I294" s="516" t="inlineStr">
        <is>
          <t>$2,970</t>
        </is>
      </c>
      <c r="J294" s="389" t="inlineStr">
        <is>
          <t>Transfer Only</t>
        </is>
      </c>
    </row>
    <row r="295" ht="18" customHeight="1" s="229">
      <c r="A295" s="391" t="inlineStr">
        <is>
          <t>NEIWAI ACTIVE X NYCB Ribbed Mousse Wide Leg Pants</t>
        </is>
      </c>
      <c r="B295" s="392" t="inlineStr">
        <is>
          <t>Active</t>
        </is>
      </c>
      <c r="C295" s="393" t="inlineStr">
        <is>
          <t>2 — HIGH (excess inventory vs demand)</t>
        </is>
      </c>
      <c r="D295" s="397" t="n">
        <v>107</v>
      </c>
      <c r="E295" s="397" t="n">
        <v>0</v>
      </c>
      <c r="F295" s="397" t="n">
        <v>107</v>
      </c>
      <c r="G295" s="397" t="inlineStr">
        <is>
          <t>-</t>
        </is>
      </c>
      <c r="H295" s="397" t="inlineStr">
        <is>
          <t>$683</t>
        </is>
      </c>
      <c r="I295" s="517" t="inlineStr">
        <is>
          <t>$3,348</t>
        </is>
      </c>
      <c r="J295" s="397" t="inlineStr">
        <is>
          <t>Transfer Only</t>
        </is>
      </c>
    </row>
    <row r="296" ht="18" customHeight="1" s="229">
      <c r="A296" s="383" t="inlineStr">
        <is>
          <t>Seamless Active T-Shirt</t>
        </is>
      </c>
      <c r="B296" s="384" t="inlineStr">
        <is>
          <t>Active</t>
        </is>
      </c>
      <c r="C296" s="385" t="inlineStr">
        <is>
          <t>4 — LOW (natural sellthrough)</t>
        </is>
      </c>
      <c r="D296" s="389" t="n">
        <v>4</v>
      </c>
      <c r="E296" s="389" t="n">
        <v>102</v>
      </c>
      <c r="F296" s="389" t="n">
        <v>106</v>
      </c>
      <c r="G296" s="389" t="inlineStr">
        <is>
          <t>-</t>
        </is>
      </c>
      <c r="H296" s="389" t="inlineStr">
        <is>
          <t>$650</t>
        </is>
      </c>
      <c r="I296" s="516" t="inlineStr">
        <is>
          <t>$162</t>
        </is>
      </c>
      <c r="J296" s="389" t="inlineStr">
        <is>
          <t>Transfer Only</t>
        </is>
      </c>
    </row>
    <row r="297" ht="18" customHeight="1" s="229">
      <c r="A297" s="391" t="inlineStr">
        <is>
          <t>NEIWAI ACTIVE X NYCB Polartec Fleece Sweatpants</t>
        </is>
      </c>
      <c r="B297" s="392" t="inlineStr">
        <is>
          <t>Active</t>
        </is>
      </c>
      <c r="C297" s="393" t="inlineStr">
        <is>
          <t>2 — HIGH (excess inventory vs demand)</t>
        </is>
      </c>
      <c r="D297" s="397" t="n">
        <v>100</v>
      </c>
      <c r="E297" s="397" t="n">
        <v>0</v>
      </c>
      <c r="F297" s="397" t="n">
        <v>100</v>
      </c>
      <c r="G297" s="519" t="n">
        <v>1</v>
      </c>
      <c r="H297" s="397" t="inlineStr">
        <is>
          <t>$733</t>
        </is>
      </c>
      <c r="I297" s="517" t="inlineStr">
        <is>
          <t>$2,934</t>
        </is>
      </c>
      <c r="J297" s="397" t="inlineStr">
        <is>
          <t>Transfer (CN) + Flash Sale (US)</t>
        </is>
      </c>
    </row>
    <row r="298" ht="18" customHeight="1" s="229">
      <c r="A298" s="383" t="inlineStr">
        <is>
          <t>Relaxed Fit Sweat Cardigan</t>
        </is>
      </c>
      <c r="B298" s="384" t="inlineStr">
        <is>
          <t>Active</t>
        </is>
      </c>
      <c r="C298" s="385" t="inlineStr">
        <is>
          <t>4 — LOW (natural sellthrough)</t>
        </is>
      </c>
      <c r="D298" s="389" t="n">
        <v>19</v>
      </c>
      <c r="E298" s="389" t="n">
        <v>80</v>
      </c>
      <c r="F298" s="389" t="n">
        <v>99</v>
      </c>
      <c r="G298" s="389" t="inlineStr">
        <is>
          <t>-</t>
        </is>
      </c>
      <c r="H298" s="389" t="inlineStr">
        <is>
          <t>$224</t>
        </is>
      </c>
      <c r="I298" s="516" t="inlineStr">
        <is>
          <t>$342</t>
        </is>
      </c>
      <c r="J298" s="389" t="inlineStr">
        <is>
          <t>Transfer Only</t>
        </is>
      </c>
    </row>
    <row r="299" ht="18" customHeight="1" s="229">
      <c r="A299" s="391" t="inlineStr">
        <is>
          <t>Ski Leggings</t>
        </is>
      </c>
      <c r="B299" s="392" t="inlineStr">
        <is>
          <t>Active</t>
        </is>
      </c>
      <c r="C299" s="393" t="inlineStr">
        <is>
          <t>4 — LOW (natural sellthrough)</t>
        </is>
      </c>
      <c r="D299" s="397" t="n">
        <v>5</v>
      </c>
      <c r="E299" s="397" t="n">
        <v>94</v>
      </c>
      <c r="F299" s="397" t="n">
        <v>99</v>
      </c>
      <c r="G299" s="519" t="n">
        <v>6</v>
      </c>
      <c r="H299" s="397" t="inlineStr">
        <is>
          <t>$981</t>
        </is>
      </c>
      <c r="I299" s="517" t="inlineStr">
        <is>
          <t>$450</t>
        </is>
      </c>
      <c r="J299" s="397" t="inlineStr">
        <is>
          <t>Transfer (CN) + Flash Sale (US)</t>
        </is>
      </c>
    </row>
    <row r="300" ht="18" customHeight="1" s="229">
      <c r="A300" s="383" t="inlineStr">
        <is>
          <t>NEIWAI ACTIVE X NYCB Sandwashed Modal Crewneck Sweatshirt</t>
        </is>
      </c>
      <c r="B300" s="384" t="inlineStr">
        <is>
          <t>Active</t>
        </is>
      </c>
      <c r="C300" s="385" t="inlineStr">
        <is>
          <t>2 — HIGH (dead product)</t>
        </is>
      </c>
      <c r="D300" s="389" t="n">
        <v>98</v>
      </c>
      <c r="E300" s="389" t="n">
        <v>0</v>
      </c>
      <c r="F300" s="389" t="n">
        <v>98</v>
      </c>
      <c r="G300" s="389" t="inlineStr">
        <is>
          <t>-</t>
        </is>
      </c>
      <c r="H300" s="389" t="inlineStr">
        <is>
          <t>$0</t>
        </is>
      </c>
      <c r="I300" s="516" t="inlineStr">
        <is>
          <t>$1,548</t>
        </is>
      </c>
      <c r="J300" s="389" t="inlineStr">
        <is>
          <t>Transfer Only</t>
        </is>
      </c>
    </row>
    <row r="301" ht="18" customHeight="1" s="229">
      <c r="A301" s="391" t="inlineStr">
        <is>
          <t>Knotted 2-way Short Sleeve Top</t>
        </is>
      </c>
      <c r="B301" s="392" t="inlineStr">
        <is>
          <t>Active</t>
        </is>
      </c>
      <c r="C301" s="393" t="inlineStr">
        <is>
          <t>3 — MEDIUM (selldown or markdown)</t>
        </is>
      </c>
      <c r="D301" s="397" t="n">
        <v>33</v>
      </c>
      <c r="E301" s="397" t="n">
        <v>64</v>
      </c>
      <c r="F301" s="397" t="n">
        <v>97</v>
      </c>
      <c r="G301" s="397" t="inlineStr">
        <is>
          <t>-</t>
        </is>
      </c>
      <c r="H301" s="397" t="inlineStr">
        <is>
          <t>$1,244</t>
        </is>
      </c>
      <c r="I301" s="517" t="inlineStr">
        <is>
          <t>$918</t>
        </is>
      </c>
      <c r="J301" s="397" t="inlineStr">
        <is>
          <t>Transfer Only</t>
        </is>
      </c>
    </row>
    <row r="302" ht="18" customHeight="1" s="229">
      <c r="A302" s="383" t="inlineStr">
        <is>
          <t>Breeze High Waist Bermuda Shorts</t>
        </is>
      </c>
      <c r="B302" s="384" t="inlineStr">
        <is>
          <t>Active</t>
        </is>
      </c>
      <c r="C302" s="385" t="inlineStr">
        <is>
          <t>2 — HIGH (dead product)</t>
        </is>
      </c>
      <c r="D302" s="389" t="n">
        <v>28</v>
      </c>
      <c r="E302" s="389" t="n">
        <v>68</v>
      </c>
      <c r="F302" s="389" t="n">
        <v>96</v>
      </c>
      <c r="G302" s="518" t="n">
        <v>1</v>
      </c>
      <c r="H302" s="389" t="inlineStr">
        <is>
          <t>$0</t>
        </is>
      </c>
      <c r="I302" s="516" t="inlineStr">
        <is>
          <t>$342</t>
        </is>
      </c>
      <c r="J302" s="389" t="inlineStr">
        <is>
          <t>Transfer (CN) + Flash Sale (US)</t>
        </is>
      </c>
    </row>
    <row r="303" ht="18" customHeight="1" s="229">
      <c r="A303" s="391" t="inlineStr">
        <is>
          <t>Dolce Bikini Bottom</t>
        </is>
      </c>
      <c r="B303" s="392" t="inlineStr">
        <is>
          <t>Active</t>
        </is>
      </c>
      <c r="C303" s="393" t="inlineStr">
        <is>
          <t>3 — MEDIUM (selldown or markdown)</t>
        </is>
      </c>
      <c r="D303" s="397" t="n">
        <v>95</v>
      </c>
      <c r="E303" s="397" t="n">
        <v>0</v>
      </c>
      <c r="F303" s="397" t="n">
        <v>95</v>
      </c>
      <c r="G303" s="519" t="n">
        <v>1</v>
      </c>
      <c r="H303" s="397" t="inlineStr">
        <is>
          <t>$239</t>
        </is>
      </c>
      <c r="I303" s="517" t="inlineStr">
        <is>
          <t>$1,494</t>
        </is>
      </c>
      <c r="J303" s="397" t="inlineStr">
        <is>
          <t>Transfer (CN) + Flash Sale (US)</t>
        </is>
      </c>
    </row>
    <row r="304" ht="18" customHeight="1" s="229">
      <c r="A304" s="383" t="inlineStr">
        <is>
          <t>Dance Wrap Bra Top</t>
        </is>
      </c>
      <c r="B304" s="384" t="inlineStr">
        <is>
          <t>Active</t>
        </is>
      </c>
      <c r="C304" s="385" t="inlineStr">
        <is>
          <t>3 — MEDIUM (selldown or markdown)</t>
        </is>
      </c>
      <c r="D304" s="389" t="n">
        <v>33</v>
      </c>
      <c r="E304" s="389" t="n">
        <v>62</v>
      </c>
      <c r="F304" s="389" t="n">
        <v>95</v>
      </c>
      <c r="G304" s="389" t="inlineStr">
        <is>
          <t>-</t>
        </is>
      </c>
      <c r="H304" s="389" t="inlineStr">
        <is>
          <t>$1,270</t>
        </is>
      </c>
      <c r="I304" s="516" t="inlineStr">
        <is>
          <t>$1,476</t>
        </is>
      </c>
      <c r="J304" s="389" t="inlineStr">
        <is>
          <t>Transfer Only</t>
        </is>
      </c>
    </row>
    <row r="305" ht="18" customHeight="1" s="229">
      <c r="A305" s="391" t="inlineStr">
        <is>
          <t>Wool Seamless Mock Neck Top</t>
        </is>
      </c>
      <c r="B305" s="392" t="inlineStr">
        <is>
          <t>Active</t>
        </is>
      </c>
      <c r="C305" s="393" t="inlineStr">
        <is>
          <t>4 — LOW (natural sellthrough)</t>
        </is>
      </c>
      <c r="D305" s="397" t="n">
        <v>7</v>
      </c>
      <c r="E305" s="397" t="n">
        <v>88</v>
      </c>
      <c r="F305" s="397" t="n">
        <v>95</v>
      </c>
      <c r="G305" s="397" t="inlineStr">
        <is>
          <t>-</t>
        </is>
      </c>
      <c r="H305" s="397" t="inlineStr">
        <is>
          <t>$1,814</t>
        </is>
      </c>
      <c r="I305" s="517" t="inlineStr">
        <is>
          <t>$378</t>
        </is>
      </c>
      <c r="J305" s="397" t="inlineStr">
        <is>
          <t>Transfer Only</t>
        </is>
      </c>
    </row>
    <row r="306" ht="18" customHeight="1" s="229">
      <c r="A306" s="383" t="inlineStr">
        <is>
          <t>Dance Halter Sports Bra</t>
        </is>
      </c>
      <c r="B306" s="384" t="inlineStr">
        <is>
          <t>Active</t>
        </is>
      </c>
      <c r="C306" s="385" t="inlineStr">
        <is>
          <t>4 — LOW (natural sellthrough)</t>
        </is>
      </c>
      <c r="D306" s="389" t="n">
        <v>48</v>
      </c>
      <c r="E306" s="389" t="n">
        <v>46</v>
      </c>
      <c r="F306" s="389" t="n">
        <v>94</v>
      </c>
      <c r="G306" s="389" t="inlineStr">
        <is>
          <t>-</t>
        </is>
      </c>
      <c r="H306" s="389" t="inlineStr">
        <is>
          <t>$440</t>
        </is>
      </c>
      <c r="I306" s="516" t="inlineStr">
        <is>
          <t>$828</t>
        </is>
      </c>
      <c r="J306" s="389" t="inlineStr">
        <is>
          <t>Transfer Only</t>
        </is>
      </c>
    </row>
    <row r="307" ht="18" customHeight="1" s="229">
      <c r="A307" s="391" t="inlineStr">
        <is>
          <t>NEIWAI ACTIVE X Andrea Jiapei Li Cutout Unitard</t>
        </is>
      </c>
      <c r="B307" s="392" t="inlineStr">
        <is>
          <t>Active</t>
        </is>
      </c>
      <c r="C307" s="393" t="inlineStr">
        <is>
          <t>4 — LOW (natural sellthrough)</t>
        </is>
      </c>
      <c r="D307" s="397" t="n">
        <v>17</v>
      </c>
      <c r="E307" s="397" t="n">
        <v>75</v>
      </c>
      <c r="F307" s="397" t="n">
        <v>92</v>
      </c>
      <c r="G307" s="397" t="inlineStr">
        <is>
          <t>-</t>
        </is>
      </c>
      <c r="H307" s="397" t="inlineStr">
        <is>
          <t>$480</t>
        </is>
      </c>
      <c r="I307" s="517" t="inlineStr">
        <is>
          <t>$216</t>
        </is>
      </c>
      <c r="J307" s="397" t="inlineStr">
        <is>
          <t>Transfer Only</t>
        </is>
      </c>
    </row>
    <row r="308" ht="18" customHeight="1" s="229">
      <c r="A308" s="383" t="inlineStr">
        <is>
          <t>NEIWAI ACTIVE X NYCB Quilted Vest</t>
        </is>
      </c>
      <c r="B308" s="384" t="inlineStr">
        <is>
          <t>Active</t>
        </is>
      </c>
      <c r="C308" s="385" t="inlineStr">
        <is>
          <t>3 — MEDIUM (selldown or markdown)</t>
        </is>
      </c>
      <c r="D308" s="389" t="n">
        <v>89</v>
      </c>
      <c r="E308" s="389" t="n">
        <v>0</v>
      </c>
      <c r="F308" s="389" t="n">
        <v>89</v>
      </c>
      <c r="G308" s="389" t="inlineStr">
        <is>
          <t>-</t>
        </is>
      </c>
      <c r="H308" s="389" t="inlineStr">
        <is>
          <t>$424</t>
        </is>
      </c>
      <c r="I308" s="516" t="inlineStr">
        <is>
          <t>$1,098</t>
        </is>
      </c>
      <c r="J308" s="389" t="inlineStr">
        <is>
          <t>Transfer Only</t>
        </is>
      </c>
    </row>
    <row r="309" ht="18" customHeight="1" s="229">
      <c r="A309" s="391" t="inlineStr">
        <is>
          <t>NEIWAI ACTIVE X NYCB Double Layer Sports Bra Top</t>
        </is>
      </c>
      <c r="B309" s="392" t="inlineStr">
        <is>
          <t>Active</t>
        </is>
      </c>
      <c r="C309" s="393" t="inlineStr">
        <is>
          <t>2 — HIGH (excess inventory vs demand)</t>
        </is>
      </c>
      <c r="D309" s="397" t="n">
        <v>88</v>
      </c>
      <c r="E309" s="397" t="n">
        <v>0</v>
      </c>
      <c r="F309" s="397" t="n">
        <v>88</v>
      </c>
      <c r="G309" s="397" t="inlineStr">
        <is>
          <t>-</t>
        </is>
      </c>
      <c r="H309" s="397" t="inlineStr">
        <is>
          <t>$633</t>
        </is>
      </c>
      <c r="I309" s="517" t="inlineStr">
        <is>
          <t>$2,304</t>
        </is>
      </c>
      <c r="J309" s="397" t="inlineStr">
        <is>
          <t>Transfer Only</t>
        </is>
      </c>
    </row>
    <row r="310" ht="18" customHeight="1" s="229">
      <c r="A310" s="383" t="inlineStr">
        <is>
          <t>Mousse Drawstring Wide Leg Pants</t>
        </is>
      </c>
      <c r="B310" s="384" t="inlineStr">
        <is>
          <t>Active</t>
        </is>
      </c>
      <c r="C310" s="385" t="inlineStr">
        <is>
          <t>4 — LOW (natural sellthrough)</t>
        </is>
      </c>
      <c r="D310" s="389" t="n">
        <v>0</v>
      </c>
      <c r="E310" s="389" t="n">
        <v>88</v>
      </c>
      <c r="F310" s="389" t="n">
        <v>88</v>
      </c>
      <c r="G310" s="518" t="n">
        <v>9</v>
      </c>
      <c r="H310" s="389" t="inlineStr">
        <is>
          <t>$842</t>
        </is>
      </c>
      <c r="I310" s="516" t="inlineStr">
        <is>
          <t>$486</t>
        </is>
      </c>
      <c r="J310" s="389" t="inlineStr">
        <is>
          <t>Transfer (CN) + Flash Sale (US)</t>
        </is>
      </c>
    </row>
    <row r="311" ht="18" customHeight="1" s="229">
      <c r="A311" s="391" t="inlineStr">
        <is>
          <t>Core Low-Intensity Seamless Leggings</t>
        </is>
      </c>
      <c r="B311" s="392" t="inlineStr">
        <is>
          <t>Active</t>
        </is>
      </c>
      <c r="C311" s="393" t="inlineStr">
        <is>
          <t>4 — LOW (natural sellthrough)</t>
        </is>
      </c>
      <c r="D311" s="397" t="n">
        <v>9</v>
      </c>
      <c r="E311" s="397" t="n">
        <v>76</v>
      </c>
      <c r="F311" s="397" t="n">
        <v>85</v>
      </c>
      <c r="G311" s="397" t="inlineStr">
        <is>
          <t>-</t>
        </is>
      </c>
      <c r="H311" s="397" t="inlineStr">
        <is>
          <t>$83</t>
        </is>
      </c>
      <c r="I311" s="517" t="inlineStr">
        <is>
          <t>$162</t>
        </is>
      </c>
      <c r="J311" s="397" t="inlineStr">
        <is>
          <t>Transfer Only</t>
        </is>
      </c>
    </row>
    <row r="312" ht="18" customHeight="1" s="229">
      <c r="A312" s="383" t="inlineStr">
        <is>
          <t>Mousse Fixed Cup Racerback Sports Bra</t>
        </is>
      </c>
      <c r="B312" s="384" t="inlineStr">
        <is>
          <t>Active</t>
        </is>
      </c>
      <c r="C312" s="385" t="inlineStr">
        <is>
          <t>2 — HIGH (excess inventory vs demand)</t>
        </is>
      </c>
      <c r="D312" s="389" t="n">
        <v>84</v>
      </c>
      <c r="E312" s="389" t="n">
        <v>0</v>
      </c>
      <c r="F312" s="389" t="n">
        <v>84</v>
      </c>
      <c r="G312" s="389" t="inlineStr">
        <is>
          <t>-</t>
        </is>
      </c>
      <c r="H312" s="389" t="inlineStr">
        <is>
          <t>$116</t>
        </is>
      </c>
      <c r="I312" s="516" t="inlineStr">
        <is>
          <t>$3,042</t>
        </is>
      </c>
      <c r="J312" s="389" t="inlineStr">
        <is>
          <t>Transfer Only</t>
        </is>
      </c>
    </row>
    <row r="313" ht="18" customHeight="1" s="229">
      <c r="A313" s="391" t="inlineStr">
        <is>
          <t>Mousse Light Support Long Sports Bra</t>
        </is>
      </c>
      <c r="B313" s="392" t="inlineStr">
        <is>
          <t>Active</t>
        </is>
      </c>
      <c r="C313" s="393" t="inlineStr">
        <is>
          <t>3 — MEDIUM (selldown or markdown)</t>
        </is>
      </c>
      <c r="D313" s="397" t="n">
        <v>17</v>
      </c>
      <c r="E313" s="397" t="n">
        <v>64</v>
      </c>
      <c r="F313" s="397" t="n">
        <v>81</v>
      </c>
      <c r="G313" s="519" t="n">
        <v>26</v>
      </c>
      <c r="H313" s="397" t="inlineStr">
        <is>
          <t>$1,642</t>
        </is>
      </c>
      <c r="I313" s="517" t="inlineStr">
        <is>
          <t>$1,980</t>
        </is>
      </c>
      <c r="J313" s="397" t="inlineStr">
        <is>
          <t>Transfer (CN) + Flash Sale (US)</t>
        </is>
      </c>
    </row>
    <row r="314" ht="18" customHeight="1" s="229">
      <c r="A314" s="383" t="inlineStr">
        <is>
          <t>Cocoon Wide Leg Pants 2.0</t>
        </is>
      </c>
      <c r="B314" s="384" t="inlineStr">
        <is>
          <t>Active</t>
        </is>
      </c>
      <c r="C314" s="385" t="inlineStr">
        <is>
          <t>3 — MEDIUM (selldown or markdown)</t>
        </is>
      </c>
      <c r="D314" s="389" t="n">
        <v>15</v>
      </c>
      <c r="E314" s="389" t="n">
        <v>65</v>
      </c>
      <c r="F314" s="389" t="n">
        <v>80</v>
      </c>
      <c r="G314" s="518" t="n">
        <v>7</v>
      </c>
      <c r="H314" s="389" t="inlineStr">
        <is>
          <t>$1,988</t>
        </is>
      </c>
      <c r="I314" s="516" t="inlineStr">
        <is>
          <t>$1,116</t>
        </is>
      </c>
      <c r="J314" s="389" t="inlineStr">
        <is>
          <t>Transfer (CN) + Flash Sale (US)</t>
        </is>
      </c>
    </row>
    <row r="315" ht="18" customHeight="1" s="229">
      <c r="A315" s="391" t="inlineStr">
        <is>
          <t>NEIWAI ACTIVE X NYCB Ribbed Mousse Hooded Jacket</t>
        </is>
      </c>
      <c r="B315" s="392" t="inlineStr">
        <is>
          <t>Active</t>
        </is>
      </c>
      <c r="C315" s="393" t="inlineStr">
        <is>
          <t>3 — MEDIUM (selldown or markdown)</t>
        </is>
      </c>
      <c r="D315" s="397" t="n">
        <v>79</v>
      </c>
      <c r="E315" s="397" t="n">
        <v>0</v>
      </c>
      <c r="F315" s="397" t="n">
        <v>79</v>
      </c>
      <c r="G315" s="397" t="inlineStr">
        <is>
          <t>-</t>
        </is>
      </c>
      <c r="H315" s="397" t="inlineStr">
        <is>
          <t>$149</t>
        </is>
      </c>
      <c r="I315" s="517" t="inlineStr">
        <is>
          <t>$1,044</t>
        </is>
      </c>
      <c r="J315" s="397" t="inlineStr">
        <is>
          <t>Transfer Only</t>
        </is>
      </c>
    </row>
    <row r="316" ht="18" customHeight="1" s="229">
      <c r="A316" s="383" t="inlineStr">
        <is>
          <t>Breeze Culottes</t>
        </is>
      </c>
      <c r="B316" s="384" t="inlineStr">
        <is>
          <t>Active</t>
        </is>
      </c>
      <c r="C316" s="385" t="inlineStr">
        <is>
          <t>4 — LOW (natural sellthrough)</t>
        </is>
      </c>
      <c r="D316" s="389" t="n">
        <v>13</v>
      </c>
      <c r="E316" s="389" t="n">
        <v>65</v>
      </c>
      <c r="F316" s="389" t="n">
        <v>78</v>
      </c>
      <c r="G316" s="389" t="inlineStr">
        <is>
          <t>-</t>
        </is>
      </c>
      <c r="H316" s="389" t="inlineStr">
        <is>
          <t>$637</t>
        </is>
      </c>
      <c r="I316" s="516" t="inlineStr">
        <is>
          <t>$594</t>
        </is>
      </c>
      <c r="J316" s="389" t="inlineStr">
        <is>
          <t>Transfer Only</t>
        </is>
      </c>
    </row>
    <row r="317" ht="18" customHeight="1" s="229">
      <c r="A317" s="391" t="inlineStr">
        <is>
          <t>Ballet Slit Joggers</t>
        </is>
      </c>
      <c r="B317" s="392" t="inlineStr">
        <is>
          <t>Active</t>
        </is>
      </c>
      <c r="C317" s="393" t="inlineStr">
        <is>
          <t>4 — LOW (natural sellthrough)</t>
        </is>
      </c>
      <c r="D317" s="397" t="n">
        <v>5</v>
      </c>
      <c r="E317" s="397" t="n">
        <v>73</v>
      </c>
      <c r="F317" s="397" t="n">
        <v>78</v>
      </c>
      <c r="G317" s="519" t="n">
        <v>2</v>
      </c>
      <c r="H317" s="397" t="inlineStr">
        <is>
          <t>$1,553</t>
        </is>
      </c>
      <c r="I317" s="517" t="inlineStr">
        <is>
          <t>$324</t>
        </is>
      </c>
      <c r="J317" s="397" t="inlineStr">
        <is>
          <t>Transfer (CN) + Flash Sale (US)</t>
        </is>
      </c>
    </row>
    <row r="318" ht="18" customHeight="1" s="229">
      <c r="A318" s="383" t="inlineStr">
        <is>
          <t>NEIWAI ACTIVE X NYCB Fitted Jacket</t>
        </is>
      </c>
      <c r="B318" s="384" t="inlineStr">
        <is>
          <t>Active</t>
        </is>
      </c>
      <c r="C318" s="385" t="inlineStr">
        <is>
          <t>4 — LOW (natural sellthrough)</t>
        </is>
      </c>
      <c r="D318" s="389" t="n">
        <v>75</v>
      </c>
      <c r="E318" s="389" t="n">
        <v>0</v>
      </c>
      <c r="F318" s="389" t="n">
        <v>75</v>
      </c>
      <c r="G318" s="389" t="inlineStr">
        <is>
          <t>-</t>
        </is>
      </c>
      <c r="H318" s="389" t="inlineStr">
        <is>
          <t>$223</t>
        </is>
      </c>
      <c r="I318" s="516" t="inlineStr">
        <is>
          <t>$630</t>
        </is>
      </c>
      <c r="J318" s="389" t="inlineStr">
        <is>
          <t>Transfer Only</t>
        </is>
      </c>
    </row>
    <row r="319" ht="18" customHeight="1" s="229">
      <c r="A319" s="391" t="inlineStr">
        <is>
          <t>NEIWAI ACTIVE X NYCB Mousse Half Zip Tank</t>
        </is>
      </c>
      <c r="B319" s="392" t="inlineStr">
        <is>
          <t>Active</t>
        </is>
      </c>
      <c r="C319" s="393" t="inlineStr">
        <is>
          <t>3 — MEDIUM (selldown or markdown)</t>
        </is>
      </c>
      <c r="D319" s="397" t="n">
        <v>74</v>
      </c>
      <c r="E319" s="397" t="n">
        <v>0</v>
      </c>
      <c r="F319" s="397" t="n">
        <v>74</v>
      </c>
      <c r="G319" s="397" t="inlineStr">
        <is>
          <t>-</t>
        </is>
      </c>
      <c r="H319" s="397" t="inlineStr">
        <is>
          <t>$315</t>
        </is>
      </c>
      <c r="I319" s="517" t="inlineStr">
        <is>
          <t>$1,584</t>
        </is>
      </c>
      <c r="J319" s="397" t="inlineStr">
        <is>
          <t>Transfer Only</t>
        </is>
      </c>
    </row>
    <row r="320" ht="18" customHeight="1" s="229">
      <c r="A320" s="383" t="inlineStr">
        <is>
          <t>Woven Fleece Pants</t>
        </is>
      </c>
      <c r="B320" s="384" t="inlineStr">
        <is>
          <t>Active</t>
        </is>
      </c>
      <c r="C320" s="385" t="inlineStr">
        <is>
          <t>4 — LOW (natural sellthrough)</t>
        </is>
      </c>
      <c r="D320" s="389" t="n">
        <v>73</v>
      </c>
      <c r="E320" s="389" t="n">
        <v>0</v>
      </c>
      <c r="F320" s="389" t="n">
        <v>73</v>
      </c>
      <c r="G320" s="389" t="inlineStr">
        <is>
          <t>-</t>
        </is>
      </c>
      <c r="H320" s="389" t="inlineStr">
        <is>
          <t>$148</t>
        </is>
      </c>
      <c r="I320" s="516" t="inlineStr">
        <is>
          <t>$540</t>
        </is>
      </c>
      <c r="J320" s="389" t="inlineStr">
        <is>
          <t>Transfer Only</t>
        </is>
      </c>
    </row>
    <row r="321" ht="18" customHeight="1" s="229">
      <c r="A321" s="391" t="inlineStr">
        <is>
          <t>Ballet Ribbed Cardigan</t>
        </is>
      </c>
      <c r="B321" s="392" t="inlineStr">
        <is>
          <t>Active</t>
        </is>
      </c>
      <c r="C321" s="393" t="inlineStr">
        <is>
          <t>4 — LOW (natural sellthrough)</t>
        </is>
      </c>
      <c r="D321" s="397" t="n">
        <v>11</v>
      </c>
      <c r="E321" s="397" t="n">
        <v>62</v>
      </c>
      <c r="F321" s="397" t="n">
        <v>73</v>
      </c>
      <c r="G321" s="519" t="n">
        <v>1</v>
      </c>
      <c r="H321" s="397" t="inlineStr">
        <is>
          <t>$2,105</t>
        </is>
      </c>
      <c r="I321" s="517" t="inlineStr">
        <is>
          <t>$594</t>
        </is>
      </c>
      <c r="J321" s="397" t="inlineStr">
        <is>
          <t>Transfer (CN) + Flash Sale (US)</t>
        </is>
      </c>
    </row>
    <row r="322" ht="18" customHeight="1" s="229">
      <c r="A322" s="383" t="inlineStr">
        <is>
          <t>NEIWAI ACTIVE X NYCB Ribbed Mousse T-Shirt</t>
        </is>
      </c>
      <c r="B322" s="384" t="inlineStr">
        <is>
          <t>Active</t>
        </is>
      </c>
      <c r="C322" s="385" t="inlineStr">
        <is>
          <t>4 — LOW (natural sellthrough)</t>
        </is>
      </c>
      <c r="D322" s="389" t="n">
        <v>72</v>
      </c>
      <c r="E322" s="389" t="n">
        <v>0</v>
      </c>
      <c r="F322" s="389" t="n">
        <v>72</v>
      </c>
      <c r="G322" s="389" t="inlineStr">
        <is>
          <t>-</t>
        </is>
      </c>
      <c r="H322" s="389" t="inlineStr">
        <is>
          <t>$101</t>
        </is>
      </c>
      <c r="I322" s="516" t="inlineStr">
        <is>
          <t>$792</t>
        </is>
      </c>
      <c r="J322" s="389" t="inlineStr">
        <is>
          <t>Transfer Only</t>
        </is>
      </c>
    </row>
    <row r="323" ht="18" customHeight="1" s="229">
      <c r="A323" s="391" t="inlineStr">
        <is>
          <t>NEIWAI X SAVISLOOK Swimsuit</t>
        </is>
      </c>
      <c r="B323" s="392" t="inlineStr">
        <is>
          <t>Active</t>
        </is>
      </c>
      <c r="C323" s="393" t="inlineStr">
        <is>
          <t>2 — HIGH (excess inventory vs demand)</t>
        </is>
      </c>
      <c r="D323" s="397" t="n">
        <v>72</v>
      </c>
      <c r="E323" s="397" t="n">
        <v>0</v>
      </c>
      <c r="F323" s="397" t="n">
        <v>72</v>
      </c>
      <c r="G323" s="397" t="inlineStr">
        <is>
          <t>-</t>
        </is>
      </c>
      <c r="H323" s="397" t="inlineStr">
        <is>
          <t>$644</t>
        </is>
      </c>
      <c r="I323" s="517" t="inlineStr">
        <is>
          <t>$2,196</t>
        </is>
      </c>
      <c r="J323" s="397" t="inlineStr">
        <is>
          <t>Transfer Only</t>
        </is>
      </c>
    </row>
    <row r="324" ht="18" customHeight="1" s="229">
      <c r="A324" s="383" t="inlineStr">
        <is>
          <t>Ballet Pleated Plunge Bra Top</t>
        </is>
      </c>
      <c r="B324" s="384" t="inlineStr">
        <is>
          <t>Active</t>
        </is>
      </c>
      <c r="C324" s="385" t="inlineStr">
        <is>
          <t>4 — LOW (natural sellthrough)</t>
        </is>
      </c>
      <c r="D324" s="389" t="n">
        <v>5</v>
      </c>
      <c r="E324" s="389" t="n">
        <v>67</v>
      </c>
      <c r="F324" s="389" t="n">
        <v>72</v>
      </c>
      <c r="G324" s="518" t="n">
        <v>3</v>
      </c>
      <c r="H324" s="389" t="inlineStr">
        <is>
          <t>$381</t>
        </is>
      </c>
      <c r="I324" s="516" t="inlineStr">
        <is>
          <t>$342</t>
        </is>
      </c>
      <c r="J324" s="389" t="inlineStr">
        <is>
          <t>Transfer (CN) + Flash Sale (US)</t>
        </is>
      </c>
    </row>
    <row r="325" ht="18" customHeight="1" s="229">
      <c r="A325" s="391" t="inlineStr">
        <is>
          <t>Breeze Shorts</t>
        </is>
      </c>
      <c r="B325" s="392" t="inlineStr">
        <is>
          <t>Active</t>
        </is>
      </c>
      <c r="C325" s="393" t="inlineStr">
        <is>
          <t>4 — LOW (natural sellthrough)</t>
        </is>
      </c>
      <c r="D325" s="397" t="n">
        <v>71</v>
      </c>
      <c r="E325" s="397" t="n">
        <v>0</v>
      </c>
      <c r="F325" s="397" t="n">
        <v>71</v>
      </c>
      <c r="G325" s="397" t="inlineStr">
        <is>
          <t>-</t>
        </is>
      </c>
      <c r="H325" s="397" t="inlineStr">
        <is>
          <t>$32</t>
        </is>
      </c>
      <c r="I325" s="517" t="inlineStr">
        <is>
          <t>$612</t>
        </is>
      </c>
      <c r="J325" s="397" t="inlineStr">
        <is>
          <t>Transfer Only</t>
        </is>
      </c>
    </row>
    <row r="326" ht="18" customHeight="1" s="229">
      <c r="A326" s="383" t="inlineStr">
        <is>
          <t>Ballet Longsleeve Tee</t>
        </is>
      </c>
      <c r="B326" s="384" t="inlineStr">
        <is>
          <t>Active</t>
        </is>
      </c>
      <c r="C326" s="385" t="inlineStr">
        <is>
          <t>2 — HIGH (excess inventory vs demand)</t>
        </is>
      </c>
      <c r="D326" s="389" t="n">
        <v>71</v>
      </c>
      <c r="E326" s="389" t="n">
        <v>0</v>
      </c>
      <c r="F326" s="389" t="n">
        <v>71</v>
      </c>
      <c r="G326" s="389" t="inlineStr">
        <is>
          <t>-</t>
        </is>
      </c>
      <c r="H326" s="389" t="inlineStr">
        <is>
          <t>$962</t>
        </is>
      </c>
      <c r="I326" s="516" t="inlineStr">
        <is>
          <t>$3,078</t>
        </is>
      </c>
      <c r="J326" s="389" t="inlineStr">
        <is>
          <t>Transfer Only</t>
        </is>
      </c>
    </row>
    <row r="327" ht="18" customHeight="1" s="229">
      <c r="A327" s="391" t="inlineStr">
        <is>
          <t>NEIWAI ACTIVE X NYCB Windbreaker</t>
        </is>
      </c>
      <c r="B327" s="392" t="inlineStr">
        <is>
          <t>Active</t>
        </is>
      </c>
      <c r="C327" s="393" t="inlineStr">
        <is>
          <t>4 — LOW (natural sellthrough)</t>
        </is>
      </c>
      <c r="D327" s="397" t="n">
        <v>70</v>
      </c>
      <c r="E327" s="397" t="n">
        <v>0</v>
      </c>
      <c r="F327" s="397" t="n">
        <v>70</v>
      </c>
      <c r="G327" s="397" t="inlineStr">
        <is>
          <t>-</t>
        </is>
      </c>
      <c r="H327" s="397" t="inlineStr">
        <is>
          <t>$122</t>
        </is>
      </c>
      <c r="I327" s="517" t="inlineStr">
        <is>
          <t>$558</t>
        </is>
      </c>
      <c r="J327" s="397" t="inlineStr">
        <is>
          <t>Transfer Only</t>
        </is>
      </c>
    </row>
    <row r="328" ht="18" customHeight="1" s="229">
      <c r="A328" s="383" t="inlineStr">
        <is>
          <t>Cargo Pants</t>
        </is>
      </c>
      <c r="B328" s="384" t="inlineStr">
        <is>
          <t>Active</t>
        </is>
      </c>
      <c r="C328" s="385" t="inlineStr">
        <is>
          <t>2 — HIGH (excess inventory vs demand)</t>
        </is>
      </c>
      <c r="D328" s="389" t="n">
        <v>70</v>
      </c>
      <c r="E328" s="389" t="n">
        <v>0</v>
      </c>
      <c r="F328" s="389" t="n">
        <v>70</v>
      </c>
      <c r="G328" s="389" t="inlineStr">
        <is>
          <t>-</t>
        </is>
      </c>
      <c r="H328" s="389" t="inlineStr">
        <is>
          <t>$419</t>
        </is>
      </c>
      <c r="I328" s="516" t="inlineStr">
        <is>
          <t>$3,006</t>
        </is>
      </c>
      <c r="J328" s="389" t="inlineStr">
        <is>
          <t>Transfer Only</t>
        </is>
      </c>
    </row>
    <row r="329" ht="18" customHeight="1" s="229">
      <c r="A329" s="391" t="inlineStr">
        <is>
          <t>NEIWAI ACTIVE X NYCB Ballet Wool Ribbed Top</t>
        </is>
      </c>
      <c r="B329" s="392" t="inlineStr">
        <is>
          <t>Active</t>
        </is>
      </c>
      <c r="C329" s="393" t="inlineStr">
        <is>
          <t>3 — MEDIUM (selldown or markdown)</t>
        </is>
      </c>
      <c r="D329" s="397" t="n">
        <v>69</v>
      </c>
      <c r="E329" s="397" t="n">
        <v>0</v>
      </c>
      <c r="F329" s="397" t="n">
        <v>69</v>
      </c>
      <c r="G329" s="397" t="inlineStr">
        <is>
          <t>-</t>
        </is>
      </c>
      <c r="H329" s="397" t="inlineStr">
        <is>
          <t>$3,325</t>
        </is>
      </c>
      <c r="I329" s="517" t="inlineStr">
        <is>
          <t>$2,304</t>
        </is>
      </c>
      <c r="J329" s="397" t="inlineStr">
        <is>
          <t>Transfer Only</t>
        </is>
      </c>
    </row>
    <row r="330" ht="18" customHeight="1" s="229">
      <c r="A330" s="383" t="inlineStr">
        <is>
          <t>NEIWAI ACTIVE X NYCB Wool Half Zip Hoodie</t>
        </is>
      </c>
      <c r="B330" s="384" t="inlineStr">
        <is>
          <t>Active</t>
        </is>
      </c>
      <c r="C330" s="385" t="inlineStr">
        <is>
          <t>3 — MEDIUM (selldown or markdown)</t>
        </is>
      </c>
      <c r="D330" s="389" t="n">
        <v>68</v>
      </c>
      <c r="E330" s="389" t="n">
        <v>0</v>
      </c>
      <c r="F330" s="389" t="n">
        <v>68</v>
      </c>
      <c r="G330" s="518" t="n">
        <v>3</v>
      </c>
      <c r="H330" s="389" t="inlineStr">
        <is>
          <t>$1,077</t>
        </is>
      </c>
      <c r="I330" s="516" t="inlineStr">
        <is>
          <t>$2,196</t>
        </is>
      </c>
      <c r="J330" s="389" t="inlineStr">
        <is>
          <t>Transfer (CN) + Flash Sale (US)</t>
        </is>
      </c>
    </row>
    <row r="331" ht="18" customHeight="1" s="229">
      <c r="A331" s="391" t="inlineStr">
        <is>
          <t>NEIWAI ACTIVE X NYCB Boat Neck Tank</t>
        </is>
      </c>
      <c r="B331" s="392" t="inlineStr">
        <is>
          <t>Active</t>
        </is>
      </c>
      <c r="C331" s="393" t="inlineStr">
        <is>
          <t>2 — HIGH (excess inventory vs demand)</t>
        </is>
      </c>
      <c r="D331" s="397" t="n">
        <v>68</v>
      </c>
      <c r="E331" s="397" t="n">
        <v>0</v>
      </c>
      <c r="F331" s="397" t="n">
        <v>68</v>
      </c>
      <c r="G331" s="397" t="inlineStr">
        <is>
          <t>-</t>
        </is>
      </c>
      <c r="H331" s="397" t="inlineStr">
        <is>
          <t>$331</t>
        </is>
      </c>
      <c r="I331" s="517" t="inlineStr">
        <is>
          <t>$1,872</t>
        </is>
      </c>
      <c r="J331" s="397" t="inlineStr">
        <is>
          <t>Transfer Only</t>
        </is>
      </c>
    </row>
    <row r="332" ht="18" customHeight="1" s="229">
      <c r="A332" s="383" t="inlineStr">
        <is>
          <t>NEIWAI ACTIVE X NYCB Bomber Jacket</t>
        </is>
      </c>
      <c r="B332" s="384" t="inlineStr">
        <is>
          <t>Active</t>
        </is>
      </c>
      <c r="C332" s="385" t="inlineStr">
        <is>
          <t>4 — LOW (natural sellthrough)</t>
        </is>
      </c>
      <c r="D332" s="389" t="n">
        <v>68</v>
      </c>
      <c r="E332" s="389" t="n">
        <v>0</v>
      </c>
      <c r="F332" s="389" t="n">
        <v>68</v>
      </c>
      <c r="G332" s="389" t="inlineStr">
        <is>
          <t>-</t>
        </is>
      </c>
      <c r="H332" s="389" t="inlineStr">
        <is>
          <t>$186</t>
        </is>
      </c>
      <c r="I332" s="516" t="inlineStr">
        <is>
          <t>$432</t>
        </is>
      </c>
      <c r="J332" s="389" t="inlineStr">
        <is>
          <t>Transfer Only</t>
        </is>
      </c>
    </row>
    <row r="333" ht="18" customHeight="1" s="229">
      <c r="A333" s="391" t="inlineStr">
        <is>
          <t>Mousse Dance Wide-Leg Pants</t>
        </is>
      </c>
      <c r="B333" s="392" t="inlineStr">
        <is>
          <t>Active</t>
        </is>
      </c>
      <c r="C333" s="393" t="inlineStr">
        <is>
          <t>2 — HIGH (excess inventory vs demand)</t>
        </is>
      </c>
      <c r="D333" s="397" t="n">
        <v>67</v>
      </c>
      <c r="E333" s="397" t="n">
        <v>0</v>
      </c>
      <c r="F333" s="397" t="n">
        <v>67</v>
      </c>
      <c r="G333" s="397" t="inlineStr">
        <is>
          <t>-</t>
        </is>
      </c>
      <c r="H333" s="397" t="inlineStr">
        <is>
          <t>$348</t>
        </is>
      </c>
      <c r="I333" s="517" t="inlineStr">
        <is>
          <t>$3,564</t>
        </is>
      </c>
      <c r="J333" s="397" t="inlineStr">
        <is>
          <t>Transfer Only</t>
        </is>
      </c>
    </row>
    <row r="334" ht="18" customHeight="1" s="229">
      <c r="A334" s="383" t="inlineStr">
        <is>
          <t>NEIWAI ACTIVE X NYCB Waffle Long-Sleeve T-Shirt</t>
        </is>
      </c>
      <c r="B334" s="384" t="inlineStr">
        <is>
          <t>Active</t>
        </is>
      </c>
      <c r="C334" s="385" t="inlineStr">
        <is>
          <t>2 — HIGH (excess inventory vs demand)</t>
        </is>
      </c>
      <c r="D334" s="389" t="n">
        <v>65</v>
      </c>
      <c r="E334" s="389" t="n">
        <v>0</v>
      </c>
      <c r="F334" s="389" t="n">
        <v>65</v>
      </c>
      <c r="G334" s="518" t="n">
        <v>8</v>
      </c>
      <c r="H334" s="389" t="inlineStr">
        <is>
          <t>$529</t>
        </is>
      </c>
      <c r="I334" s="516" t="inlineStr">
        <is>
          <t>$2,466</t>
        </is>
      </c>
      <c r="J334" s="389" t="inlineStr">
        <is>
          <t>Transfer (CN) + Flash Sale (US)</t>
        </is>
      </c>
    </row>
    <row r="335" ht="18" customHeight="1" s="229">
      <c r="A335" s="391" t="inlineStr">
        <is>
          <t>Mousse Light Support Sports Bra</t>
        </is>
      </c>
      <c r="B335" s="392" t="inlineStr">
        <is>
          <t>Active</t>
        </is>
      </c>
      <c r="C335" s="393" t="inlineStr">
        <is>
          <t>4 — LOW (natural sellthrough)</t>
        </is>
      </c>
      <c r="D335" s="397" t="n">
        <v>22</v>
      </c>
      <c r="E335" s="397" t="n">
        <v>40</v>
      </c>
      <c r="F335" s="397" t="n">
        <v>62</v>
      </c>
      <c r="G335" s="397" t="inlineStr">
        <is>
          <t>-</t>
        </is>
      </c>
      <c r="H335" s="397" t="inlineStr">
        <is>
          <t>$408</t>
        </is>
      </c>
      <c r="I335" s="517" t="inlineStr">
        <is>
          <t>$414</t>
        </is>
      </c>
      <c r="J335" s="397" t="inlineStr">
        <is>
          <t>Transfer Only</t>
        </is>
      </c>
    </row>
    <row r="336" ht="18" customHeight="1" s="229">
      <c r="A336" s="383" t="inlineStr">
        <is>
          <t>Cross-Back Dance Sports Bra</t>
        </is>
      </c>
      <c r="B336" s="384" t="inlineStr">
        <is>
          <t>Active</t>
        </is>
      </c>
      <c r="C336" s="385" t="inlineStr">
        <is>
          <t>3 — MEDIUM (selldown or markdown)</t>
        </is>
      </c>
      <c r="D336" s="389" t="n">
        <v>60</v>
      </c>
      <c r="E336" s="389" t="n">
        <v>0</v>
      </c>
      <c r="F336" s="389" t="n">
        <v>60</v>
      </c>
      <c r="G336" s="389" t="inlineStr">
        <is>
          <t>-</t>
        </is>
      </c>
      <c r="H336" s="389" t="inlineStr">
        <is>
          <t>$1,388</t>
        </is>
      </c>
      <c r="I336" s="516" t="inlineStr">
        <is>
          <t>$2,430</t>
        </is>
      </c>
      <c r="J336" s="389" t="inlineStr">
        <is>
          <t>Transfer Only</t>
        </is>
      </c>
    </row>
    <row r="337" ht="18" customHeight="1" s="229">
      <c r="A337" s="391" t="inlineStr">
        <is>
          <t>NEIWAI ACTIVE X NYCB Polartec Fleece Sweatshirt</t>
        </is>
      </c>
      <c r="B337" s="392" t="inlineStr">
        <is>
          <t>Active</t>
        </is>
      </c>
      <c r="C337" s="393" t="inlineStr">
        <is>
          <t>4 — LOW (natural sellthrough)</t>
        </is>
      </c>
      <c r="D337" s="397" t="n">
        <v>60</v>
      </c>
      <c r="E337" s="397" t="n">
        <v>0</v>
      </c>
      <c r="F337" s="397" t="n">
        <v>60</v>
      </c>
      <c r="G337" s="397" t="inlineStr">
        <is>
          <t>-</t>
        </is>
      </c>
      <c r="H337" s="397" t="inlineStr">
        <is>
          <t>$232</t>
        </is>
      </c>
      <c r="I337" s="517" t="inlineStr">
        <is>
          <t>$774</t>
        </is>
      </c>
      <c r="J337" s="397" t="inlineStr">
        <is>
          <t>Transfer Only</t>
        </is>
      </c>
    </row>
    <row r="338" ht="18" customHeight="1" s="229">
      <c r="A338" s="383" t="inlineStr">
        <is>
          <t>NEIWAI ACTIVE X NYCB Mousse Cool Medium Support Long Sports Bra</t>
        </is>
      </c>
      <c r="B338" s="384" t="inlineStr">
        <is>
          <t>Active</t>
        </is>
      </c>
      <c r="C338" s="385" t="inlineStr">
        <is>
          <t>2 — HIGH (excess inventory vs demand)</t>
        </is>
      </c>
      <c r="D338" s="389" t="n">
        <v>59</v>
      </c>
      <c r="E338" s="389" t="n">
        <v>0</v>
      </c>
      <c r="F338" s="389" t="n">
        <v>59</v>
      </c>
      <c r="G338" s="518" t="n">
        <v>3</v>
      </c>
      <c r="H338" s="389" t="inlineStr">
        <is>
          <t>$380</t>
        </is>
      </c>
      <c r="I338" s="516" t="inlineStr">
        <is>
          <t>$2,214</t>
        </is>
      </c>
      <c r="J338" s="389" t="inlineStr">
        <is>
          <t>Transfer (CN) + Flash Sale (US)</t>
        </is>
      </c>
    </row>
    <row r="339" ht="18" customHeight="1" s="229">
      <c r="A339" s="391" t="inlineStr">
        <is>
          <t>NEIWAI ACTIVE X NYCB Fleece Neck Warmer</t>
        </is>
      </c>
      <c r="B339" s="392" t="inlineStr">
        <is>
          <t>Active</t>
        </is>
      </c>
      <c r="C339" s="393" t="inlineStr">
        <is>
          <t>3 — MEDIUM (selldown or markdown)</t>
        </is>
      </c>
      <c r="D339" s="397" t="n">
        <v>59</v>
      </c>
      <c r="E339" s="397" t="n">
        <v>0</v>
      </c>
      <c r="F339" s="397" t="n">
        <v>59</v>
      </c>
      <c r="G339" s="397" t="inlineStr">
        <is>
          <t>-</t>
        </is>
      </c>
      <c r="H339" s="397" t="inlineStr">
        <is>
          <t>$77</t>
        </is>
      </c>
      <c r="I339" s="517" t="inlineStr">
        <is>
          <t>$1,062</t>
        </is>
      </c>
      <c r="J339" s="397" t="inlineStr">
        <is>
          <t>Transfer Only</t>
        </is>
      </c>
    </row>
    <row r="340" ht="18" customHeight="1" s="229">
      <c r="A340" s="383" t="inlineStr">
        <is>
          <t>Breeze Light Sun Block Jacket</t>
        </is>
      </c>
      <c r="B340" s="384" t="inlineStr">
        <is>
          <t>Active</t>
        </is>
      </c>
      <c r="C340" s="385" t="inlineStr">
        <is>
          <t>4 — LOW (natural sellthrough)</t>
        </is>
      </c>
      <c r="D340" s="389" t="n">
        <v>7</v>
      </c>
      <c r="E340" s="389" t="n">
        <v>52</v>
      </c>
      <c r="F340" s="389" t="n">
        <v>59</v>
      </c>
      <c r="G340" s="389" t="inlineStr">
        <is>
          <t>-</t>
        </is>
      </c>
      <c r="H340" s="389" t="inlineStr">
        <is>
          <t>$718</t>
        </is>
      </c>
      <c r="I340" s="516" t="inlineStr">
        <is>
          <t>$234</t>
        </is>
      </c>
      <c r="J340" s="389" t="inlineStr">
        <is>
          <t>Transfer Only</t>
        </is>
      </c>
    </row>
    <row r="341" ht="18" customHeight="1" s="229">
      <c r="A341" s="391" t="inlineStr">
        <is>
          <t>NEIWAI ACTIVE X NYCB Beanie</t>
        </is>
      </c>
      <c r="B341" s="392" t="inlineStr">
        <is>
          <t>Active</t>
        </is>
      </c>
      <c r="C341" s="393" t="inlineStr">
        <is>
          <t>2 — HIGH (excess inventory vs demand)</t>
        </is>
      </c>
      <c r="D341" s="397" t="n">
        <v>58</v>
      </c>
      <c r="E341" s="397" t="n">
        <v>0</v>
      </c>
      <c r="F341" s="397" t="n">
        <v>58</v>
      </c>
      <c r="G341" s="519" t="n">
        <v>9</v>
      </c>
      <c r="H341" s="397" t="inlineStr">
        <is>
          <t>$313</t>
        </is>
      </c>
      <c r="I341" s="517" t="inlineStr">
        <is>
          <t>$2,772</t>
        </is>
      </c>
      <c r="J341" s="397" t="inlineStr">
        <is>
          <t>Transfer (CN) + Flash Sale (US)</t>
        </is>
      </c>
    </row>
    <row r="342" ht="18" customHeight="1" s="229">
      <c r="A342" s="383" t="inlineStr">
        <is>
          <t>NEIWAI ACTIVE X NYCB Light Woven Straight Leg Pants</t>
        </is>
      </c>
      <c r="B342" s="384" t="inlineStr">
        <is>
          <t>Active</t>
        </is>
      </c>
      <c r="C342" s="385" t="inlineStr">
        <is>
          <t>2 — HIGH (excess inventory vs demand)</t>
        </is>
      </c>
      <c r="D342" s="389" t="n">
        <v>58</v>
      </c>
      <c r="E342" s="389" t="n">
        <v>0</v>
      </c>
      <c r="F342" s="389" t="n">
        <v>58</v>
      </c>
      <c r="G342" s="389" t="inlineStr">
        <is>
          <t>-</t>
        </is>
      </c>
      <c r="H342" s="389" t="inlineStr">
        <is>
          <t>$556</t>
        </is>
      </c>
      <c r="I342" s="516" t="inlineStr">
        <is>
          <t>$1,962</t>
        </is>
      </c>
      <c r="J342" s="389" t="inlineStr">
        <is>
          <t>Transfer Only</t>
        </is>
      </c>
    </row>
    <row r="343" ht="18" customHeight="1" s="229">
      <c r="A343" s="391" t="inlineStr">
        <is>
          <t>Breeze Pants</t>
        </is>
      </c>
      <c r="B343" s="392" t="inlineStr">
        <is>
          <t>Active</t>
        </is>
      </c>
      <c r="C343" s="393" t="inlineStr">
        <is>
          <t>4 — LOW (natural sellthrough)</t>
        </is>
      </c>
      <c r="D343" s="397" t="n">
        <v>14</v>
      </c>
      <c r="E343" s="397" t="n">
        <v>44</v>
      </c>
      <c r="F343" s="397" t="n">
        <v>58</v>
      </c>
      <c r="G343" s="519" t="n">
        <v>6</v>
      </c>
      <c r="H343" s="397" t="inlineStr">
        <is>
          <t>$831</t>
        </is>
      </c>
      <c r="I343" s="517" t="inlineStr">
        <is>
          <t>$576</t>
        </is>
      </c>
      <c r="J343" s="397" t="inlineStr">
        <is>
          <t>Transfer (CN) + Flash Sale (US)</t>
        </is>
      </c>
    </row>
    <row r="344" ht="18" customHeight="1" s="229">
      <c r="A344" s="383" t="inlineStr">
        <is>
          <t>NEIWAI ACTIVE X NYCB Ballet Round Neck T-Shirt</t>
        </is>
      </c>
      <c r="B344" s="384" t="inlineStr">
        <is>
          <t>Active</t>
        </is>
      </c>
      <c r="C344" s="385" t="inlineStr">
        <is>
          <t>3 — MEDIUM (selldown or markdown)</t>
        </is>
      </c>
      <c r="D344" s="389" t="n">
        <v>57</v>
      </c>
      <c r="E344" s="389" t="n">
        <v>0</v>
      </c>
      <c r="F344" s="389" t="n">
        <v>57</v>
      </c>
      <c r="G344" s="389" t="inlineStr">
        <is>
          <t>-</t>
        </is>
      </c>
      <c r="H344" s="389" t="inlineStr">
        <is>
          <t>$101</t>
        </is>
      </c>
      <c r="I344" s="516" t="inlineStr">
        <is>
          <t>$1,044</t>
        </is>
      </c>
      <c r="J344" s="389" t="inlineStr">
        <is>
          <t>Transfer Only</t>
        </is>
      </c>
    </row>
    <row r="345" ht="18" customHeight="1" s="229">
      <c r="A345" s="391" t="inlineStr">
        <is>
          <t>Ballet Fitted Hoodie</t>
        </is>
      </c>
      <c r="B345" s="392" t="inlineStr">
        <is>
          <t>Active</t>
        </is>
      </c>
      <c r="C345" s="393" t="inlineStr">
        <is>
          <t>4 — LOW (natural sellthrough)</t>
        </is>
      </c>
      <c r="D345" s="397" t="n">
        <v>11</v>
      </c>
      <c r="E345" s="397" t="n">
        <v>46</v>
      </c>
      <c r="F345" s="397" t="n">
        <v>57</v>
      </c>
      <c r="G345" s="397" t="inlineStr">
        <is>
          <t>-</t>
        </is>
      </c>
      <c r="H345" s="397" t="inlineStr">
        <is>
          <t>$821</t>
        </is>
      </c>
      <c r="I345" s="517" t="inlineStr">
        <is>
          <t>$288</t>
        </is>
      </c>
      <c r="J345" s="397" t="inlineStr">
        <is>
          <t>Transfer Only</t>
        </is>
      </c>
    </row>
    <row r="346" ht="18" customHeight="1" s="229">
      <c r="A346" s="383" t="inlineStr">
        <is>
          <t>NEIWAI ACTIVE X NYCB Mousse Half Zip Long Sleeve Top</t>
        </is>
      </c>
      <c r="B346" s="384" t="inlineStr">
        <is>
          <t>Active</t>
        </is>
      </c>
      <c r="C346" s="385" t="inlineStr">
        <is>
          <t>4 — LOW (natural sellthrough)</t>
        </is>
      </c>
      <c r="D346" s="389" t="n">
        <v>55</v>
      </c>
      <c r="E346" s="389" t="n">
        <v>0</v>
      </c>
      <c r="F346" s="389" t="n">
        <v>55</v>
      </c>
      <c r="G346" s="389" t="inlineStr">
        <is>
          <t>-</t>
        </is>
      </c>
      <c r="H346" s="389" t="inlineStr">
        <is>
          <t>$405</t>
        </is>
      </c>
      <c r="I346" s="516" t="inlineStr">
        <is>
          <t>$900</t>
        </is>
      </c>
      <c r="J346" s="389" t="inlineStr">
        <is>
          <t>Transfer Only</t>
        </is>
      </c>
    </row>
    <row r="347" ht="18" customHeight="1" s="229">
      <c r="A347" s="391" t="inlineStr">
        <is>
          <t>Ballet V-Neck Wool Tee</t>
        </is>
      </c>
      <c r="B347" s="392" t="inlineStr">
        <is>
          <t>Active</t>
        </is>
      </c>
      <c r="C347" s="393" t="inlineStr">
        <is>
          <t>4 — LOW (natural sellthrough)</t>
        </is>
      </c>
      <c r="D347" s="397" t="n">
        <v>6</v>
      </c>
      <c r="E347" s="397" t="n">
        <v>49</v>
      </c>
      <c r="F347" s="397" t="n">
        <v>55</v>
      </c>
      <c r="G347" s="397" t="inlineStr">
        <is>
          <t>-</t>
        </is>
      </c>
      <c r="H347" s="397" t="inlineStr">
        <is>
          <t>$717</t>
        </is>
      </c>
      <c r="I347" s="517" t="inlineStr">
        <is>
          <t>$324</t>
        </is>
      </c>
      <c r="J347" s="397" t="inlineStr">
        <is>
          <t>Transfer Only</t>
        </is>
      </c>
    </row>
    <row r="348" ht="18" customHeight="1" s="229">
      <c r="A348" s="383" t="inlineStr">
        <is>
          <t>NEIWAI ACTIVE X NYCB Cargo Skirt</t>
        </is>
      </c>
      <c r="B348" s="384" t="inlineStr">
        <is>
          <t>Active</t>
        </is>
      </c>
      <c r="C348" s="385" t="inlineStr">
        <is>
          <t>4 — LOW (natural sellthrough)</t>
        </is>
      </c>
      <c r="D348" s="389" t="n">
        <v>53</v>
      </c>
      <c r="E348" s="389" t="n">
        <v>0</v>
      </c>
      <c r="F348" s="389" t="n">
        <v>53</v>
      </c>
      <c r="G348" s="389" t="inlineStr">
        <is>
          <t>-</t>
        </is>
      </c>
      <c r="H348" s="389" t="inlineStr">
        <is>
          <t>$179</t>
        </is>
      </c>
      <c r="I348" s="516" t="inlineStr">
        <is>
          <t>$828</t>
        </is>
      </c>
      <c r="J348" s="389" t="inlineStr">
        <is>
          <t>Transfer Only</t>
        </is>
      </c>
    </row>
    <row r="349" ht="18" customHeight="1" s="229">
      <c r="A349" s="391" t="inlineStr">
        <is>
          <t>Mousse Biker Shorts</t>
        </is>
      </c>
      <c r="B349" s="392" t="inlineStr">
        <is>
          <t>Active</t>
        </is>
      </c>
      <c r="C349" s="393" t="inlineStr">
        <is>
          <t>3 — MEDIUM (selldown or markdown)</t>
        </is>
      </c>
      <c r="D349" s="397" t="n">
        <v>53</v>
      </c>
      <c r="E349" s="397" t="n">
        <v>0</v>
      </c>
      <c r="F349" s="397" t="n">
        <v>53</v>
      </c>
      <c r="G349" s="397" t="inlineStr">
        <is>
          <t>-</t>
        </is>
      </c>
      <c r="H349" s="397" t="inlineStr">
        <is>
          <t>$86</t>
        </is>
      </c>
      <c r="I349" s="517" t="inlineStr">
        <is>
          <t>$1,746</t>
        </is>
      </c>
      <c r="J349" s="397" t="inlineStr">
        <is>
          <t>Transfer Only</t>
        </is>
      </c>
    </row>
    <row r="350" ht="18" customHeight="1" s="229">
      <c r="A350" s="383" t="inlineStr">
        <is>
          <t>Medium Support M-Back Sports Bra</t>
        </is>
      </c>
      <c r="B350" s="384" t="inlineStr">
        <is>
          <t>Active</t>
        </is>
      </c>
      <c r="C350" s="385" t="inlineStr">
        <is>
          <t>4 — LOW (natural sellthrough)</t>
        </is>
      </c>
      <c r="D350" s="389" t="n">
        <v>15</v>
      </c>
      <c r="E350" s="389" t="n">
        <v>37</v>
      </c>
      <c r="F350" s="389" t="n">
        <v>52</v>
      </c>
      <c r="G350" s="518" t="n">
        <v>2</v>
      </c>
      <c r="H350" s="389" t="inlineStr">
        <is>
          <t>$876</t>
        </is>
      </c>
      <c r="I350" s="516" t="inlineStr">
        <is>
          <t>$270</t>
        </is>
      </c>
      <c r="J350" s="389" t="inlineStr">
        <is>
          <t>Transfer (CN) + Flash Sale (US)</t>
        </is>
      </c>
    </row>
    <row r="351" ht="18" customHeight="1" s="229">
      <c r="A351" s="391" t="inlineStr">
        <is>
          <t>Knot Dance Leggings</t>
        </is>
      </c>
      <c r="B351" s="392" t="inlineStr">
        <is>
          <t>Active</t>
        </is>
      </c>
      <c r="C351" s="393" t="inlineStr">
        <is>
          <t>2 — HIGH (excess inventory vs demand)</t>
        </is>
      </c>
      <c r="D351" s="397" t="n">
        <v>51</v>
      </c>
      <c r="E351" s="397" t="n">
        <v>0</v>
      </c>
      <c r="F351" s="397" t="n">
        <v>51</v>
      </c>
      <c r="G351" s="397" t="inlineStr">
        <is>
          <t>-</t>
        </is>
      </c>
      <c r="H351" s="397" t="inlineStr">
        <is>
          <t>$611</t>
        </is>
      </c>
      <c r="I351" s="517" t="inlineStr">
        <is>
          <t>$2,070</t>
        </is>
      </c>
      <c r="J351" s="397" t="inlineStr">
        <is>
          <t>Transfer Only</t>
        </is>
      </c>
    </row>
    <row r="352" ht="18" customHeight="1" s="229">
      <c r="A352" s="383" t="inlineStr">
        <is>
          <t>Breeze Jacket</t>
        </is>
      </c>
      <c r="B352" s="384" t="inlineStr">
        <is>
          <t>Active</t>
        </is>
      </c>
      <c r="C352" s="385" t="inlineStr">
        <is>
          <t>4 — LOW (natural sellthrough)</t>
        </is>
      </c>
      <c r="D352" s="389" t="n">
        <v>24</v>
      </c>
      <c r="E352" s="389" t="n">
        <v>27</v>
      </c>
      <c r="F352" s="389" t="n">
        <v>51</v>
      </c>
      <c r="G352" s="389" t="inlineStr">
        <is>
          <t>-</t>
        </is>
      </c>
      <c r="H352" s="389" t="inlineStr">
        <is>
          <t>$313</t>
        </is>
      </c>
      <c r="I352" s="516" t="inlineStr">
        <is>
          <t>$270</t>
        </is>
      </c>
      <c r="J352" s="389" t="inlineStr">
        <is>
          <t>Transfer Only</t>
        </is>
      </c>
    </row>
    <row r="353" ht="18" customHeight="1" s="229">
      <c r="A353" s="391" t="inlineStr">
        <is>
          <t>Breeze High Waist Drawstring Shorts</t>
        </is>
      </c>
      <c r="B353" s="392" t="inlineStr">
        <is>
          <t>Active</t>
        </is>
      </c>
      <c r="C353" s="393" t="inlineStr">
        <is>
          <t>4 — LOW (natural sellthrough)</t>
        </is>
      </c>
      <c r="D353" s="397" t="n">
        <v>26</v>
      </c>
      <c r="E353" s="397" t="n">
        <v>21</v>
      </c>
      <c r="F353" s="397" t="n">
        <v>47</v>
      </c>
      <c r="G353" s="397" t="inlineStr">
        <is>
          <t>-</t>
        </is>
      </c>
      <c r="H353" s="397" t="inlineStr">
        <is>
          <t>$274</t>
        </is>
      </c>
      <c r="I353" s="517" t="inlineStr">
        <is>
          <t>$594</t>
        </is>
      </c>
      <c r="J353" s="397" t="inlineStr">
        <is>
          <t>Transfer Only</t>
        </is>
      </c>
    </row>
    <row r="354" ht="18" customHeight="1" s="229">
      <c r="A354" s="383" t="inlineStr">
        <is>
          <t>NEIWAI ACTIVE X NYCB Mousse High Waist Pants</t>
        </is>
      </c>
      <c r="B354" s="384" t="inlineStr">
        <is>
          <t>Active</t>
        </is>
      </c>
      <c r="C354" s="385" t="inlineStr">
        <is>
          <t>3 — MEDIUM (selldown or markdown)</t>
        </is>
      </c>
      <c r="D354" s="389" t="n">
        <v>46</v>
      </c>
      <c r="E354" s="389" t="n">
        <v>0</v>
      </c>
      <c r="F354" s="389" t="n">
        <v>46</v>
      </c>
      <c r="G354" s="518" t="n">
        <v>4</v>
      </c>
      <c r="H354" s="389" t="inlineStr">
        <is>
          <t>$832</t>
        </is>
      </c>
      <c r="I354" s="516" t="inlineStr">
        <is>
          <t>$1,224</t>
        </is>
      </c>
      <c r="J354" s="389" t="inlineStr">
        <is>
          <t>Transfer (CN) + Flash Sale (US)</t>
        </is>
      </c>
    </row>
    <row r="355" ht="18" customHeight="1" s="229">
      <c r="A355" s="391" t="inlineStr">
        <is>
          <t>Mousse Flare Leggings</t>
        </is>
      </c>
      <c r="B355" s="392" t="inlineStr">
        <is>
          <t>Active</t>
        </is>
      </c>
      <c r="C355" s="393" t="inlineStr">
        <is>
          <t>3 — MEDIUM (selldown or markdown)</t>
        </is>
      </c>
      <c r="D355" s="397" t="n">
        <v>46</v>
      </c>
      <c r="E355" s="397" t="n">
        <v>0</v>
      </c>
      <c r="F355" s="397" t="n">
        <v>46</v>
      </c>
      <c r="G355" s="397" t="inlineStr">
        <is>
          <t>-</t>
        </is>
      </c>
      <c r="H355" s="397" t="inlineStr">
        <is>
          <t>$1,513</t>
        </is>
      </c>
      <c r="I355" s="517" t="inlineStr">
        <is>
          <t>$1,944</t>
        </is>
      </c>
      <c r="J355" s="397" t="inlineStr">
        <is>
          <t>Transfer Only</t>
        </is>
      </c>
    </row>
    <row r="356" ht="18" customHeight="1" s="229">
      <c r="A356" s="383" t="inlineStr">
        <is>
          <t>Modal Pleated Dance Tank Top</t>
        </is>
      </c>
      <c r="B356" s="384" t="inlineStr">
        <is>
          <t>Active</t>
        </is>
      </c>
      <c r="C356" s="385" t="inlineStr">
        <is>
          <t>3 — MEDIUM (selldown or markdown)</t>
        </is>
      </c>
      <c r="D356" s="389" t="n">
        <v>45</v>
      </c>
      <c r="E356" s="389" t="n">
        <v>0</v>
      </c>
      <c r="F356" s="389" t="n">
        <v>45</v>
      </c>
      <c r="G356" s="389" t="inlineStr">
        <is>
          <t>-</t>
        </is>
      </c>
      <c r="H356" s="389" t="inlineStr">
        <is>
          <t>$518</t>
        </is>
      </c>
      <c r="I356" s="516" t="inlineStr">
        <is>
          <t>$1,728</t>
        </is>
      </c>
      <c r="J356" s="389" t="inlineStr">
        <is>
          <t>Transfer Only</t>
        </is>
      </c>
    </row>
    <row r="357" ht="18" customHeight="1" s="229">
      <c r="A357" s="391" t="inlineStr">
        <is>
          <t>Urban Sport Active Running Legging</t>
        </is>
      </c>
      <c r="B357" s="392" t="inlineStr">
        <is>
          <t>Active</t>
        </is>
      </c>
      <c r="C357" s="393" t="inlineStr">
        <is>
          <t>4 — LOW (natural sellthrough)</t>
        </is>
      </c>
      <c r="D357" s="397" t="n">
        <v>41</v>
      </c>
      <c r="E357" s="397" t="n">
        <v>0</v>
      </c>
      <c r="F357" s="397" t="n">
        <v>41</v>
      </c>
      <c r="G357" s="397" t="inlineStr">
        <is>
          <t>-</t>
        </is>
      </c>
      <c r="H357" s="397" t="inlineStr">
        <is>
          <t>$84</t>
        </is>
      </c>
      <c r="I357" s="517" t="inlineStr">
        <is>
          <t>$396</t>
        </is>
      </c>
      <c r="J357" s="397" t="inlineStr">
        <is>
          <t>Transfer Only</t>
        </is>
      </c>
    </row>
    <row r="358" ht="18" customHeight="1" s="229">
      <c r="A358" s="383" t="inlineStr">
        <is>
          <t>Ballet Drawstring Leggings</t>
        </is>
      </c>
      <c r="B358" s="384" t="inlineStr">
        <is>
          <t>Active</t>
        </is>
      </c>
      <c r="C358" s="385" t="inlineStr">
        <is>
          <t>4 — LOW (natural sellthrough)</t>
        </is>
      </c>
      <c r="D358" s="389" t="n">
        <v>19</v>
      </c>
      <c r="E358" s="389" t="n">
        <v>20</v>
      </c>
      <c r="F358" s="389" t="n">
        <v>39</v>
      </c>
      <c r="G358" s="389" t="inlineStr">
        <is>
          <t>-</t>
        </is>
      </c>
      <c r="H358" s="389" t="inlineStr">
        <is>
          <t>$90</t>
        </is>
      </c>
      <c r="I358" s="516" t="inlineStr">
        <is>
          <t>$216</t>
        </is>
      </c>
      <c r="J358" s="389" t="inlineStr">
        <is>
          <t>Transfer Only</t>
        </is>
      </c>
    </row>
    <row r="359" ht="18" customHeight="1" s="229">
      <c r="A359" s="391" t="inlineStr">
        <is>
          <t>Active Wool Half Zip Top</t>
        </is>
      </c>
      <c r="B359" s="392" t="inlineStr">
        <is>
          <t>Active</t>
        </is>
      </c>
      <c r="C359" s="393" t="inlineStr">
        <is>
          <t>3 — MEDIUM (selldown or markdown)</t>
        </is>
      </c>
      <c r="D359" s="397" t="n">
        <v>38</v>
      </c>
      <c r="E359" s="397" t="n">
        <v>0</v>
      </c>
      <c r="F359" s="397" t="n">
        <v>38</v>
      </c>
      <c r="G359" s="397" t="inlineStr">
        <is>
          <t>-</t>
        </is>
      </c>
      <c r="H359" s="397" t="inlineStr">
        <is>
          <t>$670</t>
        </is>
      </c>
      <c r="I359" s="517" t="inlineStr">
        <is>
          <t>$1,008</t>
        </is>
      </c>
      <c r="J359" s="397" t="inlineStr">
        <is>
          <t>Transfer Only</t>
        </is>
      </c>
    </row>
    <row r="360" ht="18" customHeight="1" s="229">
      <c r="A360" s="383" t="inlineStr">
        <is>
          <t>NEIWAI ACTIVE X NYCB Woven Training Skort</t>
        </is>
      </c>
      <c r="B360" s="384" t="inlineStr">
        <is>
          <t>Active</t>
        </is>
      </c>
      <c r="C360" s="385" t="inlineStr">
        <is>
          <t>4 — LOW (natural sellthrough)</t>
        </is>
      </c>
      <c r="D360" s="389" t="n">
        <v>35</v>
      </c>
      <c r="E360" s="389" t="n">
        <v>0</v>
      </c>
      <c r="F360" s="389" t="n">
        <v>35</v>
      </c>
      <c r="G360" s="389" t="inlineStr">
        <is>
          <t>-</t>
        </is>
      </c>
      <c r="H360" s="389" t="inlineStr">
        <is>
          <t>$66</t>
        </is>
      </c>
      <c r="I360" s="516" t="inlineStr">
        <is>
          <t>$558</t>
        </is>
      </c>
      <c r="J360" s="389" t="inlineStr">
        <is>
          <t>Transfer Only</t>
        </is>
      </c>
    </row>
    <row r="361" ht="18" customHeight="1" s="229">
      <c r="A361" s="391" t="inlineStr">
        <is>
          <t>NEIWAI ACTIVE X NYCB Mid Waist Shorts</t>
        </is>
      </c>
      <c r="B361" s="392" t="inlineStr">
        <is>
          <t>Active</t>
        </is>
      </c>
      <c r="C361" s="393" t="inlineStr">
        <is>
          <t>4 — LOW (natural sellthrough)</t>
        </is>
      </c>
      <c r="D361" s="397" t="n">
        <v>34</v>
      </c>
      <c r="E361" s="397" t="n">
        <v>0</v>
      </c>
      <c r="F361" s="397" t="n">
        <v>34</v>
      </c>
      <c r="G361" s="519" t="n">
        <v>5</v>
      </c>
      <c r="H361" s="397" t="inlineStr">
        <is>
          <t>$62</t>
        </is>
      </c>
      <c r="I361" s="517" t="inlineStr">
        <is>
          <t>$594</t>
        </is>
      </c>
      <c r="J361" s="397" t="inlineStr">
        <is>
          <t>Transfer (CN) + Flash Sale (US)</t>
        </is>
      </c>
    </row>
    <row r="362" ht="18" customHeight="1" s="229">
      <c r="A362" s="383" t="inlineStr">
        <is>
          <t>Fleece Pocket Leggings</t>
        </is>
      </c>
      <c r="B362" s="384" t="inlineStr">
        <is>
          <t>Active</t>
        </is>
      </c>
      <c r="C362" s="385" t="inlineStr">
        <is>
          <t>3 — MEDIUM (selldown or markdown)</t>
        </is>
      </c>
      <c r="D362" s="389" t="n">
        <v>34</v>
      </c>
      <c r="E362" s="389" t="n">
        <v>0</v>
      </c>
      <c r="F362" s="389" t="n">
        <v>34</v>
      </c>
      <c r="G362" s="518" t="n">
        <v>2</v>
      </c>
      <c r="H362" s="389" t="inlineStr">
        <is>
          <t>$272</t>
        </is>
      </c>
      <c r="I362" s="516" t="inlineStr">
        <is>
          <t>$1,080</t>
        </is>
      </c>
      <c r="J362" s="389" t="inlineStr">
        <is>
          <t>Transfer (CN) + Flash Sale (US)</t>
        </is>
      </c>
    </row>
    <row r="363" ht="18" customHeight="1" s="229">
      <c r="A363" s="391" t="inlineStr">
        <is>
          <t>Down Vest</t>
        </is>
      </c>
      <c r="B363" s="392" t="inlineStr">
        <is>
          <t>Active</t>
        </is>
      </c>
      <c r="C363" s="393" t="inlineStr">
        <is>
          <t>3 — MEDIUM (selldown or markdown)</t>
        </is>
      </c>
      <c r="D363" s="397" t="n">
        <v>20</v>
      </c>
      <c r="E363" s="397" t="n">
        <v>14</v>
      </c>
      <c r="F363" s="397" t="n">
        <v>34</v>
      </c>
      <c r="G363" s="519" t="n">
        <v>7</v>
      </c>
      <c r="H363" s="397" t="inlineStr">
        <is>
          <t>$7,650</t>
        </is>
      </c>
      <c r="I363" s="517" t="inlineStr">
        <is>
          <t>$1,350</t>
        </is>
      </c>
      <c r="J363" s="397" t="inlineStr">
        <is>
          <t>Transfer (CN) + Flash Sale (US)</t>
        </is>
      </c>
    </row>
    <row r="364" ht="18" customHeight="1" s="229">
      <c r="A364" s="383" t="inlineStr">
        <is>
          <t>NEIWAI ACTIVE X NYCB Wool Fleece Coat</t>
        </is>
      </c>
      <c r="B364" s="384" t="inlineStr">
        <is>
          <t>Active</t>
        </is>
      </c>
      <c r="C364" s="385" t="inlineStr">
        <is>
          <t>4 — LOW (natural sellthrough)</t>
        </is>
      </c>
      <c r="D364" s="389" t="n">
        <v>33</v>
      </c>
      <c r="E364" s="389" t="n">
        <v>0</v>
      </c>
      <c r="F364" s="389" t="n">
        <v>33</v>
      </c>
      <c r="G364" s="389" t="inlineStr">
        <is>
          <t>-</t>
        </is>
      </c>
      <c r="H364" s="389" t="inlineStr">
        <is>
          <t>$371</t>
        </is>
      </c>
      <c r="I364" s="516" t="inlineStr">
        <is>
          <t>$612</t>
        </is>
      </c>
      <c r="J364" s="389" t="inlineStr">
        <is>
          <t>Transfer Only</t>
        </is>
      </c>
    </row>
    <row r="365" ht="18" customHeight="1" s="229">
      <c r="A365" s="391" t="inlineStr">
        <is>
          <t>Mousse Fixed Cup Light Support Sports Bra</t>
        </is>
      </c>
      <c r="B365" s="392" t="inlineStr">
        <is>
          <t>Active</t>
        </is>
      </c>
      <c r="C365" s="393" t="inlineStr">
        <is>
          <t>3 — MEDIUM (selldown or markdown)</t>
        </is>
      </c>
      <c r="D365" s="397" t="n">
        <v>31</v>
      </c>
      <c r="E365" s="397" t="n">
        <v>0</v>
      </c>
      <c r="F365" s="397" t="n">
        <v>31</v>
      </c>
      <c r="G365" s="397" t="inlineStr">
        <is>
          <t>-</t>
        </is>
      </c>
      <c r="H365" s="397" t="inlineStr">
        <is>
          <t>$929</t>
        </is>
      </c>
      <c r="I365" s="517" t="inlineStr">
        <is>
          <t>$1,440</t>
        </is>
      </c>
      <c r="J365" s="397" t="inlineStr">
        <is>
          <t>Transfer Only</t>
        </is>
      </c>
    </row>
    <row r="366" ht="18" customHeight="1" s="229">
      <c r="A366" s="383" t="inlineStr">
        <is>
          <t>Ballet Boucl√© Yarn Leg Warmers</t>
        </is>
      </c>
      <c r="B366" s="384" t="inlineStr">
        <is>
          <t>Active</t>
        </is>
      </c>
      <c r="C366" s="385" t="inlineStr">
        <is>
          <t>3 — MEDIUM (selldown or markdown)</t>
        </is>
      </c>
      <c r="D366" s="389" t="n">
        <v>30</v>
      </c>
      <c r="E366" s="389" t="n">
        <v>0</v>
      </c>
      <c r="F366" s="389" t="n">
        <v>30</v>
      </c>
      <c r="G366" s="389" t="inlineStr">
        <is>
          <t>-</t>
        </is>
      </c>
      <c r="H366" s="389" t="inlineStr">
        <is>
          <t>$2,135</t>
        </is>
      </c>
      <c r="I366" s="516" t="inlineStr">
        <is>
          <t>$1,620</t>
        </is>
      </c>
      <c r="J366" s="389" t="inlineStr">
        <is>
          <t>Transfer Only</t>
        </is>
      </c>
    </row>
    <row r="367" ht="18" customHeight="1" s="229">
      <c r="A367" s="391" t="inlineStr">
        <is>
          <t>NEIWAI ACTIVE X NYCB High Waist Shorts</t>
        </is>
      </c>
      <c r="B367" s="392" t="inlineStr">
        <is>
          <t>Active</t>
        </is>
      </c>
      <c r="C367" s="393" t="inlineStr">
        <is>
          <t>3 — MEDIUM (selldown or markdown)</t>
        </is>
      </c>
      <c r="D367" s="397" t="n">
        <v>28</v>
      </c>
      <c r="E367" s="397" t="n">
        <v>0</v>
      </c>
      <c r="F367" s="397" t="n">
        <v>28</v>
      </c>
      <c r="G367" s="397" t="inlineStr">
        <is>
          <t>-</t>
        </is>
      </c>
      <c r="H367" s="397" t="inlineStr">
        <is>
          <t>$188</t>
        </is>
      </c>
      <c r="I367" s="517" t="inlineStr">
        <is>
          <t>$1,062</t>
        </is>
      </c>
      <c r="J367" s="397" t="inlineStr">
        <is>
          <t>Transfer Only</t>
        </is>
      </c>
    </row>
    <row r="368" ht="18" customHeight="1" s="229">
      <c r="A368" s="383" t="inlineStr">
        <is>
          <t>Strappy One-Piece Swimsuit</t>
        </is>
      </c>
      <c r="B368" s="384" t="inlineStr">
        <is>
          <t>Active</t>
        </is>
      </c>
      <c r="C368" s="385" t="inlineStr">
        <is>
          <t>3 — MEDIUM (selldown or markdown)</t>
        </is>
      </c>
      <c r="D368" s="389" t="n">
        <v>26</v>
      </c>
      <c r="E368" s="389" t="n">
        <v>0</v>
      </c>
      <c r="F368" s="389" t="n">
        <v>26</v>
      </c>
      <c r="G368" s="518" t="n">
        <v>5</v>
      </c>
      <c r="H368" s="389" t="inlineStr">
        <is>
          <t>$434</t>
        </is>
      </c>
      <c r="I368" s="516" t="inlineStr">
        <is>
          <t>$990</t>
        </is>
      </c>
      <c r="J368" s="389" t="inlineStr">
        <is>
          <t>Transfer (CN) + Flash Sale (US)</t>
        </is>
      </c>
    </row>
    <row r="369" ht="18" customHeight="1" s="229">
      <c r="A369" s="391" t="inlineStr">
        <is>
          <t>Urban Sport Casual Pants</t>
        </is>
      </c>
      <c r="B369" s="392" t="inlineStr">
        <is>
          <t>Active</t>
        </is>
      </c>
      <c r="C369" s="393" t="inlineStr">
        <is>
          <t>3 — MEDIUM (selldown or markdown)</t>
        </is>
      </c>
      <c r="D369" s="397" t="n">
        <v>24</v>
      </c>
      <c r="E369" s="397" t="n">
        <v>0</v>
      </c>
      <c r="F369" s="397" t="n">
        <v>24</v>
      </c>
      <c r="G369" s="397" t="inlineStr">
        <is>
          <t>-</t>
        </is>
      </c>
      <c r="H369" s="397" t="inlineStr">
        <is>
          <t>$593</t>
        </is>
      </c>
      <c r="I369" s="517" t="inlineStr">
        <is>
          <t>$1,008</t>
        </is>
      </c>
      <c r="J369" s="397" t="inlineStr">
        <is>
          <t>Transfer Only</t>
        </is>
      </c>
    </row>
    <row r="370" ht="18" customHeight="1" s="229">
      <c r="A370" s="383" t="inlineStr">
        <is>
          <t>Soft Touch Dance Tee</t>
        </is>
      </c>
      <c r="B370" s="384" t="inlineStr">
        <is>
          <t>Active</t>
        </is>
      </c>
      <c r="C370" s="385" t="inlineStr">
        <is>
          <t>3 — MEDIUM (selldown or markdown)</t>
        </is>
      </c>
      <c r="D370" s="389" t="n">
        <v>24</v>
      </c>
      <c r="E370" s="389" t="n">
        <v>0</v>
      </c>
      <c r="F370" s="389" t="n">
        <v>24</v>
      </c>
      <c r="G370" s="389" t="inlineStr">
        <is>
          <t>-</t>
        </is>
      </c>
      <c r="H370" s="389" t="inlineStr">
        <is>
          <t>$481</t>
        </is>
      </c>
      <c r="I370" s="516" t="inlineStr">
        <is>
          <t>$1,062</t>
        </is>
      </c>
      <c r="J370" s="389" t="inlineStr">
        <is>
          <t>Transfer Only</t>
        </is>
      </c>
    </row>
    <row r="371" ht="18" customHeight="1" s="229">
      <c r="A371" s="391" t="inlineStr">
        <is>
          <t>Ribbed Light Support Fixed Cup Sports Bra</t>
        </is>
      </c>
      <c r="B371" s="392" t="inlineStr">
        <is>
          <t>Active</t>
        </is>
      </c>
      <c r="C371" s="393" t="inlineStr">
        <is>
          <t>4 — LOW (natural sellthrough)</t>
        </is>
      </c>
      <c r="D371" s="397" t="n">
        <v>23</v>
      </c>
      <c r="E371" s="397" t="n">
        <v>0</v>
      </c>
      <c r="F371" s="397" t="n">
        <v>23</v>
      </c>
      <c r="G371" s="397" t="inlineStr">
        <is>
          <t>-</t>
        </is>
      </c>
      <c r="H371" s="397" t="inlineStr">
        <is>
          <t>$1,281</t>
        </is>
      </c>
      <c r="I371" s="517" t="inlineStr">
        <is>
          <t>$774</t>
        </is>
      </c>
      <c r="J371" s="397" t="inlineStr">
        <is>
          <t>Transfer Only</t>
        </is>
      </c>
    </row>
    <row r="372" ht="18" customHeight="1" s="229">
      <c r="A372" s="383" t="inlineStr">
        <is>
          <t>Long Bikini Top</t>
        </is>
      </c>
      <c r="B372" s="384" t="inlineStr">
        <is>
          <t>Active</t>
        </is>
      </c>
      <c r="C372" s="385" t="inlineStr">
        <is>
          <t>4 — LOW (natural sellthrough)</t>
        </is>
      </c>
      <c r="D372" s="389" t="n">
        <v>0</v>
      </c>
      <c r="E372" s="389" t="n">
        <v>21</v>
      </c>
      <c r="F372" s="389" t="n">
        <v>21</v>
      </c>
      <c r="G372" s="518" t="n">
        <v>21</v>
      </c>
      <c r="H372" s="389" t="inlineStr">
        <is>
          <t>$159</t>
        </is>
      </c>
      <c r="I372" s="516" t="inlineStr">
        <is>
          <t>$504</t>
        </is>
      </c>
      <c r="J372" s="389" t="inlineStr">
        <is>
          <t>Transfer (CN) + Flash Sale (US)</t>
        </is>
      </c>
    </row>
    <row r="373" ht="18" customHeight="1" s="229">
      <c r="A373" s="391" t="inlineStr">
        <is>
          <t>Ribbed Mousse Padded Long Sleeve T-Shirt</t>
        </is>
      </c>
      <c r="B373" s="392" t="inlineStr">
        <is>
          <t>Active</t>
        </is>
      </c>
      <c r="C373" s="393" t="inlineStr">
        <is>
          <t>4 — LOW (natural sellthrough)</t>
        </is>
      </c>
      <c r="D373" s="397" t="n">
        <v>20</v>
      </c>
      <c r="E373" s="397" t="n">
        <v>0</v>
      </c>
      <c r="F373" s="397" t="n">
        <v>20</v>
      </c>
      <c r="G373" s="397" t="inlineStr">
        <is>
          <t>-</t>
        </is>
      </c>
      <c r="H373" s="397" t="inlineStr">
        <is>
          <t>$1,181</t>
        </is>
      </c>
      <c r="I373" s="517" t="inlineStr">
        <is>
          <t>$684</t>
        </is>
      </c>
      <c r="J373" s="397" t="inlineStr">
        <is>
          <t>Transfer Only</t>
        </is>
      </c>
    </row>
    <row r="374" ht="18" customHeight="1" s="229">
      <c r="A374" s="383" t="inlineStr">
        <is>
          <t>Light Support V-Back Sports Bra</t>
        </is>
      </c>
      <c r="B374" s="384" t="inlineStr">
        <is>
          <t>Active</t>
        </is>
      </c>
      <c r="C374" s="385" t="inlineStr">
        <is>
          <t>4 — LOW (natural sellthrough)</t>
        </is>
      </c>
      <c r="D374" s="389" t="n">
        <v>8</v>
      </c>
      <c r="E374" s="389" t="n">
        <v>10</v>
      </c>
      <c r="F374" s="389" t="n">
        <v>18</v>
      </c>
      <c r="G374" s="389" t="inlineStr">
        <is>
          <t>-</t>
        </is>
      </c>
      <c r="H374" s="389" t="inlineStr">
        <is>
          <t>$646</t>
        </is>
      </c>
      <c r="I374" s="516" t="inlineStr">
        <is>
          <t>$72</t>
        </is>
      </c>
      <c r="J374" s="389" t="inlineStr">
        <is>
          <t>Transfer Only</t>
        </is>
      </c>
    </row>
    <row r="375" ht="18" customHeight="1" s="229">
      <c r="A375" s="391" t="inlineStr">
        <is>
          <t>NEIWAI ACTIVE X Andrea Jiapei Li Cutout Halter Sports Top</t>
        </is>
      </c>
      <c r="B375" s="392" t="inlineStr">
        <is>
          <t>Active</t>
        </is>
      </c>
      <c r="C375" s="393" t="inlineStr">
        <is>
          <t>4 — LOW (natural sellthrough)</t>
        </is>
      </c>
      <c r="D375" s="397" t="n">
        <v>16</v>
      </c>
      <c r="E375" s="397" t="n">
        <v>0</v>
      </c>
      <c r="F375" s="397" t="n">
        <v>16</v>
      </c>
      <c r="G375" s="397" t="inlineStr">
        <is>
          <t>-</t>
        </is>
      </c>
      <c r="H375" s="397" t="inlineStr">
        <is>
          <t>$334</t>
        </is>
      </c>
      <c r="I375" s="517" t="inlineStr">
        <is>
          <t>$702</t>
        </is>
      </c>
      <c r="J375" s="397" t="inlineStr">
        <is>
          <t>Transfer Only</t>
        </is>
      </c>
    </row>
    <row r="376" ht="18" customHeight="1" s="229">
      <c r="A376" s="383" t="inlineStr">
        <is>
          <t>NEIWAI ACTIVE X NYCB Mousse Fixed Cup Light Support Sports Bra</t>
        </is>
      </c>
      <c r="B376" s="384" t="inlineStr">
        <is>
          <t>Active</t>
        </is>
      </c>
      <c r="C376" s="385" t="inlineStr">
        <is>
          <t>4 — LOW (natural sellthrough)</t>
        </is>
      </c>
      <c r="D376" s="389" t="n">
        <v>7</v>
      </c>
      <c r="E376" s="389" t="n">
        <v>7</v>
      </c>
      <c r="F376" s="389" t="n">
        <v>14</v>
      </c>
      <c r="G376" s="518" t="n">
        <v>16</v>
      </c>
      <c r="H376" s="389" t="inlineStr">
        <is>
          <t>$187</t>
        </is>
      </c>
      <c r="I376" s="516" t="inlineStr">
        <is>
          <t>$234</t>
        </is>
      </c>
      <c r="J376" s="389" t="inlineStr">
        <is>
          <t>Transfer (CN) + Flash Sale (US)</t>
        </is>
      </c>
    </row>
    <row r="377" ht="18" customHeight="1" s="229">
      <c r="A377" s="391" t="inlineStr">
        <is>
          <t>Urban Sport Casual Top</t>
        </is>
      </c>
      <c r="B377" s="392" t="inlineStr">
        <is>
          <t>Active</t>
        </is>
      </c>
      <c r="C377" s="393" t="inlineStr">
        <is>
          <t>4 — LOW (natural sellthrough)</t>
        </is>
      </c>
      <c r="D377" s="397" t="n">
        <v>14</v>
      </c>
      <c r="E377" s="397" t="n">
        <v>0</v>
      </c>
      <c r="F377" s="397" t="n">
        <v>14</v>
      </c>
      <c r="G377" s="397" t="inlineStr">
        <is>
          <t>-</t>
        </is>
      </c>
      <c r="H377" s="397" t="inlineStr">
        <is>
          <t>$530</t>
        </is>
      </c>
      <c r="I377" s="517" t="inlineStr">
        <is>
          <t>$756</t>
        </is>
      </c>
      <c r="J377" s="397" t="inlineStr">
        <is>
          <t>Transfer Only</t>
        </is>
      </c>
    </row>
    <row r="378" ht="18" customHeight="1" s="229">
      <c r="A378" s="383" t="inlineStr">
        <is>
          <t>NEIWAI ACTIVE X NYCB Foldover Flare Leggings</t>
        </is>
      </c>
      <c r="B378" s="384" t="inlineStr">
        <is>
          <t>Active</t>
        </is>
      </c>
      <c r="C378" s="385" t="inlineStr">
        <is>
          <t>4 — LOW (natural sellthrough)</t>
        </is>
      </c>
      <c r="D378" s="389" t="n">
        <v>9</v>
      </c>
      <c r="E378" s="389" t="n">
        <v>0</v>
      </c>
      <c r="F378" s="389" t="n">
        <v>9</v>
      </c>
      <c r="G378" s="518" t="n">
        <v>2</v>
      </c>
      <c r="H378" s="389" t="inlineStr">
        <is>
          <t>$354</t>
        </is>
      </c>
      <c r="I378" s="516" t="inlineStr">
        <is>
          <t>$486</t>
        </is>
      </c>
      <c r="J378" s="389" t="inlineStr">
        <is>
          <t>Transfer (CN) + Flash Sale (US)</t>
        </is>
      </c>
    </row>
    <row r="379" ht="18" customHeight="1" s="229">
      <c r="A379" s="391" t="inlineStr">
        <is>
          <t>NEIWAI ACTIVE X NYCB Ribbed Zip Cardigan</t>
        </is>
      </c>
      <c r="B379" s="392" t="inlineStr">
        <is>
          <t>Active</t>
        </is>
      </c>
      <c r="C379" s="393" t="inlineStr">
        <is>
          <t>4 — LOW (natural sellthrough)</t>
        </is>
      </c>
      <c r="D379" s="397" t="n">
        <v>9</v>
      </c>
      <c r="E379" s="397" t="n">
        <v>0</v>
      </c>
      <c r="F379" s="397" t="n">
        <v>9</v>
      </c>
      <c r="G379" s="519" t="n">
        <v>1</v>
      </c>
      <c r="H379" s="397" t="inlineStr">
        <is>
          <t>$593</t>
        </is>
      </c>
      <c r="I379" s="517" t="inlineStr">
        <is>
          <t>$360</t>
        </is>
      </c>
      <c r="J379" s="397" t="inlineStr">
        <is>
          <t>Transfer (CN) + Flash Sale (US)</t>
        </is>
      </c>
    </row>
    <row r="380" ht="18" customHeight="1" s="229">
      <c r="A380" s="383" t="inlineStr">
        <is>
          <t>Retro Bikini Top</t>
        </is>
      </c>
      <c r="B380" s="384" t="inlineStr">
        <is>
          <t>Active</t>
        </is>
      </c>
      <c r="C380" s="385" t="inlineStr">
        <is>
          <t>3 — MEDIUM (selldown or markdown)</t>
        </is>
      </c>
      <c r="D380" s="389" t="n">
        <v>7</v>
      </c>
      <c r="E380" s="389" t="n">
        <v>0</v>
      </c>
      <c r="F380" s="389" t="n">
        <v>7</v>
      </c>
      <c r="G380" s="518" t="n">
        <v>52</v>
      </c>
      <c r="H380" s="389" t="inlineStr">
        <is>
          <t>$157</t>
        </is>
      </c>
      <c r="I380" s="516" t="inlineStr">
        <is>
          <t>$1,512</t>
        </is>
      </c>
      <c r="J380" s="389" t="inlineStr">
        <is>
          <t>Transfer (CN) + Flash Sale (US)</t>
        </is>
      </c>
    </row>
    <row r="381" ht="18" customHeight="1" s="229">
      <c r="A381" s="391" t="inlineStr">
        <is>
          <t>Seamless Light Support Long Sports Bra</t>
        </is>
      </c>
      <c r="B381" s="392" t="inlineStr">
        <is>
          <t>Active</t>
        </is>
      </c>
      <c r="C381" s="393" t="inlineStr">
        <is>
          <t>3 — MEDIUM (selldown or markdown)</t>
        </is>
      </c>
      <c r="D381" s="397" t="n">
        <v>6</v>
      </c>
      <c r="E381" s="397" t="n">
        <v>0</v>
      </c>
      <c r="F381" s="397" t="n">
        <v>6</v>
      </c>
      <c r="G381" s="519" t="n">
        <v>11</v>
      </c>
      <c r="H381" s="397" t="inlineStr">
        <is>
          <t>$1,244</t>
        </is>
      </c>
      <c r="I381" s="517" t="inlineStr">
        <is>
          <t>$918</t>
        </is>
      </c>
      <c r="J381" s="397" t="inlineStr">
        <is>
          <t>Transfer (CN) + Flash Sale (US)</t>
        </is>
      </c>
    </row>
    <row r="382" ht="18" customHeight="1" s="229">
      <c r="A382" s="383" t="inlineStr">
        <is>
          <t>NEIWAI ACTIVE X NYCB Maxi Dress</t>
        </is>
      </c>
      <c r="B382" s="384" t="inlineStr">
        <is>
          <t>Active</t>
        </is>
      </c>
      <c r="C382" s="385" t="inlineStr">
        <is>
          <t>4 — LOW (natural sellthrough)</t>
        </is>
      </c>
      <c r="D382" s="389" t="n">
        <v>6</v>
      </c>
      <c r="E382" s="389" t="n">
        <v>0</v>
      </c>
      <c r="F382" s="389" t="n">
        <v>6</v>
      </c>
      <c r="G382" s="389" t="inlineStr">
        <is>
          <t>-</t>
        </is>
      </c>
      <c r="H382" s="389" t="inlineStr">
        <is>
          <t>$149</t>
        </is>
      </c>
      <c r="I382" s="516" t="inlineStr">
        <is>
          <t>$54</t>
        </is>
      </c>
      <c r="J382" s="389" t="inlineStr">
        <is>
          <t>Transfer Only</t>
        </is>
      </c>
    </row>
    <row r="383" ht="18" customHeight="1" s="229">
      <c r="A383" s="391" t="inlineStr">
        <is>
          <t>Ballet Pleated Bustier</t>
        </is>
      </c>
      <c r="B383" s="392" t="inlineStr">
        <is>
          <t>Active</t>
        </is>
      </c>
      <c r="C383" s="393" t="inlineStr">
        <is>
          <t>4 — LOW (natural sellthrough)</t>
        </is>
      </c>
      <c r="D383" s="397" t="n">
        <v>5</v>
      </c>
      <c r="E383" s="397" t="n">
        <v>0</v>
      </c>
      <c r="F383" s="397" t="n">
        <v>5</v>
      </c>
      <c r="G383" s="519" t="n">
        <v>2</v>
      </c>
      <c r="H383" s="397" t="inlineStr">
        <is>
          <t>$574</t>
        </is>
      </c>
      <c r="I383" s="517" t="inlineStr">
        <is>
          <t>$378</t>
        </is>
      </c>
      <c r="J383" s="397" t="inlineStr">
        <is>
          <t>Transfer (CN) + Flash Sale (US)</t>
        </is>
      </c>
    </row>
    <row r="384" ht="18" customHeight="1" s="229">
      <c r="A384" s="383" t="inlineStr">
        <is>
          <t>NEIWAI ACTIVE X NYCB Asymmetric Long Sleeve Top</t>
        </is>
      </c>
      <c r="B384" s="384" t="inlineStr">
        <is>
          <t>Active</t>
        </is>
      </c>
      <c r="C384" s="385" t="inlineStr">
        <is>
          <t>4 — LOW (natural sellthrough)</t>
        </is>
      </c>
      <c r="D384" s="389" t="n">
        <v>5</v>
      </c>
      <c r="E384" s="389" t="n">
        <v>0</v>
      </c>
      <c r="F384" s="389" t="n">
        <v>5</v>
      </c>
      <c r="G384" s="389" t="inlineStr">
        <is>
          <t>-</t>
        </is>
      </c>
      <c r="H384" s="389" t="inlineStr">
        <is>
          <t>$445</t>
        </is>
      </c>
      <c r="I384" s="516" t="inlineStr">
        <is>
          <t>$270</t>
        </is>
      </c>
      <c r="J384" s="389" t="inlineStr">
        <is>
          <t>Transfer Only</t>
        </is>
      </c>
    </row>
    <row r="385" ht="18" customHeight="1" s="229">
      <c r="A385" s="461" t="inlineStr">
        <is>
          <t>SAMPLE  —  1 products  |  200 total CN units  (Yuntu: 26  |  菜鸟仓: 174)</t>
        </is>
      </c>
      <c r="B385" s="462" t="n"/>
      <c r="C385" s="462" t="n"/>
      <c r="D385" s="462" t="n"/>
      <c r="E385" s="462" t="n"/>
      <c r="F385" s="462" t="n"/>
      <c r="G385" s="462" t="n"/>
      <c r="H385" s="462" t="n"/>
      <c r="I385" s="462" t="n"/>
      <c r="J385" s="462" t="n"/>
    </row>
    <row r="386" ht="18" customHeight="1" s="229">
      <c r="A386" s="463" t="inlineStr">
        <is>
          <t>Laid Back Ribbed Pajama Top</t>
        </is>
      </c>
      <c r="B386" s="464" t="inlineStr">
        <is>
          <t>Sample</t>
        </is>
      </c>
      <c r="C386" s="465" t="inlineStr">
        <is>
          <t>4 — LOW (natural sellthrough)</t>
        </is>
      </c>
      <c r="D386" s="826" t="n">
        <v>26</v>
      </c>
      <c r="E386" s="826" t="n">
        <v>174</v>
      </c>
      <c r="F386" s="826" t="n">
        <v>200</v>
      </c>
      <c r="G386" s="826" t="inlineStr">
        <is>
          <t>-</t>
        </is>
      </c>
      <c r="H386" s="826" t="inlineStr">
        <is>
          <t>$225</t>
        </is>
      </c>
      <c r="I386" s="520" t="inlineStr">
        <is>
          <t>$80</t>
        </is>
      </c>
      <c r="J386" s="826" t="inlineStr">
        <is>
          <t>Transfer Only</t>
        </is>
      </c>
    </row>
    <row r="387" ht="18" customHeight="1" s="229">
      <c r="A387" s="441" t="inlineStr">
        <is>
          <t>ACCESSORIES  —  6 products  |  1,133 total CN units  (Yuntu: 1,065  |  菜鸟仓: 68)</t>
        </is>
      </c>
      <c r="B387" s="442" t="n"/>
      <c r="C387" s="442" t="n"/>
      <c r="D387" s="442" t="n"/>
      <c r="E387" s="442" t="n"/>
      <c r="F387" s="442" t="n"/>
      <c r="G387" s="442" t="n"/>
      <c r="H387" s="442" t="n"/>
      <c r="I387" s="442" t="n"/>
      <c r="J387" s="442" t="n"/>
    </row>
    <row r="388" ht="18" customHeight="1" s="229">
      <c r="A388" s="443" t="inlineStr">
        <is>
          <t>Bra Pad replacement</t>
        </is>
      </c>
      <c r="B388" s="444" t="inlineStr">
        <is>
          <t>Accessories</t>
        </is>
      </c>
      <c r="C388" s="445" t="inlineStr">
        <is>
          <t>1 — URGENT (high inventory, no sales)</t>
        </is>
      </c>
      <c r="D388" s="449" t="n">
        <v>982</v>
      </c>
      <c r="E388" s="449" t="n">
        <v>0</v>
      </c>
      <c r="F388" s="449" t="n">
        <v>982</v>
      </c>
      <c r="G388" s="449" t="inlineStr">
        <is>
          <t>-</t>
        </is>
      </c>
      <c r="H388" s="449" t="inlineStr">
        <is>
          <t>$-3</t>
        </is>
      </c>
      <c r="I388" s="521" t="inlineStr">
        <is>
          <t>$19,016</t>
        </is>
      </c>
      <c r="J388" s="449" t="inlineStr">
        <is>
          <t>Transfer Only</t>
        </is>
      </c>
    </row>
    <row r="389" ht="18" customHeight="1" s="229">
      <c r="A389" s="452" t="inlineStr">
        <is>
          <t>Crossbody Sport Bag</t>
        </is>
      </c>
      <c r="B389" s="453" t="inlineStr">
        <is>
          <t>Accessories</t>
        </is>
      </c>
      <c r="C389" s="454" t="inlineStr">
        <is>
          <t>2 — HIGH (excess inventory vs demand)</t>
        </is>
      </c>
      <c r="D389" s="458" t="n">
        <v>65</v>
      </c>
      <c r="E389" s="458" t="n">
        <v>0</v>
      </c>
      <c r="F389" s="458" t="n">
        <v>65</v>
      </c>
      <c r="G389" s="458" t="inlineStr">
        <is>
          <t>-</t>
        </is>
      </c>
      <c r="H389" s="458" t="inlineStr">
        <is>
          <t>$378</t>
        </is>
      </c>
      <c r="I389" s="522" t="inlineStr">
        <is>
          <t>$1,288</t>
        </is>
      </c>
      <c r="J389" s="458" t="inlineStr">
        <is>
          <t>Transfer Only</t>
        </is>
      </c>
    </row>
    <row r="390" ht="18" customHeight="1" s="229">
      <c r="A390" s="443" t="inlineStr">
        <is>
          <t>Barre Socks</t>
        </is>
      </c>
      <c r="B390" s="444" t="inlineStr">
        <is>
          <t>Accessories</t>
        </is>
      </c>
      <c r="C390" s="445" t="inlineStr">
        <is>
          <t>4 — LOW (natural sellthrough)</t>
        </is>
      </c>
      <c r="D390" s="449" t="n">
        <v>0</v>
      </c>
      <c r="E390" s="449" t="n">
        <v>42</v>
      </c>
      <c r="F390" s="449" t="n">
        <v>42</v>
      </c>
      <c r="G390" s="449" t="inlineStr">
        <is>
          <t>-</t>
        </is>
      </c>
      <c r="H390" s="449" t="inlineStr">
        <is>
          <t>$310</t>
        </is>
      </c>
      <c r="I390" s="521" t="inlineStr">
        <is>
          <t>$0</t>
        </is>
      </c>
      <c r="J390" s="449" t="inlineStr">
        <is>
          <t>Transfer Only</t>
        </is>
      </c>
    </row>
    <row r="391" ht="18" customHeight="1" s="229">
      <c r="A391" s="452" t="inlineStr">
        <is>
          <t>Visor</t>
        </is>
      </c>
      <c r="B391" s="453" t="inlineStr">
        <is>
          <t>Accessories</t>
        </is>
      </c>
      <c r="C391" s="454" t="inlineStr">
        <is>
          <t>4 — LOW (natural sellthrough)</t>
        </is>
      </c>
      <c r="D391" s="458" t="n">
        <v>10</v>
      </c>
      <c r="E391" s="458" t="n">
        <v>18</v>
      </c>
      <c r="F391" s="458" t="n">
        <v>28</v>
      </c>
      <c r="G391" s="458" t="inlineStr">
        <is>
          <t>-</t>
        </is>
      </c>
      <c r="H391" s="458" t="inlineStr">
        <is>
          <t>$189</t>
        </is>
      </c>
      <c r="I391" s="522" t="inlineStr">
        <is>
          <t>$192</t>
        </is>
      </c>
      <c r="J391" s="458" t="inlineStr">
        <is>
          <t>Transfer Only</t>
        </is>
      </c>
    </row>
    <row r="392" ht="18" customHeight="1" s="229">
      <c r="A392" s="443" t="inlineStr">
        <is>
          <t>Mesh Hairband</t>
        </is>
      </c>
      <c r="B392" s="444" t="inlineStr">
        <is>
          <t>Accessories</t>
        </is>
      </c>
      <c r="C392" s="445" t="inlineStr">
        <is>
          <t>4 — LOW (natural sellthrough)</t>
        </is>
      </c>
      <c r="D392" s="449" t="n">
        <v>1</v>
      </c>
      <c r="E392" s="449" t="n">
        <v>8</v>
      </c>
      <c r="F392" s="449" t="n">
        <v>9</v>
      </c>
      <c r="G392" s="449" t="inlineStr">
        <is>
          <t>-</t>
        </is>
      </c>
      <c r="H392" s="449" t="inlineStr">
        <is>
          <t>$37</t>
        </is>
      </c>
      <c r="I392" s="521" t="inlineStr">
        <is>
          <t>$16</t>
        </is>
      </c>
      <c r="J392" s="449" t="inlineStr">
        <is>
          <t>Transfer Only</t>
        </is>
      </c>
    </row>
    <row r="393" ht="18" customHeight="1" s="229">
      <c r="A393" s="452" t="inlineStr">
        <is>
          <t>Mousse Headband</t>
        </is>
      </c>
      <c r="B393" s="453" t="inlineStr">
        <is>
          <t>Accessories</t>
        </is>
      </c>
      <c r="C393" s="454" t="inlineStr">
        <is>
          <t>4 — LOW (natural sellthrough)</t>
        </is>
      </c>
      <c r="D393" s="458" t="n">
        <v>7</v>
      </c>
      <c r="E393" s="458" t="n">
        <v>0</v>
      </c>
      <c r="F393" s="458" t="n">
        <v>7</v>
      </c>
      <c r="G393" s="458" t="inlineStr">
        <is>
          <t>-</t>
        </is>
      </c>
      <c r="H393" s="458" t="inlineStr">
        <is>
          <t>$91</t>
        </is>
      </c>
      <c r="I393" s="522" t="inlineStr">
        <is>
          <t>$136</t>
        </is>
      </c>
      <c r="J393" s="458" t="inlineStr">
        <is>
          <t>Transfer Only</t>
        </is>
      </c>
    </row>
    <row r="394" ht="18" customHeight="1" s="229">
      <c r="A394" s="443" t="inlineStr">
        <is>
          <t>TOTAL</t>
        </is>
      </c>
      <c r="B394" s="444" t="n"/>
      <c r="C394" s="445" t="n"/>
      <c r="D394" s="449" t="n">
        <v>25429</v>
      </c>
      <c r="E394" s="449" t="n">
        <v>79648</v>
      </c>
      <c r="F394" s="449" t="n">
        <v>105077</v>
      </c>
      <c r="G394" s="449" t="n"/>
      <c r="H394" s="449" t="n"/>
      <c r="I394" s="521" t="n"/>
      <c r="J394" s="449" t="n"/>
    </row>
  </sheetData>
  <pageMargins left="0.75" right="0.75" top="1" bottom="1" header="0.5" footer="0.5"/>
</worksheet>
</file>

<file path=xl/worksheets/sheet6.xml><?xml version="1.0" encoding="utf-8"?>
<worksheet xmlns="http://schemas.openxmlformats.org/spreadsheetml/2006/main">
  <sheetPr filterMode="1">
    <tabColor rgb="00922B21"/>
    <outlinePr summaryBelow="0" summaryRight="0"/>
    <pageSetUpPr/>
  </sheetPr>
  <dimension ref="A1:O446"/>
  <sheetViews>
    <sheetView showGridLines="0" workbookViewId="0">
      <pane ySplit="1" topLeftCell="A2" activePane="bottomLeft" state="frozen"/>
      <selection pane="bottomLeft" activeCell="A131" sqref="A131:XFD131"/>
    </sheetView>
  </sheetViews>
  <sheetFormatPr baseColWidth="10" defaultColWidth="14" defaultRowHeight="14"/>
  <cols>
    <col width="54" customWidth="1" style="229" min="1" max="1"/>
    <col width="17" customWidth="1" style="229" min="2" max="2"/>
    <col width="50" customWidth="1" style="229" min="3" max="3"/>
    <col width="38" customWidth="1" style="229" min="4" max="4"/>
    <col width="19" customWidth="1" style="229" min="5" max="5"/>
    <col width="17" customWidth="1" style="229" min="6" max="6"/>
    <col width="19" customWidth="1" style="229" min="7" max="10"/>
    <col width="15" customWidth="1" style="229" min="11" max="11"/>
    <col width="19" customWidth="1" style="229" min="12" max="12"/>
    <col width="10" customWidth="1" style="229" min="13" max="13"/>
    <col width="32" customWidth="1" style="229" min="14" max="23"/>
  </cols>
  <sheetData>
    <row r="1" ht="40" customHeight="1" s="229">
      <c r="A1" s="553" t="inlineStr">
        <is>
          <t>Product</t>
        </is>
      </c>
      <c r="B1" s="553" t="inlineStr">
        <is>
          <t>Product Type</t>
        </is>
      </c>
      <c r="C1" s="553" t="inlineStr">
        <is>
          <t>Note</t>
        </is>
      </c>
      <c r="D1" s="553" t="inlineStr">
        <is>
          <t>Liquidation Priority</t>
        </is>
      </c>
      <c r="E1" s="553" t="inlineStr">
        <is>
          <t>90-Day Net Sales</t>
        </is>
      </c>
      <c r="F1" s="553" t="inlineStr">
        <is>
          <t>Net Items Sold</t>
        </is>
      </c>
      <c r="G1" s="553" t="inlineStr">
        <is>
          <t>US Warehouse
(physical US stock)</t>
        </is>
      </c>
      <c r="H1" s="553" t="inlineStr">
        <is>
          <t>Yuntu
(CN warehouse, ships to US)</t>
        </is>
      </c>
      <c r="I1" s="553" t="inlineStr">
        <is>
          <t>菜鸟仓
(CN long-term storage)</t>
        </is>
      </c>
      <c r="J1" s="553" t="inlineStr">
        <is>
          <t>US Inventory
(US Warehouse + Yuntu)</t>
        </is>
      </c>
      <c r="K1" s="553" t="inlineStr">
        <is>
          <t>Total Inventory
(US Warehouse + Yuntu + 菜鸟仓)</t>
        </is>
      </c>
      <c r="L1" s="553" t="inlineStr">
        <is>
          <t>Est COGS/Unit</t>
        </is>
      </c>
      <c r="M1" s="553" t="inlineStr">
        <is>
          <t>Est. Inventory Value
(Total × COGS)</t>
        </is>
      </c>
      <c r="N1" s="553" t="inlineStr">
        <is>
          <t>SKUs</t>
        </is>
      </c>
      <c r="O1" s="553" t="inlineStr">
        <is>
          <t>Disposal Strategy</t>
        </is>
      </c>
    </row>
    <row r="2" hidden="1" ht="18" customHeight="1" s="229">
      <c r="A2" s="651" t="inlineStr">
        <is>
          <t>Barely Zero Spaghetti Strap Bra - TikTok</t>
        </is>
      </c>
      <c r="B2" s="651" t="inlineStr">
        <is>
          <t>Underwear</t>
        </is>
      </c>
      <c r="C2" s="651" t="inlineStr">
        <is>
          <t>TikTok duplicate — massive dead inventory</t>
        </is>
      </c>
      <c r="D2" s="652" t="inlineStr">
        <is>
          <t>3 — MEDIUM (selldown or markdown)</t>
        </is>
      </c>
      <c r="E2" s="653" t="n">
        <v>2223</v>
      </c>
      <c r="F2" s="654" t="n">
        <v>62</v>
      </c>
      <c r="G2" s="655" t="n">
        <v>0</v>
      </c>
      <c r="H2" s="655" t="n">
        <v>0</v>
      </c>
      <c r="I2" s="655" t="n">
        <v>0</v>
      </c>
      <c r="J2" s="656" t="n">
        <v>0</v>
      </c>
      <c r="K2" s="655" t="n">
        <v>0</v>
      </c>
      <c r="L2" s="653" t="n">
        <v>10</v>
      </c>
      <c r="M2" s="653">
        <f>K2*L2</f>
        <v/>
      </c>
      <c r="N2" s="654" t="n">
        <v>2</v>
      </c>
      <c r="O2" s="657" t="inlineStr">
        <is>
          <t>Data Pending — Verify</t>
        </is>
      </c>
    </row>
    <row r="3" hidden="1" ht="18" customHeight="1" s="229">
      <c r="A3" s="658" t="inlineStr">
        <is>
          <t>Barely Zero Anchored Cup Classic Bra - TikTok</t>
        </is>
      </c>
      <c r="B3" s="658" t="inlineStr">
        <is>
          <t>Underwear</t>
        </is>
      </c>
      <c r="C3" s="658" t="inlineStr">
        <is>
          <t>TikTok duplicate — massive dead inventory</t>
        </is>
      </c>
      <c r="D3" s="659" t="inlineStr">
        <is>
          <t>2 — HIGH (excess inventory vs demand)</t>
        </is>
      </c>
      <c r="E3" s="660" t="n">
        <v>941.28</v>
      </c>
      <c r="F3" s="661" t="n">
        <v>28</v>
      </c>
      <c r="G3" s="662" t="n">
        <v>0</v>
      </c>
      <c r="H3" s="662" t="n">
        <v>0</v>
      </c>
      <c r="I3" s="662" t="n">
        <v>0</v>
      </c>
      <c r="J3" s="663" t="n">
        <v>0</v>
      </c>
      <c r="K3" s="662" t="n">
        <v>0</v>
      </c>
      <c r="L3" s="660" t="n">
        <v>10</v>
      </c>
      <c r="M3" s="660">
        <f>K3*L3</f>
        <v/>
      </c>
      <c r="N3" s="661" t="n">
        <v>4</v>
      </c>
      <c r="O3" s="664" t="inlineStr">
        <is>
          <t>Data Pending — Verify</t>
        </is>
      </c>
    </row>
    <row r="4" hidden="1" ht="18" customHeight="1" s="229">
      <c r="A4" s="651" t="inlineStr">
        <is>
          <t>Barely Zero Anchored Cup Spaghetti Strap Bra - TikTok</t>
        </is>
      </c>
      <c r="B4" s="651" t="inlineStr">
        <is>
          <t>Underwear</t>
        </is>
      </c>
      <c r="C4" s="651" t="inlineStr">
        <is>
          <t>TikTok duplicate — massive dead inventory</t>
        </is>
      </c>
      <c r="D4" s="652" t="inlineStr">
        <is>
          <t>3 — MEDIUM (selldown or markdown)</t>
        </is>
      </c>
      <c r="E4" s="653" t="n">
        <v>2287.56</v>
      </c>
      <c r="F4" s="654" t="n">
        <v>68</v>
      </c>
      <c r="G4" s="655" t="n">
        <v>0</v>
      </c>
      <c r="H4" s="655" t="n">
        <v>0</v>
      </c>
      <c r="I4" s="655" t="n">
        <v>0</v>
      </c>
      <c r="J4" s="656" t="n">
        <v>0</v>
      </c>
      <c r="K4" s="655" t="n">
        <v>0</v>
      </c>
      <c r="L4" s="653" t="n">
        <v>10</v>
      </c>
      <c r="M4" s="653">
        <f>K4*L4</f>
        <v/>
      </c>
      <c r="N4" s="654" t="n">
        <v>5</v>
      </c>
      <c r="O4" s="657" t="inlineStr">
        <is>
          <t>Data Pending — Verify</t>
        </is>
      </c>
    </row>
    <row r="5" hidden="1" ht="18" customHeight="1" s="229">
      <c r="A5" s="658" t="inlineStr">
        <is>
          <t>Barely Zero Low Waist Brief - TikTok</t>
        </is>
      </c>
      <c r="B5" s="658" t="inlineStr">
        <is>
          <t>Underwear</t>
        </is>
      </c>
      <c r="C5" s="658" t="inlineStr">
        <is>
          <t>TikTok duplicate — massive dead inventory</t>
        </is>
      </c>
      <c r="D5" s="665" t="inlineStr">
        <is>
          <t>1 — URGENT (high inventory, no sales)</t>
        </is>
      </c>
      <c r="E5" s="660" t="n">
        <v>41.68</v>
      </c>
      <c r="F5" s="661" t="n">
        <v>3</v>
      </c>
      <c r="G5" s="662" t="n">
        <v>0</v>
      </c>
      <c r="H5" s="662" t="n">
        <v>0</v>
      </c>
      <c r="I5" s="662" t="n">
        <v>0</v>
      </c>
      <c r="J5" s="663" t="n">
        <v>0</v>
      </c>
      <c r="K5" s="662" t="n">
        <v>0</v>
      </c>
      <c r="L5" s="660" t="n">
        <v>10</v>
      </c>
      <c r="M5" s="660">
        <f>K5*L5</f>
        <v/>
      </c>
      <c r="N5" s="661" t="n">
        <v>4</v>
      </c>
      <c r="O5" s="664" t="inlineStr">
        <is>
          <t>Data Pending — Verify</t>
        </is>
      </c>
    </row>
    <row r="6" hidden="1" ht="18" customHeight="1" s="229">
      <c r="A6" s="651" t="inlineStr">
        <is>
          <t>3D Smile Support Plunge Bra</t>
        </is>
      </c>
      <c r="B6" s="651" t="inlineStr">
        <is>
          <t>Underwear</t>
        </is>
      </c>
      <c r="C6" s="651" t="inlineStr">
        <is>
          <t>Non-core product — portfolio simplification</t>
        </is>
      </c>
      <c r="D6" s="652" t="inlineStr">
        <is>
          <t>3 — MEDIUM (selldown or markdown)</t>
        </is>
      </c>
      <c r="E6" s="653" t="n">
        <v>7402.48</v>
      </c>
      <c r="F6" s="654" t="n">
        <v>188</v>
      </c>
      <c r="G6" s="655" t="n">
        <v>7</v>
      </c>
      <c r="H6" s="655" t="n">
        <v>1161</v>
      </c>
      <c r="I6" s="655" t="n">
        <v>0</v>
      </c>
      <c r="J6" s="656" t="n">
        <v>1168</v>
      </c>
      <c r="K6" s="655" t="n">
        <v>1168</v>
      </c>
      <c r="L6" s="653" t="n">
        <v>10</v>
      </c>
      <c r="M6" s="666" t="n">
        <v>11680</v>
      </c>
      <c r="N6" s="654" t="n">
        <v>17</v>
      </c>
      <c r="O6" s="667" t="inlineStr">
        <is>
          <t>Split: Flash Sale (US) + Transfer to China</t>
        </is>
      </c>
    </row>
    <row r="7" hidden="1" ht="18" customHeight="1" s="229">
      <c r="A7" s="658" t="inlineStr">
        <is>
          <t>Nude Shape Triangle Bra</t>
        </is>
      </c>
      <c r="B7" s="658" t="inlineStr">
        <is>
          <t>Underwear</t>
        </is>
      </c>
      <c r="C7" s="658" t="inlineStr">
        <is>
          <t>Non-core product — portfolio simplification</t>
        </is>
      </c>
      <c r="D7" s="668" t="inlineStr">
        <is>
          <t>3 — MEDIUM (selldown or markdown)</t>
        </is>
      </c>
      <c r="E7" s="660" t="n">
        <v>6335.53</v>
      </c>
      <c r="F7" s="661" t="n">
        <v>217</v>
      </c>
      <c r="G7" s="662" t="n">
        <v>25</v>
      </c>
      <c r="H7" s="662" t="n">
        <v>797</v>
      </c>
      <c r="I7" s="662" t="n">
        <v>0</v>
      </c>
      <c r="J7" s="663" t="n">
        <v>822</v>
      </c>
      <c r="K7" s="662" t="n">
        <v>822</v>
      </c>
      <c r="L7" s="660" t="n">
        <v>10</v>
      </c>
      <c r="M7" s="669" t="n">
        <v>8220</v>
      </c>
      <c r="N7" s="661" t="n">
        <v>6</v>
      </c>
      <c r="O7" s="670" t="inlineStr">
        <is>
          <t>Split: Flash Sale (US) + Transfer to China</t>
        </is>
      </c>
    </row>
    <row r="8" hidden="1" ht="18" customHeight="1" s="229">
      <c r="A8" s="671" t="inlineStr">
        <is>
          <t>Bra Pad replacement</t>
        </is>
      </c>
      <c r="B8" s="671" t="n"/>
      <c r="C8" s="671" t="inlineStr">
        <is>
          <t>Zero/negative sales</t>
        </is>
      </c>
      <c r="D8" s="672" t="inlineStr">
        <is>
          <t>1 — URGENT (high inventory, no sales)</t>
        </is>
      </c>
      <c r="E8" s="673" t="n">
        <v>-3</v>
      </c>
      <c r="F8" s="674" t="n">
        <v>3</v>
      </c>
      <c r="G8" s="675" t="n">
        <v>0</v>
      </c>
      <c r="H8" s="675" t="n">
        <v>982</v>
      </c>
      <c r="I8" s="675" t="n">
        <v>0</v>
      </c>
      <c r="J8" s="676" t="n">
        <v>982</v>
      </c>
      <c r="K8" s="675" t="n">
        <v>982</v>
      </c>
      <c r="L8" s="673" t="n">
        <v>8</v>
      </c>
      <c r="M8" s="677" t="n">
        <v>7856</v>
      </c>
      <c r="N8" s="674" t="n">
        <v>5</v>
      </c>
      <c r="O8" s="678" t="inlineStr">
        <is>
          <t>Transfer to China Market</t>
        </is>
      </c>
    </row>
    <row r="9" hidden="1" ht="18" customHeight="1" s="229">
      <c r="A9" s="651" t="inlineStr">
        <is>
          <t>Belle Lace Wireless Bra</t>
        </is>
      </c>
      <c r="B9" s="651" t="inlineStr">
        <is>
          <t>Underwear</t>
        </is>
      </c>
      <c r="C9" s="651" t="inlineStr">
        <is>
          <t>Very low sales (&lt;$500 in 90 days)</t>
        </is>
      </c>
      <c r="D9" s="679" t="inlineStr">
        <is>
          <t>1 — URGENT (high inventory, no sales)</t>
        </is>
      </c>
      <c r="E9" s="653" t="n">
        <v>324.24</v>
      </c>
      <c r="F9" s="654" t="n">
        <v>15</v>
      </c>
      <c r="G9" s="655" t="n">
        <v>0</v>
      </c>
      <c r="H9" s="655" t="n">
        <v>1151</v>
      </c>
      <c r="I9" s="655" t="n">
        <v>0</v>
      </c>
      <c r="J9" s="656" t="n">
        <v>1151</v>
      </c>
      <c r="K9" s="655" t="n">
        <v>1151</v>
      </c>
      <c r="L9" s="653" t="n">
        <v>10</v>
      </c>
      <c r="M9" s="666" t="n">
        <v>11510</v>
      </c>
      <c r="N9" s="654" t="n">
        <v>3</v>
      </c>
      <c r="O9" s="680" t="inlineStr">
        <is>
          <t>Transfer to China Market</t>
        </is>
      </c>
    </row>
    <row r="10" hidden="1" ht="18" customHeight="1" s="229">
      <c r="A10" s="658" t="inlineStr">
        <is>
          <t>3D Smile Support Cutout Bra</t>
        </is>
      </c>
      <c r="B10" s="658" t="inlineStr">
        <is>
          <t>Underwear</t>
        </is>
      </c>
      <c r="C10" s="658" t="inlineStr">
        <is>
          <t>Non-core product — portfolio simplification</t>
        </is>
      </c>
      <c r="D10" s="668" t="inlineStr">
        <is>
          <t>3 — MEDIUM (selldown or markdown)</t>
        </is>
      </c>
      <c r="E10" s="660" t="n">
        <v>9404.450000000001</v>
      </c>
      <c r="F10" s="661" t="n">
        <v>277</v>
      </c>
      <c r="G10" s="662" t="n">
        <v>0</v>
      </c>
      <c r="H10" s="662" t="n">
        <v>699</v>
      </c>
      <c r="I10" s="662" t="n">
        <v>136</v>
      </c>
      <c r="J10" s="663" t="n">
        <v>699</v>
      </c>
      <c r="K10" s="662" t="n">
        <v>835</v>
      </c>
      <c r="L10" s="660" t="n">
        <v>10</v>
      </c>
      <c r="M10" s="669" t="n">
        <v>8350</v>
      </c>
      <c r="N10" s="661" t="n">
        <v>17</v>
      </c>
      <c r="O10" s="681" t="inlineStr">
        <is>
          <t>Transfer to China Market</t>
        </is>
      </c>
    </row>
    <row r="11" hidden="1" ht="18" customHeight="1" s="229">
      <c r="A11" s="651" t="inlineStr">
        <is>
          <t>Barely Zero Red Plaid Bra - Holiday Limited Edition</t>
        </is>
      </c>
      <c r="B11" s="651" t="inlineStr">
        <is>
          <t>Underwear</t>
        </is>
      </c>
      <c r="C11" s="651" t="inlineStr">
        <is>
          <t>Below threshold — long tail</t>
        </is>
      </c>
      <c r="D11" s="652" t="inlineStr">
        <is>
          <t>3 — MEDIUM (selldown or markdown)</t>
        </is>
      </c>
      <c r="E11" s="653" t="n">
        <v>1971.02</v>
      </c>
      <c r="F11" s="654" t="n">
        <v>49</v>
      </c>
      <c r="G11" s="655" t="n">
        <v>0</v>
      </c>
      <c r="H11" s="655" t="n">
        <v>727</v>
      </c>
      <c r="I11" s="655" t="n">
        <v>0</v>
      </c>
      <c r="J11" s="656" t="n">
        <v>727</v>
      </c>
      <c r="K11" s="655" t="n">
        <v>727</v>
      </c>
      <c r="L11" s="653" t="n">
        <v>10</v>
      </c>
      <c r="M11" s="666" t="n">
        <v>7270</v>
      </c>
      <c r="N11" s="654" t="n">
        <v>1</v>
      </c>
      <c r="O11" s="680" t="inlineStr">
        <is>
          <t>Transfer to China Market</t>
        </is>
      </c>
    </row>
    <row r="12" hidden="1" ht="18" customHeight="1" s="229">
      <c r="A12" s="682" t="inlineStr">
        <is>
          <t>Voyage Gathered Swimsuit</t>
        </is>
      </c>
      <c r="B12" s="682" t="inlineStr">
        <is>
          <t>Active</t>
        </is>
      </c>
      <c r="C12" s="682" t="inlineStr">
        <is>
          <t>Low sales (&lt;$1K in 90 days)</t>
        </is>
      </c>
      <c r="D12" s="683" t="inlineStr">
        <is>
          <t>2 — HIGH (excess inventory vs demand)</t>
        </is>
      </c>
      <c r="E12" s="684" t="n">
        <v>841.0500000000001</v>
      </c>
      <c r="F12" s="685" t="n">
        <v>29</v>
      </c>
      <c r="G12" s="686" t="n">
        <v>0</v>
      </c>
      <c r="H12" s="686" t="n">
        <v>443</v>
      </c>
      <c r="I12" s="686" t="n">
        <v>0</v>
      </c>
      <c r="J12" s="687" t="n">
        <v>443</v>
      </c>
      <c r="K12" s="686" t="n">
        <v>443</v>
      </c>
      <c r="L12" s="684" t="n">
        <v>18</v>
      </c>
      <c r="M12" s="688" t="n">
        <v>7974</v>
      </c>
      <c r="N12" s="685" t="n">
        <v>3</v>
      </c>
      <c r="O12" s="689" t="inlineStr">
        <is>
          <t>Transfer to China Market</t>
        </is>
      </c>
    </row>
    <row r="13" hidden="1" ht="18" customHeight="1" s="229">
      <c r="A13" s="690" t="inlineStr">
        <is>
          <t>UltraFlex Cotton Basic Tee</t>
        </is>
      </c>
      <c r="B13" s="690" t="inlineStr">
        <is>
          <t>Loungewear</t>
        </is>
      </c>
      <c r="C13" s="690" t="inlineStr">
        <is>
          <t>Below threshold — long tail</t>
        </is>
      </c>
      <c r="D13" s="691" t="inlineStr">
        <is>
          <t>3 — MEDIUM (selldown or markdown)</t>
        </is>
      </c>
      <c r="E13" s="692" t="n">
        <v>1493.7</v>
      </c>
      <c r="F13" s="693" t="n">
        <v>50</v>
      </c>
      <c r="G13" s="694" t="n">
        <v>0</v>
      </c>
      <c r="H13" s="694" t="n">
        <v>487</v>
      </c>
      <c r="I13" s="694" t="n">
        <v>0</v>
      </c>
      <c r="J13" s="695" t="n">
        <v>487</v>
      </c>
      <c r="K13" s="694" t="n">
        <v>487</v>
      </c>
      <c r="L13" s="692" t="n">
        <v>15</v>
      </c>
      <c r="M13" s="696" t="n">
        <v>7305</v>
      </c>
      <c r="N13" s="693" t="n">
        <v>18</v>
      </c>
      <c r="O13" s="697" t="inlineStr">
        <is>
          <t>Transfer to China Market</t>
        </is>
      </c>
    </row>
    <row r="14" hidden="1" ht="18" customHeight="1" s="229">
      <c r="A14" s="658" t="inlineStr">
        <is>
          <t>Nude Shape 1/2 Cup Bra</t>
        </is>
      </c>
      <c r="B14" s="658" t="inlineStr">
        <is>
          <t>Underwear</t>
        </is>
      </c>
      <c r="C14" s="658" t="inlineStr">
        <is>
          <t>Below threshold — long tail</t>
        </is>
      </c>
      <c r="D14" s="668" t="inlineStr">
        <is>
          <t>3 — MEDIUM (selldown or markdown)</t>
        </is>
      </c>
      <c r="E14" s="660" t="n">
        <v>3281.68</v>
      </c>
      <c r="F14" s="661" t="n">
        <v>89</v>
      </c>
      <c r="G14" s="662" t="n">
        <v>0</v>
      </c>
      <c r="H14" s="662" t="n">
        <v>509</v>
      </c>
      <c r="I14" s="662" t="n">
        <v>0</v>
      </c>
      <c r="J14" s="663" t="n">
        <v>509</v>
      </c>
      <c r="K14" s="662" t="n">
        <v>509</v>
      </c>
      <c r="L14" s="660" t="n">
        <v>10</v>
      </c>
      <c r="M14" s="669" t="n">
        <v>5090</v>
      </c>
      <c r="N14" s="661" t="n">
        <v>13</v>
      </c>
      <c r="O14" s="681" t="inlineStr">
        <is>
          <t>Transfer to China Market</t>
        </is>
      </c>
    </row>
    <row r="15" hidden="1" ht="18" customHeight="1" s="229">
      <c r="A15" s="651" t="inlineStr">
        <is>
          <t>Nude Shape 3/4 Cup Bra</t>
        </is>
      </c>
      <c r="B15" s="651" t="inlineStr">
        <is>
          <t>Underwear</t>
        </is>
      </c>
      <c r="C15" s="651" t="inlineStr">
        <is>
          <t>Low sales (&lt;$1K in 90 days)</t>
        </is>
      </c>
      <c r="D15" s="698" t="inlineStr">
        <is>
          <t>2 — HIGH (excess inventory vs demand)</t>
        </is>
      </c>
      <c r="E15" s="653" t="n">
        <v>752.1</v>
      </c>
      <c r="F15" s="654" t="n">
        <v>9</v>
      </c>
      <c r="G15" s="655" t="n">
        <v>0</v>
      </c>
      <c r="H15" s="655" t="n">
        <v>613</v>
      </c>
      <c r="I15" s="655" t="n">
        <v>0</v>
      </c>
      <c r="J15" s="656" t="n">
        <v>613</v>
      </c>
      <c r="K15" s="655" t="n">
        <v>613</v>
      </c>
      <c r="L15" s="653" t="n">
        <v>10</v>
      </c>
      <c r="M15" s="666" t="n">
        <v>6130</v>
      </c>
      <c r="N15" s="654" t="n">
        <v>10</v>
      </c>
      <c r="O15" s="680" t="inlineStr">
        <is>
          <t>Transfer to China Market</t>
        </is>
      </c>
    </row>
    <row r="16" hidden="1" ht="18" customHeight="1" s="229">
      <c r="A16" s="699" t="inlineStr">
        <is>
          <t>Men‚Äôs Cotton Boxer Brief</t>
        </is>
      </c>
      <c r="B16" s="699" t="inlineStr">
        <is>
          <t>Men</t>
        </is>
      </c>
      <c r="C16" s="699" t="inlineStr">
        <is>
          <t>Men's category exit</t>
        </is>
      </c>
      <c r="D16" s="700" t="inlineStr">
        <is>
          <t>3 — MEDIUM (selldown or markdown)</t>
        </is>
      </c>
      <c r="E16" s="701" t="n">
        <v>1748.77</v>
      </c>
      <c r="F16" s="702" t="n">
        <v>172</v>
      </c>
      <c r="G16" s="703" t="n">
        <v>0</v>
      </c>
      <c r="H16" s="703" t="n">
        <v>388</v>
      </c>
      <c r="I16" s="703" t="n">
        <v>4765</v>
      </c>
      <c r="J16" s="704" t="n">
        <v>388</v>
      </c>
      <c r="K16" s="703" t="n">
        <v>5153</v>
      </c>
      <c r="L16" s="701" t="n">
        <v>8</v>
      </c>
      <c r="M16" s="705" t="n">
        <v>41224</v>
      </c>
      <c r="N16" s="702" t="n">
        <v>27</v>
      </c>
      <c r="O16" s="706" t="inlineStr">
        <is>
          <t>Transfer to China Market</t>
        </is>
      </c>
    </row>
    <row r="17" hidden="1" ht="18" customHeight="1" s="229">
      <c r="A17" s="707" t="inlineStr">
        <is>
          <t>Wool Seamless Turtleneck Top</t>
        </is>
      </c>
      <c r="B17" s="707" t="inlineStr">
        <is>
          <t>Loungewear</t>
        </is>
      </c>
      <c r="C17" s="707" t="inlineStr">
        <is>
          <t>Below threshold — long tail</t>
        </is>
      </c>
      <c r="D17" s="708" t="inlineStr">
        <is>
          <t>3 — MEDIUM (selldown or markdown)</t>
        </is>
      </c>
      <c r="E17" s="709" t="n">
        <v>2943.21</v>
      </c>
      <c r="F17" s="710" t="n">
        <v>78</v>
      </c>
      <c r="G17" s="711" t="n">
        <v>0</v>
      </c>
      <c r="H17" s="711" t="n">
        <v>272</v>
      </c>
      <c r="I17" s="711" t="n">
        <v>0</v>
      </c>
      <c r="J17" s="712" t="n">
        <v>272</v>
      </c>
      <c r="K17" s="711" t="n">
        <v>272</v>
      </c>
      <c r="L17" s="709" t="n">
        <v>15</v>
      </c>
      <c r="M17" s="713" t="n">
        <v>4080</v>
      </c>
      <c r="N17" s="710" t="n">
        <v>9</v>
      </c>
      <c r="O17" s="714" t="inlineStr">
        <is>
          <t>Transfer to China Market</t>
        </is>
      </c>
    </row>
    <row r="18" hidden="1" ht="18" customHeight="1" s="229">
      <c r="A18" s="658" t="inlineStr">
        <is>
          <t>Nude Shape Bra Top</t>
        </is>
      </c>
      <c r="B18" s="658" t="inlineStr">
        <is>
          <t>Underwear</t>
        </is>
      </c>
      <c r="C18" s="658" t="inlineStr">
        <is>
          <t>Low sales (&lt;$1K in 90 days)</t>
        </is>
      </c>
      <c r="D18" s="659" t="inlineStr">
        <is>
          <t>2 — HIGH (excess inventory vs demand)</t>
        </is>
      </c>
      <c r="E18" s="660" t="n">
        <v>546.1</v>
      </c>
      <c r="F18" s="661" t="n">
        <v>8</v>
      </c>
      <c r="G18" s="662" t="n">
        <v>7</v>
      </c>
      <c r="H18" s="662" t="n">
        <v>364</v>
      </c>
      <c r="I18" s="662" t="n">
        <v>0</v>
      </c>
      <c r="J18" s="663" t="n">
        <v>371</v>
      </c>
      <c r="K18" s="662" t="n">
        <v>371</v>
      </c>
      <c r="L18" s="660" t="n">
        <v>10</v>
      </c>
      <c r="M18" s="669" t="n">
        <v>3710</v>
      </c>
      <c r="N18" s="661" t="n">
        <v>11</v>
      </c>
      <c r="O18" s="670" t="inlineStr">
        <is>
          <t>Split: Flash Sale (US) + Transfer to China</t>
        </is>
      </c>
    </row>
    <row r="19" hidden="1" ht="18" customHeight="1" s="229">
      <c r="A19" s="715" t="inlineStr">
        <is>
          <t>Ballet Shrug</t>
        </is>
      </c>
      <c r="B19" s="715" t="inlineStr">
        <is>
          <t>Active</t>
        </is>
      </c>
      <c r="C19" s="715" t="inlineStr">
        <is>
          <t>Low sales (&lt;$1K in 90 days)</t>
        </is>
      </c>
      <c r="D19" s="716" t="inlineStr">
        <is>
          <t>2 — HIGH (excess inventory vs demand)</t>
        </is>
      </c>
      <c r="E19" s="717" t="n">
        <v>866.5500000000001</v>
      </c>
      <c r="F19" s="718" t="n">
        <v>10</v>
      </c>
      <c r="G19" s="719" t="n">
        <v>0</v>
      </c>
      <c r="H19" s="719" t="n">
        <v>232</v>
      </c>
      <c r="I19" s="719" t="n">
        <v>0</v>
      </c>
      <c r="J19" s="720" t="n">
        <v>232</v>
      </c>
      <c r="K19" s="719" t="n">
        <v>232</v>
      </c>
      <c r="L19" s="717" t="n">
        <v>18</v>
      </c>
      <c r="M19" s="721" t="n">
        <v>4176</v>
      </c>
      <c r="N19" s="718" t="n">
        <v>2</v>
      </c>
      <c r="O19" s="722" t="inlineStr">
        <is>
          <t>Transfer to China Market</t>
        </is>
      </c>
    </row>
    <row r="20" hidden="1" ht="18" customHeight="1" s="229">
      <c r="A20" s="690" t="inlineStr">
        <is>
          <t>Knitted Ribbed Cardigan</t>
        </is>
      </c>
      <c r="B20" s="690" t="inlineStr">
        <is>
          <t>Loungewear</t>
        </is>
      </c>
      <c r="C20" s="690" t="inlineStr">
        <is>
          <t>Below threshold — long tail</t>
        </is>
      </c>
      <c r="D20" s="691" t="inlineStr">
        <is>
          <t>3 — MEDIUM (selldown or markdown)</t>
        </is>
      </c>
      <c r="E20" s="692" t="n">
        <v>1611.85</v>
      </c>
      <c r="F20" s="693" t="n">
        <v>35</v>
      </c>
      <c r="G20" s="694" t="n">
        <v>0</v>
      </c>
      <c r="H20" s="694" t="n">
        <v>295</v>
      </c>
      <c r="I20" s="694" t="n">
        <v>0</v>
      </c>
      <c r="J20" s="695" t="n">
        <v>295</v>
      </c>
      <c r="K20" s="694" t="n">
        <v>295</v>
      </c>
      <c r="L20" s="692" t="n">
        <v>15</v>
      </c>
      <c r="M20" s="696" t="n">
        <v>4425</v>
      </c>
      <c r="N20" s="693" t="n">
        <v>9</v>
      </c>
      <c r="O20" s="697" t="inlineStr">
        <is>
          <t>Transfer to China Market</t>
        </is>
      </c>
    </row>
    <row r="21" hidden="1" ht="18" customHeight="1" s="229">
      <c r="A21" s="723" t="inlineStr">
        <is>
          <t>Men's Modal Brief 2.0</t>
        </is>
      </c>
      <c r="B21" s="723" t="inlineStr">
        <is>
          <t>Men</t>
        </is>
      </c>
      <c r="C21" s="723" t="inlineStr">
        <is>
          <t>Men's category exit</t>
        </is>
      </c>
      <c r="D21" s="724" t="inlineStr">
        <is>
          <t>3 — MEDIUM (selldown or markdown)</t>
        </is>
      </c>
      <c r="E21" s="725" t="n">
        <v>2554.36</v>
      </c>
      <c r="F21" s="726" t="n">
        <v>249</v>
      </c>
      <c r="G21" s="727" t="n">
        <v>0</v>
      </c>
      <c r="H21" s="727" t="n">
        <v>293</v>
      </c>
      <c r="I21" s="727" t="n">
        <v>4000</v>
      </c>
      <c r="J21" s="728" t="n">
        <v>293</v>
      </c>
      <c r="K21" s="727" t="n">
        <v>4293</v>
      </c>
      <c r="L21" s="725" t="n">
        <v>8</v>
      </c>
      <c r="M21" s="729" t="n">
        <v>34344</v>
      </c>
      <c r="N21" s="726" t="n">
        <v>25</v>
      </c>
      <c r="O21" s="730" t="inlineStr">
        <is>
          <t>Transfer to China Market</t>
        </is>
      </c>
    </row>
    <row r="22" hidden="1" ht="18" customHeight="1" s="229">
      <c r="A22" s="682" t="inlineStr">
        <is>
          <t>2-Pack Ankle Socks</t>
        </is>
      </c>
      <c r="B22" s="682" t="inlineStr">
        <is>
          <t>Active</t>
        </is>
      </c>
      <c r="C22" s="682" t="inlineStr">
        <is>
          <t>Very low sales (&lt;$500 in 90 days)</t>
        </is>
      </c>
      <c r="D22" s="683" t="inlineStr">
        <is>
          <t>2 — HIGH (excess inventory vs demand)</t>
        </is>
      </c>
      <c r="E22" s="684" t="n">
        <v>221.01</v>
      </c>
      <c r="F22" s="685" t="n">
        <v>11</v>
      </c>
      <c r="G22" s="686" t="n">
        <v>0</v>
      </c>
      <c r="H22" s="686" t="n">
        <v>172</v>
      </c>
      <c r="I22" s="686" t="n">
        <v>0</v>
      </c>
      <c r="J22" s="687" t="n">
        <v>172</v>
      </c>
      <c r="K22" s="686" t="n">
        <v>172</v>
      </c>
      <c r="L22" s="684" t="n">
        <v>18</v>
      </c>
      <c r="M22" s="688" t="n">
        <v>3096</v>
      </c>
      <c r="N22" s="685" t="n">
        <v>1</v>
      </c>
      <c r="O22" s="689" t="inlineStr">
        <is>
          <t>Transfer to China Market</t>
        </is>
      </c>
    </row>
    <row r="23" hidden="1" ht="18" customHeight="1" s="229">
      <c r="A23" s="651" t="inlineStr">
        <is>
          <t>Bandeau Bra - TikTok</t>
        </is>
      </c>
      <c r="B23" s="651" t="inlineStr">
        <is>
          <t>Underwear</t>
        </is>
      </c>
      <c r="C23" s="651" t="inlineStr">
        <is>
          <t>TikTok duplicate — massive dead inventory</t>
        </is>
      </c>
      <c r="D23" s="698" t="inlineStr">
        <is>
          <t>2 — HIGH (excess inventory vs demand)</t>
        </is>
      </c>
      <c r="E23" s="653" t="n">
        <v>327.01</v>
      </c>
      <c r="F23" s="654" t="n">
        <v>9</v>
      </c>
      <c r="G23" s="655" t="n">
        <v>0</v>
      </c>
      <c r="H23" s="655" t="n">
        <v>0</v>
      </c>
      <c r="I23" s="655" t="n">
        <v>0</v>
      </c>
      <c r="J23" s="656" t="n">
        <v>0</v>
      </c>
      <c r="K23" s="655" t="n">
        <v>0</v>
      </c>
      <c r="L23" s="653" t="n">
        <v>10</v>
      </c>
      <c r="M23" s="666" t="n">
        <v>0</v>
      </c>
      <c r="N23" s="654" t="n">
        <v>10</v>
      </c>
      <c r="O23" s="731" t="inlineStr">
        <is>
          <t>Delist — Zero Inventory</t>
        </is>
      </c>
    </row>
    <row r="24" hidden="1" ht="18" customHeight="1" s="229">
      <c r="A24" s="715" t="inlineStr">
        <is>
          <t>NEIWAI ACTIVE X NYCB Ballet Wool Ribbed Shrug</t>
        </is>
      </c>
      <c r="B24" s="715" t="inlineStr">
        <is>
          <t>Active</t>
        </is>
      </c>
      <c r="C24" s="715" t="inlineStr">
        <is>
          <t>NYCB collab — dead inventory, no velocity</t>
        </is>
      </c>
      <c r="D24" s="732" t="inlineStr">
        <is>
          <t>3 — MEDIUM (selldown or markdown)</t>
        </is>
      </c>
      <c r="E24" s="717" t="n">
        <v>1444.25</v>
      </c>
      <c r="F24" s="718" t="n">
        <v>16</v>
      </c>
      <c r="G24" s="719" t="n">
        <v>0</v>
      </c>
      <c r="H24" s="719" t="n">
        <v>170</v>
      </c>
      <c r="I24" s="719" t="n">
        <v>0</v>
      </c>
      <c r="J24" s="720" t="n">
        <v>170</v>
      </c>
      <c r="K24" s="719" t="n">
        <v>170</v>
      </c>
      <c r="L24" s="717" t="n">
        <v>18</v>
      </c>
      <c r="M24" s="721" t="n">
        <v>3060</v>
      </c>
      <c r="N24" s="718" t="n">
        <v>4</v>
      </c>
      <c r="O24" s="722" t="inlineStr">
        <is>
          <t>Transfer to China Market</t>
        </is>
      </c>
    </row>
    <row r="25" hidden="1" ht="18" customHeight="1" s="229">
      <c r="A25" s="658" t="inlineStr">
        <is>
          <t>Self Silk Satin Mid Waist Brief</t>
        </is>
      </c>
      <c r="B25" s="658" t="inlineStr">
        <is>
          <t>Underwear</t>
        </is>
      </c>
      <c r="C25" s="658" t="inlineStr">
        <is>
          <t>Low sales (&lt;$1K in 90 days)</t>
        </is>
      </c>
      <c r="D25" s="659" t="inlineStr">
        <is>
          <t>2 — HIGH (excess inventory vs demand)</t>
        </is>
      </c>
      <c r="E25" s="660" t="n">
        <v>671.3</v>
      </c>
      <c r="F25" s="661" t="n">
        <v>23</v>
      </c>
      <c r="G25" s="662" t="n">
        <v>0</v>
      </c>
      <c r="H25" s="662" t="n">
        <v>220</v>
      </c>
      <c r="I25" s="662" t="n">
        <v>0</v>
      </c>
      <c r="J25" s="663" t="n">
        <v>220</v>
      </c>
      <c r="K25" s="662" t="n">
        <v>220</v>
      </c>
      <c r="L25" s="660" t="n">
        <v>10</v>
      </c>
      <c r="M25" s="669" t="n">
        <v>2200</v>
      </c>
      <c r="N25" s="661" t="n">
        <v>14</v>
      </c>
      <c r="O25" s="681" t="inlineStr">
        <is>
          <t>Transfer to China Market</t>
        </is>
      </c>
    </row>
    <row r="26" hidden="1" ht="18" customHeight="1" s="229">
      <c r="A26" s="651" t="inlineStr">
        <is>
          <t>Self Silk Satin Triangle Bra</t>
        </is>
      </c>
      <c r="B26" s="651" t="inlineStr">
        <is>
          <t>Underwear</t>
        </is>
      </c>
      <c r="C26" s="651" t="inlineStr">
        <is>
          <t>Below threshold — long tail</t>
        </is>
      </c>
      <c r="D26" s="652" t="inlineStr">
        <is>
          <t>3 — MEDIUM (selldown or markdown)</t>
        </is>
      </c>
      <c r="E26" s="653" t="n">
        <v>1272.7</v>
      </c>
      <c r="F26" s="654" t="n">
        <v>17</v>
      </c>
      <c r="G26" s="655" t="n">
        <v>0</v>
      </c>
      <c r="H26" s="655" t="n">
        <v>220</v>
      </c>
      <c r="I26" s="655" t="n">
        <v>0</v>
      </c>
      <c r="J26" s="656" t="n">
        <v>220</v>
      </c>
      <c r="K26" s="655" t="n">
        <v>220</v>
      </c>
      <c r="L26" s="653" t="n">
        <v>10</v>
      </c>
      <c r="M26" s="666" t="n">
        <v>2200</v>
      </c>
      <c r="N26" s="654" t="n">
        <v>16</v>
      </c>
      <c r="O26" s="680" t="inlineStr">
        <is>
          <t>Transfer to China Market</t>
        </is>
      </c>
    </row>
    <row r="27" hidden="1" ht="18" customHeight="1" s="229">
      <c r="A27" s="682" t="inlineStr">
        <is>
          <t>Ballet Wide Leg Pants</t>
        </is>
      </c>
      <c r="B27" s="682" t="inlineStr">
        <is>
          <t>Active</t>
        </is>
      </c>
      <c r="C27" s="682" t="inlineStr">
        <is>
          <t>Active category rationalization</t>
        </is>
      </c>
      <c r="D27" s="733" t="inlineStr">
        <is>
          <t>3 — MEDIUM (selldown or markdown)</t>
        </is>
      </c>
      <c r="E27" s="684" t="n">
        <v>1131.98</v>
      </c>
      <c r="F27" s="685" t="n">
        <v>13</v>
      </c>
      <c r="G27" s="686" t="n">
        <v>0</v>
      </c>
      <c r="H27" s="686" t="n">
        <v>162</v>
      </c>
      <c r="I27" s="686" t="n">
        <v>0</v>
      </c>
      <c r="J27" s="687" t="n">
        <v>162</v>
      </c>
      <c r="K27" s="686" t="n">
        <v>162</v>
      </c>
      <c r="L27" s="684" t="n">
        <v>18</v>
      </c>
      <c r="M27" s="688" t="n">
        <v>2916</v>
      </c>
      <c r="N27" s="685" t="n">
        <v>7</v>
      </c>
      <c r="O27" s="689" t="inlineStr">
        <is>
          <t>Transfer to China Market</t>
        </is>
      </c>
    </row>
    <row r="28" hidden="1" ht="18" customHeight="1" s="229">
      <c r="A28" s="658" t="inlineStr">
        <is>
          <t>UltraFlex Cotton Low Waist Briefs (2-Pack)</t>
        </is>
      </c>
      <c r="B28" s="658" t="inlineStr">
        <is>
          <t>Underwear</t>
        </is>
      </c>
      <c r="C28" s="658" t="inlineStr">
        <is>
          <t>Below threshold — long tail</t>
        </is>
      </c>
      <c r="D28" s="668" t="inlineStr">
        <is>
          <t>3 — MEDIUM (selldown or markdown)</t>
        </is>
      </c>
      <c r="E28" s="660" t="n">
        <v>2142.6</v>
      </c>
      <c r="F28" s="661" t="n">
        <v>100</v>
      </c>
      <c r="G28" s="662" t="n">
        <v>0</v>
      </c>
      <c r="H28" s="662" t="n">
        <v>133</v>
      </c>
      <c r="I28" s="662" t="n">
        <v>0</v>
      </c>
      <c r="J28" s="663" t="n">
        <v>133</v>
      </c>
      <c r="K28" s="662" t="n">
        <v>133</v>
      </c>
      <c r="L28" s="660" t="n">
        <v>10</v>
      </c>
      <c r="M28" s="669" t="n">
        <v>1330</v>
      </c>
      <c r="N28" s="661" t="n">
        <v>4</v>
      </c>
      <c r="O28" s="681" t="inlineStr">
        <is>
          <t>Transfer to China Market</t>
        </is>
      </c>
    </row>
    <row r="29" hidden="1" ht="18" customHeight="1" s="229">
      <c r="A29" s="715" t="inlineStr">
        <is>
          <t>Ballet Drawstring Joggers</t>
        </is>
      </c>
      <c r="B29" s="715" t="inlineStr">
        <is>
          <t>Active</t>
        </is>
      </c>
      <c r="C29" s="715" t="inlineStr">
        <is>
          <t>Active category rationalization</t>
        </is>
      </c>
      <c r="D29" s="732" t="inlineStr">
        <is>
          <t>3 — MEDIUM (selldown or markdown)</t>
        </is>
      </c>
      <c r="E29" s="717" t="n">
        <v>1532.94</v>
      </c>
      <c r="F29" s="718" t="n">
        <v>38</v>
      </c>
      <c r="G29" s="719" t="n">
        <v>0</v>
      </c>
      <c r="H29" s="719" t="n">
        <v>128</v>
      </c>
      <c r="I29" s="719" t="n">
        <v>95</v>
      </c>
      <c r="J29" s="720" t="n">
        <v>128</v>
      </c>
      <c r="K29" s="719" t="n">
        <v>223</v>
      </c>
      <c r="L29" s="717" t="n">
        <v>18</v>
      </c>
      <c r="M29" s="721" t="n">
        <v>4014</v>
      </c>
      <c r="N29" s="718" t="n">
        <v>13</v>
      </c>
      <c r="O29" s="722" t="inlineStr">
        <is>
          <t>Transfer to China Market</t>
        </is>
      </c>
    </row>
    <row r="30" hidden="1" ht="18" customHeight="1" s="229">
      <c r="A30" s="699" t="inlineStr">
        <is>
          <t>Men's Cotton Modal Brief</t>
        </is>
      </c>
      <c r="B30" s="699" t="inlineStr">
        <is>
          <t>Men</t>
        </is>
      </c>
      <c r="C30" s="699" t="inlineStr">
        <is>
          <t>Men's category exit</t>
        </is>
      </c>
      <c r="D30" s="700" t="inlineStr">
        <is>
          <t>3 — MEDIUM (selldown or markdown)</t>
        </is>
      </c>
      <c r="E30" s="701" t="n">
        <v>2765.59</v>
      </c>
      <c r="F30" s="702" t="n">
        <v>209</v>
      </c>
      <c r="G30" s="703" t="n">
        <v>0</v>
      </c>
      <c r="H30" s="703" t="n">
        <v>161</v>
      </c>
      <c r="I30" s="703" t="n">
        <v>2001</v>
      </c>
      <c r="J30" s="704" t="n">
        <v>161</v>
      </c>
      <c r="K30" s="703" t="n">
        <v>2162</v>
      </c>
      <c r="L30" s="701" t="n">
        <v>8</v>
      </c>
      <c r="M30" s="705" t="n">
        <v>17296</v>
      </c>
      <c r="N30" s="702" t="n">
        <v>27</v>
      </c>
      <c r="O30" s="706" t="inlineStr">
        <is>
          <t>Transfer to China Market</t>
        </is>
      </c>
    </row>
    <row r="31" hidden="1" ht="18" customHeight="1" s="229">
      <c r="A31" s="707" t="inlineStr">
        <is>
          <t>Knitted Ribbed Sweater</t>
        </is>
      </c>
      <c r="B31" s="707" t="inlineStr">
        <is>
          <t>Loungewear</t>
        </is>
      </c>
      <c r="C31" s="707" t="inlineStr">
        <is>
          <t>Below threshold — long tail</t>
        </is>
      </c>
      <c r="D31" s="708" t="inlineStr">
        <is>
          <t>3 — MEDIUM (selldown or markdown)</t>
        </is>
      </c>
      <c r="E31" s="709" t="n">
        <v>1545.15</v>
      </c>
      <c r="F31" s="710" t="n">
        <v>35</v>
      </c>
      <c r="G31" s="711" t="n">
        <v>0</v>
      </c>
      <c r="H31" s="711" t="n">
        <v>152</v>
      </c>
      <c r="I31" s="711" t="n">
        <v>169</v>
      </c>
      <c r="J31" s="712" t="n">
        <v>152</v>
      </c>
      <c r="K31" s="711" t="n">
        <v>321</v>
      </c>
      <c r="L31" s="709" t="n">
        <v>15</v>
      </c>
      <c r="M31" s="713" t="n">
        <v>4815</v>
      </c>
      <c r="N31" s="710" t="n">
        <v>6</v>
      </c>
      <c r="O31" s="714" t="inlineStr">
        <is>
          <t>Transfer to China Market</t>
        </is>
      </c>
    </row>
    <row r="32" hidden="1" ht="18" customHeight="1" s="229">
      <c r="A32" s="690" t="inlineStr">
        <is>
          <t>Plushy Pajama Top</t>
        </is>
      </c>
      <c r="B32" s="690" t="inlineStr">
        <is>
          <t>Loungewear</t>
        </is>
      </c>
      <c r="C32" s="690" t="inlineStr">
        <is>
          <t>Low sales (&lt;$1K in 90 days)</t>
        </is>
      </c>
      <c r="D32" s="734" t="inlineStr">
        <is>
          <t>2 — HIGH (excess inventory vs demand)</t>
        </is>
      </c>
      <c r="E32" s="692" t="n">
        <v>877.6800000000001</v>
      </c>
      <c r="F32" s="693" t="n">
        <v>30</v>
      </c>
      <c r="G32" s="694" t="n">
        <v>0</v>
      </c>
      <c r="H32" s="694" t="n">
        <v>135</v>
      </c>
      <c r="I32" s="694" t="n">
        <v>0</v>
      </c>
      <c r="J32" s="695" t="n">
        <v>135</v>
      </c>
      <c r="K32" s="694" t="n">
        <v>135</v>
      </c>
      <c r="L32" s="692" t="n">
        <v>15</v>
      </c>
      <c r="M32" s="696" t="n">
        <v>2025</v>
      </c>
      <c r="N32" s="693" t="n">
        <v>5</v>
      </c>
      <c r="O32" s="697" t="inlineStr">
        <is>
          <t>Transfer to China Market</t>
        </is>
      </c>
    </row>
    <row r="33" hidden="1" ht="18" customHeight="1" s="229">
      <c r="A33" s="707" t="inlineStr">
        <is>
          <t>Wool Fleece Cocoon Jacket</t>
        </is>
      </c>
      <c r="B33" s="707" t="inlineStr">
        <is>
          <t>Loungewear</t>
        </is>
      </c>
      <c r="C33" s="707" t="inlineStr">
        <is>
          <t>Below threshold — long tail</t>
        </is>
      </c>
      <c r="D33" s="708" t="inlineStr">
        <is>
          <t>3 — MEDIUM (selldown or markdown)</t>
        </is>
      </c>
      <c r="E33" s="709" t="n">
        <v>1236.38</v>
      </c>
      <c r="F33" s="710" t="n">
        <v>10</v>
      </c>
      <c r="G33" s="711" t="n">
        <v>0</v>
      </c>
      <c r="H33" s="711" t="n">
        <v>136</v>
      </c>
      <c r="I33" s="711" t="n">
        <v>0</v>
      </c>
      <c r="J33" s="712" t="n">
        <v>136</v>
      </c>
      <c r="K33" s="711" t="n">
        <v>136</v>
      </c>
      <c r="L33" s="709" t="n">
        <v>15</v>
      </c>
      <c r="M33" s="713" t="n">
        <v>2040</v>
      </c>
      <c r="N33" s="710" t="n">
        <v>3</v>
      </c>
      <c r="O33" s="714" t="inlineStr">
        <is>
          <t>Transfer to China Market</t>
        </is>
      </c>
    </row>
    <row r="34" hidden="1" ht="18" customHeight="1" s="229">
      <c r="A34" s="651" t="inlineStr">
        <is>
          <t>Modal Silk Briefs 3-Pack</t>
        </is>
      </c>
      <c r="B34" s="651" t="inlineStr">
        <is>
          <t>Underwear</t>
        </is>
      </c>
      <c r="C34" s="651" t="inlineStr">
        <is>
          <t>Very low sales (&lt;$500 in 90 days)</t>
        </is>
      </c>
      <c r="D34" s="698" t="inlineStr">
        <is>
          <t>2 — HIGH (excess inventory vs demand)</t>
        </is>
      </c>
      <c r="E34" s="653" t="n">
        <v>162.83</v>
      </c>
      <c r="F34" s="654" t="n">
        <v>6</v>
      </c>
      <c r="G34" s="655" t="n">
        <v>0</v>
      </c>
      <c r="H34" s="655" t="n">
        <v>528</v>
      </c>
      <c r="I34" s="655" t="n">
        <v>0</v>
      </c>
      <c r="J34" s="656" t="n">
        <v>528</v>
      </c>
      <c r="K34" s="655" t="n">
        <v>528</v>
      </c>
      <c r="L34" s="653" t="n">
        <v>10</v>
      </c>
      <c r="M34" s="666" t="n">
        <v>5280</v>
      </c>
      <c r="N34" s="654" t="n">
        <v>2</v>
      </c>
      <c r="O34" s="680" t="inlineStr">
        <is>
          <t>Transfer to China Market</t>
        </is>
      </c>
    </row>
    <row r="35" hidden="1" ht="18" customHeight="1" s="229">
      <c r="A35" s="690" t="inlineStr">
        <is>
          <t>Wool Fleece Cocoon Pants</t>
        </is>
      </c>
      <c r="B35" s="690" t="inlineStr">
        <is>
          <t>Loungewear</t>
        </is>
      </c>
      <c r="C35" s="690" t="inlineStr">
        <is>
          <t>Low sales (&lt;$1K in 90 days)</t>
        </is>
      </c>
      <c r="D35" s="734" t="inlineStr">
        <is>
          <t>2 — HIGH (excess inventory vs demand)</t>
        </is>
      </c>
      <c r="E35" s="692" t="n">
        <v>707.17</v>
      </c>
      <c r="F35" s="693" t="n">
        <v>9</v>
      </c>
      <c r="G35" s="694" t="n">
        <v>0</v>
      </c>
      <c r="H35" s="694" t="n">
        <v>124</v>
      </c>
      <c r="I35" s="694" t="n">
        <v>0</v>
      </c>
      <c r="J35" s="695" t="n">
        <v>124</v>
      </c>
      <c r="K35" s="694" t="n">
        <v>124</v>
      </c>
      <c r="L35" s="692" t="n">
        <v>15</v>
      </c>
      <c r="M35" s="696" t="n">
        <v>1860</v>
      </c>
      <c r="N35" s="693" t="n">
        <v>3</v>
      </c>
      <c r="O35" s="697" t="inlineStr">
        <is>
          <t>Transfer to China Market</t>
        </is>
      </c>
    </row>
    <row r="36" hidden="1" ht="18" customHeight="1" s="229">
      <c r="A36" s="682" t="inlineStr">
        <is>
          <t>NEIWAI ACTIVE X NYCB Mousse Medium Support Leggings</t>
        </is>
      </c>
      <c r="B36" s="682" t="inlineStr">
        <is>
          <t>Active</t>
        </is>
      </c>
      <c r="C36" s="682" t="inlineStr">
        <is>
          <t>NYCB collab — dead inventory, no velocity</t>
        </is>
      </c>
      <c r="D36" s="733" t="inlineStr">
        <is>
          <t>3 — MEDIUM (selldown or markdown)</t>
        </is>
      </c>
      <c r="E36" s="684" t="n">
        <v>2105.14</v>
      </c>
      <c r="F36" s="685" t="n">
        <v>32</v>
      </c>
      <c r="G36" s="686" t="n">
        <v>0</v>
      </c>
      <c r="H36" s="686" t="n">
        <v>140</v>
      </c>
      <c r="I36" s="686" t="n">
        <v>589</v>
      </c>
      <c r="J36" s="687" t="n">
        <v>140</v>
      </c>
      <c r="K36" s="686" t="n">
        <v>729</v>
      </c>
      <c r="L36" s="684" t="n">
        <v>18</v>
      </c>
      <c r="M36" s="688" t="n">
        <v>13122</v>
      </c>
      <c r="N36" s="685" t="n">
        <v>20</v>
      </c>
      <c r="O36" s="689" t="inlineStr">
        <is>
          <t>Transfer to China Market</t>
        </is>
      </c>
    </row>
    <row r="37" hidden="1" ht="18" customHeight="1" s="229">
      <c r="A37" s="715" t="inlineStr">
        <is>
          <t>Flyaway Tank</t>
        </is>
      </c>
      <c r="B37" s="715" t="inlineStr">
        <is>
          <t>Active</t>
        </is>
      </c>
      <c r="C37" s="715" t="inlineStr">
        <is>
          <t>Very low sales (&lt;$500 in 90 days)</t>
        </is>
      </c>
      <c r="D37" s="716" t="inlineStr">
        <is>
          <t>2 — HIGH (excess inventory vs demand)</t>
        </is>
      </c>
      <c r="E37" s="717" t="n">
        <v>159.5</v>
      </c>
      <c r="F37" s="718" t="n">
        <v>5</v>
      </c>
      <c r="G37" s="719" t="n">
        <v>0</v>
      </c>
      <c r="H37" s="719" t="n">
        <v>207</v>
      </c>
      <c r="I37" s="719" t="n">
        <v>0</v>
      </c>
      <c r="J37" s="720" t="n">
        <v>207</v>
      </c>
      <c r="K37" s="719" t="n">
        <v>207</v>
      </c>
      <c r="L37" s="717" t="n">
        <v>18</v>
      </c>
      <c r="M37" s="721" t="n">
        <v>3726</v>
      </c>
      <c r="N37" s="718" t="n">
        <v>5</v>
      </c>
      <c r="O37" s="722" t="inlineStr">
        <is>
          <t>Transfer to China Market</t>
        </is>
      </c>
    </row>
    <row r="38" hidden="1" ht="18" customHeight="1" s="229">
      <c r="A38" s="658" t="inlineStr">
        <is>
          <t>Twin Cross Plunge Contour Bra 2.0</t>
        </is>
      </c>
      <c r="B38" s="658" t="inlineStr">
        <is>
          <t>Underwear</t>
        </is>
      </c>
      <c r="C38" s="658" t="inlineStr">
        <is>
          <t>Non-core product — portfolio simplification</t>
        </is>
      </c>
      <c r="D38" s="668" t="inlineStr">
        <is>
          <t>3 — MEDIUM (selldown or markdown)</t>
        </is>
      </c>
      <c r="E38" s="660" t="n">
        <v>5292.57</v>
      </c>
      <c r="F38" s="661" t="n">
        <v>173</v>
      </c>
      <c r="G38" s="662" t="n">
        <v>118</v>
      </c>
      <c r="H38" s="662" t="n">
        <v>45</v>
      </c>
      <c r="I38" s="662" t="n">
        <v>2086</v>
      </c>
      <c r="J38" s="663" t="n">
        <v>163</v>
      </c>
      <c r="K38" s="662" t="n">
        <v>2249</v>
      </c>
      <c r="L38" s="660" t="n">
        <v>10</v>
      </c>
      <c r="M38" s="669" t="n">
        <v>22490</v>
      </c>
      <c r="N38" s="661" t="n">
        <v>16</v>
      </c>
      <c r="O38" s="670" t="inlineStr">
        <is>
          <t>Split: Flash Sale (US) + Transfer to China</t>
        </is>
      </c>
    </row>
    <row r="39" hidden="1" ht="18" customHeight="1" s="229">
      <c r="A39" s="682" t="inlineStr">
        <is>
          <t>Modal Dance Wide Leg Pants</t>
        </is>
      </c>
      <c r="B39" s="682" t="inlineStr">
        <is>
          <t>Active</t>
        </is>
      </c>
      <c r="C39" s="682" t="inlineStr">
        <is>
          <t>Low sales (&lt;$1K in 90 days)</t>
        </is>
      </c>
      <c r="D39" s="683" t="inlineStr">
        <is>
          <t>2 — HIGH (excess inventory vs demand)</t>
        </is>
      </c>
      <c r="E39" s="684" t="n">
        <v>644</v>
      </c>
      <c r="F39" s="685" t="n">
        <v>7</v>
      </c>
      <c r="G39" s="686" t="n">
        <v>0</v>
      </c>
      <c r="H39" s="686" t="n">
        <v>127</v>
      </c>
      <c r="I39" s="686" t="n">
        <v>0</v>
      </c>
      <c r="J39" s="687" t="n">
        <v>127</v>
      </c>
      <c r="K39" s="686" t="n">
        <v>127</v>
      </c>
      <c r="L39" s="684" t="n">
        <v>18</v>
      </c>
      <c r="M39" s="688" t="n">
        <v>2286</v>
      </c>
      <c r="N39" s="685" t="n">
        <v>6</v>
      </c>
      <c r="O39" s="689" t="inlineStr">
        <is>
          <t>Transfer to China Market</t>
        </is>
      </c>
    </row>
    <row r="40" hidden="1" ht="18" customHeight="1" s="229">
      <c r="A40" s="707" t="inlineStr">
        <is>
          <t>Cotton Jacquard Pajama Top</t>
        </is>
      </c>
      <c r="B40" s="707" t="inlineStr">
        <is>
          <t>Loungewear</t>
        </is>
      </c>
      <c r="C40" s="707" t="inlineStr">
        <is>
          <t>Low sales (&lt;$1K in 90 days)</t>
        </is>
      </c>
      <c r="D40" s="735" t="inlineStr">
        <is>
          <t>2 — HIGH (excess inventory vs demand)</t>
        </is>
      </c>
      <c r="E40" s="709" t="n">
        <v>659.0700000000001</v>
      </c>
      <c r="F40" s="710" t="n">
        <v>14</v>
      </c>
      <c r="G40" s="711" t="n">
        <v>0</v>
      </c>
      <c r="H40" s="711" t="n">
        <v>96</v>
      </c>
      <c r="I40" s="711" t="n">
        <v>8</v>
      </c>
      <c r="J40" s="712" t="n">
        <v>96</v>
      </c>
      <c r="K40" s="711" t="n">
        <v>104</v>
      </c>
      <c r="L40" s="709" t="n">
        <v>15</v>
      </c>
      <c r="M40" s="713" t="n">
        <v>1560</v>
      </c>
      <c r="N40" s="710" t="n">
        <v>4</v>
      </c>
      <c r="O40" s="714" t="inlineStr">
        <is>
          <t>Transfer to China Market</t>
        </is>
      </c>
    </row>
    <row r="41" hidden="1" ht="18" customHeight="1" s="229">
      <c r="A41" s="715" t="inlineStr">
        <is>
          <t>NEIWAI ACTIVE X NYCB Ballet Wrap Cardigan</t>
        </is>
      </c>
      <c r="B41" s="715" t="inlineStr">
        <is>
          <t>Active</t>
        </is>
      </c>
      <c r="C41" s="715" t="inlineStr">
        <is>
          <t>NYCB collab — dead inventory, no velocity</t>
        </is>
      </c>
      <c r="D41" s="732" t="inlineStr">
        <is>
          <t>3 — MEDIUM (selldown or markdown)</t>
        </is>
      </c>
      <c r="E41" s="717" t="n">
        <v>1712.75</v>
      </c>
      <c r="F41" s="718" t="n">
        <v>16</v>
      </c>
      <c r="G41" s="719" t="n">
        <v>0</v>
      </c>
      <c r="H41" s="719" t="n">
        <v>112</v>
      </c>
      <c r="I41" s="719" t="n">
        <v>0</v>
      </c>
      <c r="J41" s="720" t="n">
        <v>112</v>
      </c>
      <c r="K41" s="719" t="n">
        <v>112</v>
      </c>
      <c r="L41" s="717" t="n">
        <v>18</v>
      </c>
      <c r="M41" s="721" t="n">
        <v>2016</v>
      </c>
      <c r="N41" s="718" t="n">
        <v>8</v>
      </c>
      <c r="O41" s="722" t="inlineStr">
        <is>
          <t>Transfer to China Market</t>
        </is>
      </c>
    </row>
    <row r="42" hidden="1" ht="18" customHeight="1" s="229">
      <c r="A42" s="690" t="inlineStr">
        <is>
          <t>Cotton Jacquard Pajama Pants</t>
        </is>
      </c>
      <c r="B42" s="690" t="inlineStr">
        <is>
          <t>Loungewear</t>
        </is>
      </c>
      <c r="C42" s="690" t="inlineStr">
        <is>
          <t>Low sales (&lt;$1K in 90 days)</t>
        </is>
      </c>
      <c r="D42" s="734" t="inlineStr">
        <is>
          <t>2 — HIGH (excess inventory vs demand)</t>
        </is>
      </c>
      <c r="E42" s="692" t="n">
        <v>681.4</v>
      </c>
      <c r="F42" s="693" t="n">
        <v>14</v>
      </c>
      <c r="G42" s="694" t="n">
        <v>0</v>
      </c>
      <c r="H42" s="694" t="n">
        <v>84</v>
      </c>
      <c r="I42" s="694" t="n">
        <v>0</v>
      </c>
      <c r="J42" s="695" t="n">
        <v>84</v>
      </c>
      <c r="K42" s="694" t="n">
        <v>84</v>
      </c>
      <c r="L42" s="692" t="n">
        <v>15</v>
      </c>
      <c r="M42" s="696" t="n">
        <v>1260</v>
      </c>
      <c r="N42" s="693" t="n">
        <v>4</v>
      </c>
      <c r="O42" s="697" t="inlineStr">
        <is>
          <t>Transfer to China Market</t>
        </is>
      </c>
    </row>
    <row r="43" hidden="1" ht="18" customHeight="1" s="229">
      <c r="A43" s="682" t="inlineStr">
        <is>
          <t>Mousse Cool Medium Support Leggings</t>
        </is>
      </c>
      <c r="B43" s="682" t="inlineStr">
        <is>
          <t>Active</t>
        </is>
      </c>
      <c r="C43" s="682" t="inlineStr">
        <is>
          <t>Negligible sales (&lt;$100 in 90 days)</t>
        </is>
      </c>
      <c r="D43" s="683" t="inlineStr">
        <is>
          <t>2 — HIGH (excess inventory vs demand)</t>
        </is>
      </c>
      <c r="E43" s="684" t="n">
        <v>80.09999999999999</v>
      </c>
      <c r="F43" s="685" t="n">
        <v>1</v>
      </c>
      <c r="G43" s="686" t="n">
        <v>0</v>
      </c>
      <c r="H43" s="686" t="n">
        <v>438</v>
      </c>
      <c r="I43" s="686" t="n">
        <v>0</v>
      </c>
      <c r="J43" s="687" t="n">
        <v>438</v>
      </c>
      <c r="K43" s="686" t="n">
        <v>438</v>
      </c>
      <c r="L43" s="684" t="n">
        <v>18</v>
      </c>
      <c r="M43" s="688" t="n">
        <v>7884</v>
      </c>
      <c r="N43" s="685" t="n">
        <v>3</v>
      </c>
      <c r="O43" s="689" t="inlineStr">
        <is>
          <t>Transfer to China Market</t>
        </is>
      </c>
    </row>
    <row r="44" hidden="1" ht="18" customHeight="1" s="229">
      <c r="A44" s="715" t="inlineStr">
        <is>
          <t>Dolce Bikini Top</t>
        </is>
      </c>
      <c r="B44" s="715" t="inlineStr">
        <is>
          <t>Active</t>
        </is>
      </c>
      <c r="C44" s="715" t="inlineStr">
        <is>
          <t>Very low sales (&lt;$500 in 90 days)</t>
        </is>
      </c>
      <c r="D44" s="716" t="inlineStr">
        <is>
          <t>2 — HIGH (excess inventory vs demand)</t>
        </is>
      </c>
      <c r="E44" s="717" t="n">
        <v>258.11</v>
      </c>
      <c r="F44" s="718" t="n">
        <v>5</v>
      </c>
      <c r="G44" s="719" t="n">
        <v>0</v>
      </c>
      <c r="H44" s="719" t="n">
        <v>162</v>
      </c>
      <c r="I44" s="719" t="n">
        <v>0</v>
      </c>
      <c r="J44" s="720" t="n">
        <v>162</v>
      </c>
      <c r="K44" s="719" t="n">
        <v>162</v>
      </c>
      <c r="L44" s="717" t="n">
        <v>18</v>
      </c>
      <c r="M44" s="721" t="n">
        <v>2916</v>
      </c>
      <c r="N44" s="718" t="n">
        <v>6</v>
      </c>
      <c r="O44" s="722" t="inlineStr">
        <is>
          <t>Transfer to China Market</t>
        </is>
      </c>
    </row>
    <row r="45" hidden="1" ht="18" customHeight="1" s="229">
      <c r="A45" s="723" t="inlineStr">
        <is>
          <t>Ribbed Modal Men's Boxer Brief</t>
        </is>
      </c>
      <c r="B45" s="723" t="inlineStr">
        <is>
          <t>Men</t>
        </is>
      </c>
      <c r="C45" s="723" t="inlineStr">
        <is>
          <t>Men's category exit</t>
        </is>
      </c>
      <c r="D45" s="724" t="inlineStr">
        <is>
          <t>3 — MEDIUM (selldown or markdown)</t>
        </is>
      </c>
      <c r="E45" s="725" t="n">
        <v>2055.46</v>
      </c>
      <c r="F45" s="726" t="n">
        <v>205</v>
      </c>
      <c r="G45" s="727" t="n">
        <v>0</v>
      </c>
      <c r="H45" s="727" t="n">
        <v>114</v>
      </c>
      <c r="I45" s="727" t="n">
        <v>728</v>
      </c>
      <c r="J45" s="728" t="n">
        <v>114</v>
      </c>
      <c r="K45" s="727" t="n">
        <v>842</v>
      </c>
      <c r="L45" s="725" t="n">
        <v>8</v>
      </c>
      <c r="M45" s="729" t="n">
        <v>6736</v>
      </c>
      <c r="N45" s="726" t="n">
        <v>19</v>
      </c>
      <c r="O45" s="730" t="inlineStr">
        <is>
          <t>Transfer to China Market</t>
        </is>
      </c>
    </row>
    <row r="46" hidden="1" ht="18" customHeight="1" s="229">
      <c r="A46" s="707" t="inlineStr">
        <is>
          <t>Silk Linen Tank</t>
        </is>
      </c>
      <c r="B46" s="707" t="inlineStr">
        <is>
          <t>Loungewear</t>
        </is>
      </c>
      <c r="C46" s="707" t="inlineStr">
        <is>
          <t>Low sales (&lt;$1K in 90 days)</t>
        </is>
      </c>
      <c r="D46" s="735" t="inlineStr">
        <is>
          <t>2 — HIGH (excess inventory vs demand)</t>
        </is>
      </c>
      <c r="E46" s="709" t="n">
        <v>562.1</v>
      </c>
      <c r="F46" s="710" t="n">
        <v>9</v>
      </c>
      <c r="G46" s="711" t="n">
        <v>0</v>
      </c>
      <c r="H46" s="711" t="n">
        <v>198</v>
      </c>
      <c r="I46" s="711" t="n">
        <v>0</v>
      </c>
      <c r="J46" s="712" t="n">
        <v>198</v>
      </c>
      <c r="K46" s="711" t="n">
        <v>198</v>
      </c>
      <c r="L46" s="709" t="n">
        <v>15</v>
      </c>
      <c r="M46" s="713" t="n">
        <v>2970</v>
      </c>
      <c r="N46" s="710" t="n">
        <v>5</v>
      </c>
      <c r="O46" s="714" t="inlineStr">
        <is>
          <t>Transfer to China Market</t>
        </is>
      </c>
    </row>
    <row r="47" hidden="1" ht="18" customHeight="1" s="229">
      <c r="A47" s="682" t="inlineStr">
        <is>
          <t>Mousse Dance Wide-Leg Pants</t>
        </is>
      </c>
      <c r="B47" s="682" t="inlineStr">
        <is>
          <t>Active</t>
        </is>
      </c>
      <c r="C47" s="682" t="inlineStr">
        <is>
          <t>Very low sales (&lt;$500 in 90 days)</t>
        </is>
      </c>
      <c r="D47" s="683" t="inlineStr">
        <is>
          <t>2 — HIGH (excess inventory vs demand)</t>
        </is>
      </c>
      <c r="E47" s="684" t="n">
        <v>347.95</v>
      </c>
      <c r="F47" s="685" t="n">
        <v>32</v>
      </c>
      <c r="G47" s="686" t="n">
        <v>0</v>
      </c>
      <c r="H47" s="686" t="n">
        <v>67</v>
      </c>
      <c r="I47" s="686" t="n">
        <v>0</v>
      </c>
      <c r="J47" s="687" t="n">
        <v>67</v>
      </c>
      <c r="K47" s="686" t="n">
        <v>67</v>
      </c>
      <c r="L47" s="684" t="n">
        <v>18</v>
      </c>
      <c r="M47" s="688" t="n">
        <v>1206</v>
      </c>
      <c r="N47" s="685" t="n">
        <v>4</v>
      </c>
      <c r="O47" s="689" t="inlineStr">
        <is>
          <t>Transfer to China Market</t>
        </is>
      </c>
    </row>
    <row r="48" hidden="1" ht="18" customHeight="1" s="229">
      <c r="A48" s="651" t="inlineStr">
        <is>
          <t>Pure Comfort Ribbed Low Waist Brief</t>
        </is>
      </c>
      <c r="B48" s="651" t="inlineStr">
        <is>
          <t>Underwear</t>
        </is>
      </c>
      <c r="C48" s="651" t="inlineStr">
        <is>
          <t>Below threshold — long tail</t>
        </is>
      </c>
      <c r="D48" s="652" t="inlineStr">
        <is>
          <t>3 — MEDIUM (selldown or markdown)</t>
        </is>
      </c>
      <c r="E48" s="653" t="n">
        <v>1572.25</v>
      </c>
      <c r="F48" s="654" t="n">
        <v>127</v>
      </c>
      <c r="G48" s="655" t="n">
        <v>0</v>
      </c>
      <c r="H48" s="655" t="n">
        <v>65</v>
      </c>
      <c r="I48" s="655" t="n">
        <v>1214</v>
      </c>
      <c r="J48" s="656" t="n">
        <v>65</v>
      </c>
      <c r="K48" s="655" t="n">
        <v>1279</v>
      </c>
      <c r="L48" s="653" t="n">
        <v>10</v>
      </c>
      <c r="M48" s="666" t="n">
        <v>12790</v>
      </c>
      <c r="N48" s="654" t="n">
        <v>11</v>
      </c>
      <c r="O48" s="680" t="inlineStr">
        <is>
          <t>Transfer to China Market</t>
        </is>
      </c>
    </row>
    <row r="49" hidden="1" ht="18" customHeight="1" s="229">
      <c r="A49" s="715" t="inlineStr">
        <is>
          <t>NEIWAI ACTIVE X NYCB Ribbed Mousse Wide Leg Pants</t>
        </is>
      </c>
      <c r="B49" s="715" t="inlineStr">
        <is>
          <t>Active</t>
        </is>
      </c>
      <c r="C49" s="715" t="inlineStr">
        <is>
          <t>NYCB collab — dead inventory, no velocity</t>
        </is>
      </c>
      <c r="D49" s="716" t="inlineStr">
        <is>
          <t>2 — HIGH (excess inventory vs demand)</t>
        </is>
      </c>
      <c r="E49" s="717" t="n">
        <v>682.91</v>
      </c>
      <c r="F49" s="718" t="n">
        <v>8</v>
      </c>
      <c r="G49" s="719" t="n">
        <v>0</v>
      </c>
      <c r="H49" s="719" t="n">
        <v>107</v>
      </c>
      <c r="I49" s="719" t="n">
        <v>0</v>
      </c>
      <c r="J49" s="720" t="n">
        <v>107</v>
      </c>
      <c r="K49" s="719" t="n">
        <v>107</v>
      </c>
      <c r="L49" s="717" t="n">
        <v>18</v>
      </c>
      <c r="M49" s="721" t="n">
        <v>1926</v>
      </c>
      <c r="N49" s="718" t="n">
        <v>6</v>
      </c>
      <c r="O49" s="722" t="inlineStr">
        <is>
          <t>Transfer to China Market</t>
        </is>
      </c>
    </row>
    <row r="50" hidden="1" ht="18" customHeight="1" s="229">
      <c r="A50" s="690" t="inlineStr">
        <is>
          <t>Cotton Wide Leg Pants</t>
        </is>
      </c>
      <c r="B50" s="690" t="inlineStr">
        <is>
          <t>Loungewear</t>
        </is>
      </c>
      <c r="C50" s="690" t="inlineStr">
        <is>
          <t>Low sales (&lt;$1K in 90 days)</t>
        </is>
      </c>
      <c r="D50" s="734" t="inlineStr">
        <is>
          <t>2 — HIGH (excess inventory vs demand)</t>
        </is>
      </c>
      <c r="E50" s="692" t="n">
        <v>641.05</v>
      </c>
      <c r="F50" s="693" t="n">
        <v>7</v>
      </c>
      <c r="G50" s="694" t="n">
        <v>0</v>
      </c>
      <c r="H50" s="694" t="n">
        <v>178</v>
      </c>
      <c r="I50" s="694" t="n">
        <v>0</v>
      </c>
      <c r="J50" s="695" t="n">
        <v>178</v>
      </c>
      <c r="K50" s="694" t="n">
        <v>178</v>
      </c>
      <c r="L50" s="692" t="n">
        <v>15</v>
      </c>
      <c r="M50" s="696" t="n">
        <v>2670</v>
      </c>
      <c r="N50" s="693" t="n">
        <v>4</v>
      </c>
      <c r="O50" s="697" t="inlineStr">
        <is>
          <t>Transfer to China Market</t>
        </is>
      </c>
    </row>
    <row r="51" hidden="1" ht="18" customHeight="1" s="229">
      <c r="A51" s="682" t="inlineStr">
        <is>
          <t>NEIWAI ACTIVE X NYCB Light Woven Joggers</t>
        </is>
      </c>
      <c r="B51" s="682" t="inlineStr">
        <is>
          <t>Active</t>
        </is>
      </c>
      <c r="C51" s="682" t="inlineStr">
        <is>
          <t>NYCB collab — dead inventory, no velocity</t>
        </is>
      </c>
      <c r="D51" s="683" t="inlineStr">
        <is>
          <t>2 — HIGH (excess inventory vs demand)</t>
        </is>
      </c>
      <c r="E51" s="684" t="n">
        <v>892.5</v>
      </c>
      <c r="F51" s="685" t="n">
        <v>10</v>
      </c>
      <c r="G51" s="686" t="n">
        <v>0</v>
      </c>
      <c r="H51" s="686" t="n">
        <v>118</v>
      </c>
      <c r="I51" s="686" t="n">
        <v>0</v>
      </c>
      <c r="J51" s="687" t="n">
        <v>118</v>
      </c>
      <c r="K51" s="686" t="n">
        <v>118</v>
      </c>
      <c r="L51" s="684" t="n">
        <v>18</v>
      </c>
      <c r="M51" s="688" t="n">
        <v>2124</v>
      </c>
      <c r="N51" s="685" t="n">
        <v>6</v>
      </c>
      <c r="O51" s="689" t="inlineStr">
        <is>
          <t>Transfer to China Market</t>
        </is>
      </c>
    </row>
    <row r="52" hidden="1" ht="18" customHeight="1" s="229">
      <c r="A52" s="715" t="inlineStr">
        <is>
          <t>Mousse Light Support Leggings</t>
        </is>
      </c>
      <c r="B52" s="715" t="inlineStr">
        <is>
          <t>Active</t>
        </is>
      </c>
      <c r="C52" s="715" t="inlineStr">
        <is>
          <t>Active category rationalization</t>
        </is>
      </c>
      <c r="D52" s="732" t="inlineStr">
        <is>
          <t>3 — MEDIUM (selldown or markdown)</t>
        </is>
      </c>
      <c r="E52" s="717" t="n">
        <v>1649.02</v>
      </c>
      <c r="F52" s="718" t="n">
        <v>69</v>
      </c>
      <c r="G52" s="719" t="n">
        <v>3</v>
      </c>
      <c r="H52" s="719" t="n">
        <v>83</v>
      </c>
      <c r="I52" s="719" t="n">
        <v>446</v>
      </c>
      <c r="J52" s="720" t="n">
        <v>86</v>
      </c>
      <c r="K52" s="719" t="n">
        <v>532</v>
      </c>
      <c r="L52" s="717" t="n">
        <v>18</v>
      </c>
      <c r="M52" s="721" t="n">
        <v>9576</v>
      </c>
      <c r="N52" s="718" t="n">
        <v>19</v>
      </c>
      <c r="O52" s="736" t="inlineStr">
        <is>
          <t>Split: Flash Sale (US) + Transfer to China</t>
        </is>
      </c>
    </row>
    <row r="53" hidden="1" ht="18" customHeight="1" s="229">
      <c r="A53" s="658" t="inlineStr">
        <is>
          <t>Pure Comfort Modal Mid Waist Brief</t>
        </is>
      </c>
      <c r="B53" s="658" t="inlineStr">
        <is>
          <t>Underwear</t>
        </is>
      </c>
      <c r="C53" s="658" t="inlineStr">
        <is>
          <t>Below threshold — long tail</t>
        </is>
      </c>
      <c r="D53" s="668" t="inlineStr">
        <is>
          <t>3 — MEDIUM (selldown or markdown)</t>
        </is>
      </c>
      <c r="E53" s="660" t="n">
        <v>2667.37</v>
      </c>
      <c r="F53" s="661" t="n">
        <v>182</v>
      </c>
      <c r="G53" s="662" t="n">
        <v>0</v>
      </c>
      <c r="H53" s="662" t="n">
        <v>83</v>
      </c>
      <c r="I53" s="662" t="n">
        <v>1947</v>
      </c>
      <c r="J53" s="663" t="n">
        <v>83</v>
      </c>
      <c r="K53" s="662" t="n">
        <v>2030</v>
      </c>
      <c r="L53" s="660" t="n">
        <v>10</v>
      </c>
      <c r="M53" s="669" t="n">
        <v>20300</v>
      </c>
      <c r="N53" s="661" t="n">
        <v>22</v>
      </c>
      <c r="O53" s="681" t="inlineStr">
        <is>
          <t>Transfer to China Market</t>
        </is>
      </c>
    </row>
    <row r="54" hidden="1" ht="18" customHeight="1" s="229">
      <c r="A54" s="707" t="inlineStr">
        <is>
          <t>Knitted Tapered Joggers</t>
        </is>
      </c>
      <c r="B54" s="707" t="inlineStr">
        <is>
          <t>Loungewear</t>
        </is>
      </c>
      <c r="C54" s="707" t="inlineStr">
        <is>
          <t>Very low sales (&lt;$500 in 90 days)</t>
        </is>
      </c>
      <c r="D54" s="735" t="inlineStr">
        <is>
          <t>2 — HIGH (excess inventory vs demand)</t>
        </is>
      </c>
      <c r="E54" s="709" t="n">
        <v>417.9</v>
      </c>
      <c r="F54" s="710" t="n">
        <v>6</v>
      </c>
      <c r="G54" s="711" t="n">
        <v>0</v>
      </c>
      <c r="H54" s="711" t="n">
        <v>94</v>
      </c>
      <c r="I54" s="711" t="n">
        <v>8</v>
      </c>
      <c r="J54" s="712" t="n">
        <v>94</v>
      </c>
      <c r="K54" s="711" t="n">
        <v>102</v>
      </c>
      <c r="L54" s="709" t="n">
        <v>15</v>
      </c>
      <c r="M54" s="713" t="n">
        <v>1530</v>
      </c>
      <c r="N54" s="710" t="n">
        <v>4</v>
      </c>
      <c r="O54" s="714" t="inlineStr">
        <is>
          <t>Transfer to China Market</t>
        </is>
      </c>
    </row>
    <row r="55" hidden="1" ht="18" customHeight="1" s="229">
      <c r="A55" s="682" t="inlineStr">
        <is>
          <t>Dance Ruched Long Sleeve Top</t>
        </is>
      </c>
      <c r="B55" s="682" t="inlineStr">
        <is>
          <t>Active</t>
        </is>
      </c>
      <c r="C55" s="682" t="inlineStr">
        <is>
          <t>Negligible sales (&lt;$100 in 90 days)</t>
        </is>
      </c>
      <c r="D55" s="683" t="inlineStr">
        <is>
          <t>2 — HIGH (excess inventory vs demand)</t>
        </is>
      </c>
      <c r="E55" s="684" t="n">
        <v>69.3</v>
      </c>
      <c r="F55" s="685" t="n">
        <v>10</v>
      </c>
      <c r="G55" s="686" t="n">
        <v>0</v>
      </c>
      <c r="H55" s="686" t="n">
        <v>174</v>
      </c>
      <c r="I55" s="686" t="n">
        <v>0</v>
      </c>
      <c r="J55" s="687" t="n">
        <v>174</v>
      </c>
      <c r="K55" s="686" t="n">
        <v>174</v>
      </c>
      <c r="L55" s="684" t="n">
        <v>18</v>
      </c>
      <c r="M55" s="688" t="n">
        <v>3132</v>
      </c>
      <c r="N55" s="685" t="n">
        <v>4</v>
      </c>
      <c r="O55" s="689" t="inlineStr">
        <is>
          <t>Transfer to China Market</t>
        </is>
      </c>
    </row>
    <row r="56" hidden="1" ht="18" customHeight="1" s="229">
      <c r="A56" s="715" t="inlineStr">
        <is>
          <t>Ballet Longsleeve Tee</t>
        </is>
      </c>
      <c r="B56" s="715" t="inlineStr">
        <is>
          <t>Active</t>
        </is>
      </c>
      <c r="C56" s="715" t="inlineStr">
        <is>
          <t>Low sales (&lt;$1K in 90 days)</t>
        </is>
      </c>
      <c r="D56" s="716" t="inlineStr">
        <is>
          <t>2 — HIGH (excess inventory vs demand)</t>
        </is>
      </c>
      <c r="E56" s="717" t="n">
        <v>961.8200000000001</v>
      </c>
      <c r="F56" s="718" t="n">
        <v>31</v>
      </c>
      <c r="G56" s="719" t="n">
        <v>0</v>
      </c>
      <c r="H56" s="719" t="n">
        <v>71</v>
      </c>
      <c r="I56" s="719" t="n">
        <v>0</v>
      </c>
      <c r="J56" s="720" t="n">
        <v>71</v>
      </c>
      <c r="K56" s="719" t="n">
        <v>71</v>
      </c>
      <c r="L56" s="717" t="n">
        <v>18</v>
      </c>
      <c r="M56" s="721" t="n">
        <v>1278</v>
      </c>
      <c r="N56" s="718" t="n">
        <v>12</v>
      </c>
      <c r="O56" s="722" t="inlineStr">
        <is>
          <t>Transfer to China Market</t>
        </is>
      </c>
    </row>
    <row r="57" hidden="1" ht="18" customHeight="1" s="229">
      <c r="A57" s="682" t="inlineStr">
        <is>
          <t>Mousse Fixed Cup Racerback Sports Bra</t>
        </is>
      </c>
      <c r="B57" s="682" t="inlineStr">
        <is>
          <t>Active</t>
        </is>
      </c>
      <c r="C57" s="682" t="inlineStr">
        <is>
          <t>Very low sales (&lt;$500 in 90 days)</t>
        </is>
      </c>
      <c r="D57" s="683" t="inlineStr">
        <is>
          <t>2 — HIGH (excess inventory vs demand)</t>
        </is>
      </c>
      <c r="E57" s="684" t="n">
        <v>116.25</v>
      </c>
      <c r="F57" s="685" t="n">
        <v>9</v>
      </c>
      <c r="G57" s="686" t="n">
        <v>0</v>
      </c>
      <c r="H57" s="686" t="n">
        <v>84</v>
      </c>
      <c r="I57" s="686" t="n">
        <v>0</v>
      </c>
      <c r="J57" s="687" t="n">
        <v>84</v>
      </c>
      <c r="K57" s="686" t="n">
        <v>84</v>
      </c>
      <c r="L57" s="684" t="n">
        <v>18</v>
      </c>
      <c r="M57" s="688" t="n">
        <v>1512</v>
      </c>
      <c r="N57" s="685" t="n">
        <v>3</v>
      </c>
      <c r="O57" s="689" t="inlineStr">
        <is>
          <t>Transfer to China Market</t>
        </is>
      </c>
    </row>
    <row r="58" hidden="1" ht="18" customHeight="1" s="229">
      <c r="A58" s="715" t="inlineStr">
        <is>
          <t>Cargo Pants</t>
        </is>
      </c>
      <c r="B58" s="715" t="inlineStr">
        <is>
          <t>Active</t>
        </is>
      </c>
      <c r="C58" s="715" t="inlineStr">
        <is>
          <t>Very low sales (&lt;$500 in 90 days)</t>
        </is>
      </c>
      <c r="D58" s="716" t="inlineStr">
        <is>
          <t>2 — HIGH (excess inventory vs demand)</t>
        </is>
      </c>
      <c r="E58" s="717" t="n">
        <v>418.75</v>
      </c>
      <c r="F58" s="718" t="n">
        <v>4</v>
      </c>
      <c r="G58" s="719" t="n">
        <v>0</v>
      </c>
      <c r="H58" s="719" t="n">
        <v>70</v>
      </c>
      <c r="I58" s="719" t="n">
        <v>0</v>
      </c>
      <c r="J58" s="720" t="n">
        <v>70</v>
      </c>
      <c r="K58" s="719" t="n">
        <v>70</v>
      </c>
      <c r="L58" s="717" t="n">
        <v>18</v>
      </c>
      <c r="M58" s="721" t="n">
        <v>1260</v>
      </c>
      <c r="N58" s="718" t="n">
        <v>8</v>
      </c>
      <c r="O58" s="722" t="inlineStr">
        <is>
          <t>Transfer to China Market</t>
        </is>
      </c>
    </row>
    <row r="59" hidden="1" ht="18" customHeight="1" s="229">
      <c r="A59" s="699" t="inlineStr">
        <is>
          <t>Men's Modal Brief (3-Pack)</t>
        </is>
      </c>
      <c r="B59" s="699" t="inlineStr">
        <is>
          <t>Men</t>
        </is>
      </c>
      <c r="C59" s="699" t="inlineStr">
        <is>
          <t>Men's category exit</t>
        </is>
      </c>
      <c r="D59" s="700" t="inlineStr">
        <is>
          <t>3 — MEDIUM (selldown or markdown)</t>
        </is>
      </c>
      <c r="E59" s="701" t="n">
        <v>2509.35</v>
      </c>
      <c r="F59" s="702" t="n">
        <v>83</v>
      </c>
      <c r="G59" s="703" t="n">
        <v>0</v>
      </c>
      <c r="H59" s="703" t="n">
        <v>55</v>
      </c>
      <c r="I59" s="703" t="n">
        <v>222</v>
      </c>
      <c r="J59" s="704" t="n">
        <v>55</v>
      </c>
      <c r="K59" s="703" t="n">
        <v>277</v>
      </c>
      <c r="L59" s="701" t="n">
        <v>8</v>
      </c>
      <c r="M59" s="705" t="n">
        <v>2216</v>
      </c>
      <c r="N59" s="702" t="n">
        <v>4</v>
      </c>
      <c r="O59" s="706" t="inlineStr">
        <is>
          <t>Transfer to China Market</t>
        </is>
      </c>
    </row>
    <row r="60" hidden="1" ht="18" customHeight="1" s="229">
      <c r="A60" s="682" t="inlineStr">
        <is>
          <t>Urban Sport Stirrup Legging</t>
        </is>
      </c>
      <c r="B60" s="682" t="inlineStr">
        <is>
          <t>Active</t>
        </is>
      </c>
      <c r="C60" s="682" t="inlineStr">
        <is>
          <t>Very low sales (&lt;$500 in 90 days)</t>
        </is>
      </c>
      <c r="D60" s="683" t="inlineStr">
        <is>
          <t>2 — HIGH (excess inventory vs demand)</t>
        </is>
      </c>
      <c r="E60" s="684" t="n">
        <v>464.9</v>
      </c>
      <c r="F60" s="685" t="n">
        <v>11</v>
      </c>
      <c r="G60" s="686" t="n">
        <v>0</v>
      </c>
      <c r="H60" s="686" t="n">
        <v>110</v>
      </c>
      <c r="I60" s="686" t="n">
        <v>0</v>
      </c>
      <c r="J60" s="687" t="n">
        <v>110</v>
      </c>
      <c r="K60" s="686" t="n">
        <v>110</v>
      </c>
      <c r="L60" s="684" t="n">
        <v>18</v>
      </c>
      <c r="M60" s="688" t="n">
        <v>1980</v>
      </c>
      <c r="N60" s="685" t="n">
        <v>4</v>
      </c>
      <c r="O60" s="689" t="inlineStr">
        <is>
          <t>Transfer to China Market</t>
        </is>
      </c>
    </row>
    <row r="61" hidden="1" ht="18" customHeight="1" s="229">
      <c r="A61" s="690" t="inlineStr">
        <is>
          <t>Sun Block Shirt</t>
        </is>
      </c>
      <c r="B61" s="690" t="inlineStr">
        <is>
          <t>Loungewear</t>
        </is>
      </c>
      <c r="C61" s="690" t="inlineStr">
        <is>
          <t>Very low sales (&lt;$500 in 90 days)</t>
        </is>
      </c>
      <c r="D61" s="734" t="inlineStr">
        <is>
          <t>2 — HIGH (excess inventory vs demand)</t>
        </is>
      </c>
      <c r="E61" s="692" t="n">
        <v>352.16</v>
      </c>
      <c r="F61" s="693" t="n">
        <v>7</v>
      </c>
      <c r="G61" s="694" t="n">
        <v>21</v>
      </c>
      <c r="H61" s="694" t="n">
        <v>48</v>
      </c>
      <c r="I61" s="694" t="n">
        <v>0</v>
      </c>
      <c r="J61" s="695" t="n">
        <v>69</v>
      </c>
      <c r="K61" s="694" t="n">
        <v>69</v>
      </c>
      <c r="L61" s="692" t="n">
        <v>15</v>
      </c>
      <c r="M61" s="696" t="n">
        <v>1035</v>
      </c>
      <c r="N61" s="693" t="n">
        <v>4</v>
      </c>
      <c r="O61" s="737" t="inlineStr">
        <is>
          <t>Split: Flash Sale (US) + Transfer to China</t>
        </is>
      </c>
    </row>
    <row r="62" hidden="1" ht="18" customHeight="1" s="229">
      <c r="A62" s="651" t="inlineStr">
        <is>
          <t>Nude Shape Low Waist Brief</t>
        </is>
      </c>
      <c r="B62" s="651" t="inlineStr">
        <is>
          <t>Underwear</t>
        </is>
      </c>
      <c r="C62" s="651" t="inlineStr">
        <is>
          <t>Very low sales (&lt;$500 in 90 days)</t>
        </is>
      </c>
      <c r="D62" s="698" t="inlineStr">
        <is>
          <t>2 — HIGH (excess inventory vs demand)</t>
        </is>
      </c>
      <c r="E62" s="653" t="n">
        <v>119.13</v>
      </c>
      <c r="F62" s="654" t="n">
        <v>11</v>
      </c>
      <c r="G62" s="655" t="n">
        <v>0</v>
      </c>
      <c r="H62" s="655" t="n">
        <v>55</v>
      </c>
      <c r="I62" s="655" t="n">
        <v>0</v>
      </c>
      <c r="J62" s="656" t="n">
        <v>55</v>
      </c>
      <c r="K62" s="655" t="n">
        <v>55</v>
      </c>
      <c r="L62" s="653" t="n">
        <v>10</v>
      </c>
      <c r="M62" s="666" t="n">
        <v>550</v>
      </c>
      <c r="N62" s="654" t="n">
        <v>3</v>
      </c>
      <c r="O62" s="680" t="inlineStr">
        <is>
          <t>Transfer to China Market</t>
        </is>
      </c>
    </row>
    <row r="63" hidden="1" ht="18" customHeight="1" s="229">
      <c r="A63" s="715" t="inlineStr">
        <is>
          <t>High Support Sports Bra</t>
        </is>
      </c>
      <c r="B63" s="715" t="inlineStr">
        <is>
          <t>Active</t>
        </is>
      </c>
      <c r="C63" s="715" t="inlineStr">
        <is>
          <t>Active category rationalization</t>
        </is>
      </c>
      <c r="D63" s="732" t="inlineStr">
        <is>
          <t>3 — MEDIUM (selldown or markdown)</t>
        </is>
      </c>
      <c r="E63" s="717" t="n">
        <v>2422.81</v>
      </c>
      <c r="F63" s="718" t="n">
        <v>40</v>
      </c>
      <c r="G63" s="719" t="n">
        <v>27</v>
      </c>
      <c r="H63" s="719" t="n">
        <v>59</v>
      </c>
      <c r="I63" s="719" t="n">
        <v>444</v>
      </c>
      <c r="J63" s="720" t="n">
        <v>86</v>
      </c>
      <c r="K63" s="719" t="n">
        <v>530</v>
      </c>
      <c r="L63" s="717" t="n">
        <v>18</v>
      </c>
      <c r="M63" s="721" t="n">
        <v>9540</v>
      </c>
      <c r="N63" s="718" t="n">
        <v>19</v>
      </c>
      <c r="O63" s="736" t="inlineStr">
        <is>
          <t>Split: Flash Sale (US) + Transfer to China</t>
        </is>
      </c>
    </row>
    <row r="64" hidden="1" ht="18" customHeight="1" s="229">
      <c r="A64" s="682" t="inlineStr">
        <is>
          <t>NEIWAI ACTIVE X NYCB Polartec Fleece Sweatpants</t>
        </is>
      </c>
      <c r="B64" s="682" t="inlineStr">
        <is>
          <t>Active</t>
        </is>
      </c>
      <c r="C64" s="682" t="inlineStr">
        <is>
          <t>NYCB collab — dead inventory, no velocity</t>
        </is>
      </c>
      <c r="D64" s="683" t="inlineStr">
        <is>
          <t>2 — HIGH (excess inventory vs demand)</t>
        </is>
      </c>
      <c r="E64" s="684" t="n">
        <v>733.1800000000001</v>
      </c>
      <c r="F64" s="685" t="n">
        <v>8</v>
      </c>
      <c r="G64" s="686" t="n">
        <v>1</v>
      </c>
      <c r="H64" s="686" t="n">
        <v>100</v>
      </c>
      <c r="I64" s="686" t="n">
        <v>0</v>
      </c>
      <c r="J64" s="687" t="n">
        <v>101</v>
      </c>
      <c r="K64" s="686" t="n">
        <v>101</v>
      </c>
      <c r="L64" s="684" t="n">
        <v>18</v>
      </c>
      <c r="M64" s="688" t="n">
        <v>1818</v>
      </c>
      <c r="N64" s="685" t="n">
        <v>6</v>
      </c>
      <c r="O64" s="738" t="inlineStr">
        <is>
          <t>Split: Flash Sale (US) + Transfer to China</t>
        </is>
      </c>
    </row>
    <row r="65" hidden="1" ht="18" customHeight="1" s="229">
      <c r="A65" s="739" t="inlineStr">
        <is>
          <t>Crossbody Sport Bag</t>
        </is>
      </c>
      <c r="B65" s="739" t="inlineStr">
        <is>
          <t>Accessories</t>
        </is>
      </c>
      <c r="C65" s="739" t="inlineStr">
        <is>
          <t>Very low sales (&lt;$500 in 90 days)</t>
        </is>
      </c>
      <c r="D65" s="740" t="inlineStr">
        <is>
          <t>2 — HIGH (excess inventory vs demand)</t>
        </is>
      </c>
      <c r="E65" s="741" t="n">
        <v>377.59</v>
      </c>
      <c r="F65" s="742" t="n">
        <v>6</v>
      </c>
      <c r="G65" s="743" t="n">
        <v>0</v>
      </c>
      <c r="H65" s="743" t="n">
        <v>65</v>
      </c>
      <c r="I65" s="743" t="n">
        <v>0</v>
      </c>
      <c r="J65" s="744" t="n">
        <v>65</v>
      </c>
      <c r="K65" s="743" t="n">
        <v>65</v>
      </c>
      <c r="L65" s="741" t="n">
        <v>8</v>
      </c>
      <c r="M65" s="745" t="n">
        <v>520</v>
      </c>
      <c r="N65" s="742" t="n">
        <v>2</v>
      </c>
      <c r="O65" s="746" t="inlineStr">
        <is>
          <t>Transfer to China Market</t>
        </is>
      </c>
    </row>
    <row r="66" hidden="1" ht="18" customHeight="1" s="229">
      <c r="A66" s="715" t="inlineStr">
        <is>
          <t>NEIWAI ACTIVE X NYCB Beanie</t>
        </is>
      </c>
      <c r="B66" s="715" t="inlineStr">
        <is>
          <t>Active</t>
        </is>
      </c>
      <c r="C66" s="715" t="inlineStr">
        <is>
          <t>NYCB collab — dead inventory, no velocity</t>
        </is>
      </c>
      <c r="D66" s="716" t="inlineStr">
        <is>
          <t>2 — HIGH (excess inventory vs demand)</t>
        </is>
      </c>
      <c r="E66" s="717" t="n">
        <v>312.62</v>
      </c>
      <c r="F66" s="718" t="n">
        <v>9</v>
      </c>
      <c r="G66" s="719" t="n">
        <v>9</v>
      </c>
      <c r="H66" s="719" t="n">
        <v>58</v>
      </c>
      <c r="I66" s="719" t="n">
        <v>0</v>
      </c>
      <c r="J66" s="720" t="n">
        <v>67</v>
      </c>
      <c r="K66" s="719" t="n">
        <v>67</v>
      </c>
      <c r="L66" s="717" t="n">
        <v>18</v>
      </c>
      <c r="M66" s="721" t="n">
        <v>1206</v>
      </c>
      <c r="N66" s="718" t="n">
        <v>3</v>
      </c>
      <c r="O66" s="736" t="inlineStr">
        <is>
          <t>Split: Flash Sale (US) + Transfer to China</t>
        </is>
      </c>
    </row>
    <row r="67" hidden="1" ht="18" customHeight="1" s="229">
      <c r="A67" s="723" t="inlineStr">
        <is>
          <t>Men's Crew Neck Short-Sleeve Undershirt</t>
        </is>
      </c>
      <c r="B67" s="723" t="inlineStr">
        <is>
          <t>Men</t>
        </is>
      </c>
      <c r="C67" s="723" t="inlineStr">
        <is>
          <t>Low sales (&lt;$1K in 90 days)</t>
        </is>
      </c>
      <c r="D67" s="747" t="inlineStr">
        <is>
          <t>2 — HIGH (excess inventory vs demand)</t>
        </is>
      </c>
      <c r="E67" s="725" t="n">
        <v>693.42</v>
      </c>
      <c r="F67" s="726" t="n">
        <v>37</v>
      </c>
      <c r="G67" s="727" t="n">
        <v>0</v>
      </c>
      <c r="H67" s="727" t="n">
        <v>79</v>
      </c>
      <c r="I67" s="727" t="n">
        <v>2336</v>
      </c>
      <c r="J67" s="728" t="n">
        <v>79</v>
      </c>
      <c r="K67" s="727" t="n">
        <v>2415</v>
      </c>
      <c r="L67" s="725" t="n">
        <v>8</v>
      </c>
      <c r="M67" s="729" t="n">
        <v>19320</v>
      </c>
      <c r="N67" s="726" t="n">
        <v>13</v>
      </c>
      <c r="O67" s="730" t="inlineStr">
        <is>
          <t>Transfer to China Market</t>
        </is>
      </c>
    </row>
    <row r="68" hidden="1" ht="18" customHeight="1" s="229">
      <c r="A68" s="658" t="inlineStr">
        <is>
          <t>Silk Blend Briefs (3 Pack)</t>
        </is>
      </c>
      <c r="B68" s="658" t="inlineStr">
        <is>
          <t>Underwear</t>
        </is>
      </c>
      <c r="C68" s="658" t="inlineStr">
        <is>
          <t>Below threshold — long tail</t>
        </is>
      </c>
      <c r="D68" s="668" t="inlineStr">
        <is>
          <t>3 — MEDIUM (selldown or markdown)</t>
        </is>
      </c>
      <c r="E68" s="660" t="n">
        <v>4227.03</v>
      </c>
      <c r="F68" s="661" t="n">
        <v>112</v>
      </c>
      <c r="G68" s="662" t="n">
        <v>0</v>
      </c>
      <c r="H68" s="662" t="n">
        <v>51</v>
      </c>
      <c r="I68" s="662" t="n">
        <v>0</v>
      </c>
      <c r="J68" s="663" t="n">
        <v>51</v>
      </c>
      <c r="K68" s="662" t="n">
        <v>51</v>
      </c>
      <c r="L68" s="660" t="n">
        <v>10</v>
      </c>
      <c r="M68" s="669" t="n">
        <v>510</v>
      </c>
      <c r="N68" s="661" t="n">
        <v>4</v>
      </c>
      <c r="O68" s="681" t="inlineStr">
        <is>
          <t>Transfer to China Market</t>
        </is>
      </c>
    </row>
    <row r="69" hidden="1" ht="18" customHeight="1" s="229">
      <c r="A69" s="682" t="inlineStr">
        <is>
          <t>NEIWAI ACTIVE X NYCB Waffle Short-Sleeve T-Shirt</t>
        </is>
      </c>
      <c r="B69" s="682" t="inlineStr">
        <is>
          <t>Active</t>
        </is>
      </c>
      <c r="C69" s="682" t="inlineStr">
        <is>
          <t>NYCB collab — dead inventory, no velocity</t>
        </is>
      </c>
      <c r="D69" s="683" t="inlineStr">
        <is>
          <t>2 — HIGH (excess inventory vs demand)</t>
        </is>
      </c>
      <c r="E69" s="684" t="n">
        <v>127.5</v>
      </c>
      <c r="F69" s="685" t="n">
        <v>2</v>
      </c>
      <c r="G69" s="686" t="n">
        <v>0</v>
      </c>
      <c r="H69" s="686" t="n">
        <v>145</v>
      </c>
      <c r="I69" s="686" t="n">
        <v>0</v>
      </c>
      <c r="J69" s="687" t="n">
        <v>145</v>
      </c>
      <c r="K69" s="686" t="n">
        <v>145</v>
      </c>
      <c r="L69" s="684" t="n">
        <v>18</v>
      </c>
      <c r="M69" s="688" t="n">
        <v>2610</v>
      </c>
      <c r="N69" s="685" t="n">
        <v>5</v>
      </c>
      <c r="O69" s="689" t="inlineStr">
        <is>
          <t>Transfer to China Market</t>
        </is>
      </c>
    </row>
    <row r="70" hidden="1" ht="18" customHeight="1" s="229">
      <c r="A70" s="651" t="inlineStr">
        <is>
          <t>Self Silk Triangle Bra</t>
        </is>
      </c>
      <c r="B70" s="651" t="inlineStr">
        <is>
          <t>Underwear</t>
        </is>
      </c>
      <c r="C70" s="651" t="inlineStr">
        <is>
          <t>Below threshold — long tail</t>
        </is>
      </c>
      <c r="D70" s="652" t="inlineStr">
        <is>
          <t>3 — MEDIUM (selldown or markdown)</t>
        </is>
      </c>
      <c r="E70" s="653" t="n">
        <v>2259.88</v>
      </c>
      <c r="F70" s="654" t="n">
        <v>55</v>
      </c>
      <c r="G70" s="655" t="n">
        <v>4</v>
      </c>
      <c r="H70" s="655" t="n">
        <v>50</v>
      </c>
      <c r="I70" s="655" t="n">
        <v>19</v>
      </c>
      <c r="J70" s="656" t="n">
        <v>54</v>
      </c>
      <c r="K70" s="655" t="n">
        <v>73</v>
      </c>
      <c r="L70" s="653" t="n">
        <v>10</v>
      </c>
      <c r="M70" s="666" t="n">
        <v>730</v>
      </c>
      <c r="N70" s="654" t="n">
        <v>3</v>
      </c>
      <c r="O70" s="667" t="inlineStr">
        <is>
          <t>Split: Flash Sale (US) + Transfer to China</t>
        </is>
      </c>
    </row>
    <row r="71" hidden="1" ht="18" customHeight="1" s="229">
      <c r="A71" s="658" t="inlineStr">
        <is>
          <t>Pure Comfort Premium Jacquard Bra</t>
        </is>
      </c>
      <c r="B71" s="658" t="inlineStr">
        <is>
          <t>Underwear</t>
        </is>
      </c>
      <c r="C71" s="658" t="inlineStr">
        <is>
          <t>Below threshold — long tail</t>
        </is>
      </c>
      <c r="D71" s="668" t="inlineStr">
        <is>
          <t>3 — MEDIUM (selldown or markdown)</t>
        </is>
      </c>
      <c r="E71" s="660" t="n">
        <v>2385.8</v>
      </c>
      <c r="F71" s="661" t="n">
        <v>37</v>
      </c>
      <c r="G71" s="662" t="n">
        <v>20</v>
      </c>
      <c r="H71" s="662" t="n">
        <v>36</v>
      </c>
      <c r="I71" s="662" t="n">
        <v>139</v>
      </c>
      <c r="J71" s="663" t="n">
        <v>56</v>
      </c>
      <c r="K71" s="662" t="n">
        <v>195</v>
      </c>
      <c r="L71" s="660" t="n">
        <v>10</v>
      </c>
      <c r="M71" s="669" t="n">
        <v>1950</v>
      </c>
      <c r="N71" s="661" t="n">
        <v>12</v>
      </c>
      <c r="O71" s="670" t="inlineStr">
        <is>
          <t>Split: Flash Sale (US) + Transfer to China</t>
        </is>
      </c>
    </row>
    <row r="72" hidden="1" ht="18" customHeight="1" s="229">
      <c r="A72" s="715" t="inlineStr">
        <is>
          <t>Hooded Coat</t>
        </is>
      </c>
      <c r="B72" s="715" t="inlineStr">
        <is>
          <t>Active</t>
        </is>
      </c>
      <c r="C72" s="715" t="inlineStr">
        <is>
          <t>Very low sales (&lt;$500 in 90 days)</t>
        </is>
      </c>
      <c r="D72" s="716" t="inlineStr">
        <is>
          <t>2 — HIGH (excess inventory vs demand)</t>
        </is>
      </c>
      <c r="E72" s="717" t="n">
        <v>227.5</v>
      </c>
      <c r="F72" s="718" t="n">
        <v>1</v>
      </c>
      <c r="G72" s="719" t="n">
        <v>0</v>
      </c>
      <c r="H72" s="719" t="n">
        <v>168</v>
      </c>
      <c r="I72" s="719" t="n">
        <v>0</v>
      </c>
      <c r="J72" s="720" t="n">
        <v>168</v>
      </c>
      <c r="K72" s="719" t="n">
        <v>168</v>
      </c>
      <c r="L72" s="717" t="n">
        <v>18</v>
      </c>
      <c r="M72" s="721" t="n">
        <v>3024</v>
      </c>
      <c r="N72" s="718" t="n">
        <v>4</v>
      </c>
      <c r="O72" s="722" t="inlineStr">
        <is>
          <t>Transfer to China Market</t>
        </is>
      </c>
    </row>
    <row r="73" hidden="1" ht="18" customHeight="1" s="229">
      <c r="A73" s="682" t="inlineStr">
        <is>
          <t>NEIWAI ACTIVE X NYCB Mousse Medium Support Long Sports Bra</t>
        </is>
      </c>
      <c r="B73" s="682" t="inlineStr">
        <is>
          <t>Active</t>
        </is>
      </c>
      <c r="C73" s="682" t="inlineStr">
        <is>
          <t>NYCB collab — dead inventory, no velocity</t>
        </is>
      </c>
      <c r="D73" s="733" t="inlineStr">
        <is>
          <t>3 — MEDIUM (selldown or markdown)</t>
        </is>
      </c>
      <c r="E73" s="684" t="n">
        <v>1734.93</v>
      </c>
      <c r="F73" s="685" t="n">
        <v>26</v>
      </c>
      <c r="G73" s="686" t="n">
        <v>2</v>
      </c>
      <c r="H73" s="686" t="n">
        <v>94</v>
      </c>
      <c r="I73" s="686" t="n">
        <v>36</v>
      </c>
      <c r="J73" s="687" t="n">
        <v>96</v>
      </c>
      <c r="K73" s="686" t="n">
        <v>132</v>
      </c>
      <c r="L73" s="684" t="n">
        <v>18</v>
      </c>
      <c r="M73" s="688" t="n">
        <v>2376</v>
      </c>
      <c r="N73" s="685" t="n">
        <v>10</v>
      </c>
      <c r="O73" s="738" t="inlineStr">
        <is>
          <t>Split: Flash Sale (US) + Transfer to China</t>
        </is>
      </c>
    </row>
    <row r="74" hidden="1" ht="18" customHeight="1" s="229">
      <c r="A74" s="651" t="inlineStr">
        <is>
          <t>Twin Cross Wide Strap Plunge Contour Bra 2.0</t>
        </is>
      </c>
      <c r="B74" s="651" t="inlineStr">
        <is>
          <t>Underwear</t>
        </is>
      </c>
      <c r="C74" s="651" t="inlineStr">
        <is>
          <t>Below threshold — long tail</t>
        </is>
      </c>
      <c r="D74" s="652" t="inlineStr">
        <is>
          <t>3 — MEDIUM (selldown or markdown)</t>
        </is>
      </c>
      <c r="E74" s="653" t="n">
        <v>2822.61</v>
      </c>
      <c r="F74" s="654" t="n">
        <v>80</v>
      </c>
      <c r="G74" s="655" t="n">
        <v>0</v>
      </c>
      <c r="H74" s="655" t="n">
        <v>57</v>
      </c>
      <c r="I74" s="655" t="n">
        <v>914</v>
      </c>
      <c r="J74" s="656" t="n">
        <v>57</v>
      </c>
      <c r="K74" s="655" t="n">
        <v>971</v>
      </c>
      <c r="L74" s="653" t="n">
        <v>10</v>
      </c>
      <c r="M74" s="666" t="n">
        <v>9710</v>
      </c>
      <c r="N74" s="654" t="n">
        <v>16</v>
      </c>
      <c r="O74" s="680" t="inlineStr">
        <is>
          <t>Transfer to China Market</t>
        </is>
      </c>
    </row>
    <row r="75" hidden="1" ht="18" customHeight="1" s="229">
      <c r="A75" s="707" t="inlineStr">
        <is>
          <t>Classic Cozy Belted Pajama Shirt</t>
        </is>
      </c>
      <c r="B75" s="707" t="inlineStr">
        <is>
          <t>Loungewear</t>
        </is>
      </c>
      <c r="C75" s="707" t="inlineStr">
        <is>
          <t>Below threshold — long tail</t>
        </is>
      </c>
      <c r="D75" s="708" t="inlineStr">
        <is>
          <t>3 — MEDIUM (selldown or markdown)</t>
        </is>
      </c>
      <c r="E75" s="709" t="n">
        <v>1513.04</v>
      </c>
      <c r="F75" s="710" t="n">
        <v>34</v>
      </c>
      <c r="G75" s="711" t="n">
        <v>0</v>
      </c>
      <c r="H75" s="711" t="n">
        <v>128</v>
      </c>
      <c r="I75" s="711" t="n">
        <v>466</v>
      </c>
      <c r="J75" s="712" t="n">
        <v>128</v>
      </c>
      <c r="K75" s="711" t="n">
        <v>594</v>
      </c>
      <c r="L75" s="709" t="n">
        <v>15</v>
      </c>
      <c r="M75" s="713" t="n">
        <v>8910</v>
      </c>
      <c r="N75" s="710" t="n">
        <v>13</v>
      </c>
      <c r="O75" s="714" t="inlineStr">
        <is>
          <t>Transfer to China Market</t>
        </is>
      </c>
    </row>
    <row r="76" hidden="1" ht="18" customHeight="1" s="229">
      <c r="A76" s="658" t="inlineStr">
        <is>
          <t>Twin Cross Mesh Bra</t>
        </is>
      </c>
      <c r="B76" s="658" t="inlineStr">
        <is>
          <t>Underwear</t>
        </is>
      </c>
      <c r="C76" s="658" t="inlineStr">
        <is>
          <t>Below threshold — long tail</t>
        </is>
      </c>
      <c r="D76" s="668" t="inlineStr">
        <is>
          <t>3 — MEDIUM (selldown or markdown)</t>
        </is>
      </c>
      <c r="E76" s="660" t="n">
        <v>4103.31</v>
      </c>
      <c r="F76" s="661" t="n">
        <v>131</v>
      </c>
      <c r="G76" s="662" t="n">
        <v>26</v>
      </c>
      <c r="H76" s="662" t="n">
        <v>21</v>
      </c>
      <c r="I76" s="662" t="n">
        <v>386</v>
      </c>
      <c r="J76" s="663" t="n">
        <v>47</v>
      </c>
      <c r="K76" s="662" t="n">
        <v>433</v>
      </c>
      <c r="L76" s="660" t="n">
        <v>10</v>
      </c>
      <c r="M76" s="669" t="n">
        <v>4330</v>
      </c>
      <c r="N76" s="661" t="n">
        <v>10</v>
      </c>
      <c r="O76" s="670" t="inlineStr">
        <is>
          <t>Split: Flash Sale (US) + Transfer to China</t>
        </is>
      </c>
    </row>
    <row r="77" hidden="1" ht="18" customHeight="1" s="229">
      <c r="A77" s="651" t="inlineStr">
        <is>
          <t>Pure Comfort Mid Waist Brief</t>
        </is>
      </c>
      <c r="B77" s="651" t="inlineStr">
        <is>
          <t>Underwear</t>
        </is>
      </c>
      <c r="C77" s="651" t="inlineStr">
        <is>
          <t>Below threshold — long tail</t>
        </is>
      </c>
      <c r="D77" s="652" t="inlineStr">
        <is>
          <t>3 — MEDIUM (selldown or markdown)</t>
        </is>
      </c>
      <c r="E77" s="653" t="n">
        <v>1110.9</v>
      </c>
      <c r="F77" s="654" t="n">
        <v>118</v>
      </c>
      <c r="G77" s="655" t="n">
        <v>0</v>
      </c>
      <c r="H77" s="655" t="n">
        <v>45</v>
      </c>
      <c r="I77" s="655" t="n">
        <v>310</v>
      </c>
      <c r="J77" s="656" t="n">
        <v>45</v>
      </c>
      <c r="K77" s="655" t="n">
        <v>355</v>
      </c>
      <c r="L77" s="653" t="n">
        <v>10</v>
      </c>
      <c r="M77" s="666" t="n">
        <v>3550</v>
      </c>
      <c r="N77" s="654" t="n">
        <v>5</v>
      </c>
      <c r="O77" s="680" t="inlineStr">
        <is>
          <t>Transfer to China Market</t>
        </is>
      </c>
    </row>
    <row r="78" hidden="1" ht="18" customHeight="1" s="229">
      <c r="A78" s="715" t="inlineStr">
        <is>
          <t>NEIWAI ACTIVE X NYCB Waffle Long-Sleeve T-Shirt</t>
        </is>
      </c>
      <c r="B78" s="715" t="inlineStr">
        <is>
          <t>Active</t>
        </is>
      </c>
      <c r="C78" s="715" t="inlineStr">
        <is>
          <t>NYCB collab — dead inventory, no velocity</t>
        </is>
      </c>
      <c r="D78" s="716" t="inlineStr">
        <is>
          <t>2 — HIGH (excess inventory vs demand)</t>
        </is>
      </c>
      <c r="E78" s="717" t="n">
        <v>529.22</v>
      </c>
      <c r="F78" s="718" t="n">
        <v>8</v>
      </c>
      <c r="G78" s="719" t="n">
        <v>8</v>
      </c>
      <c r="H78" s="719" t="n">
        <v>65</v>
      </c>
      <c r="I78" s="719" t="n">
        <v>0</v>
      </c>
      <c r="J78" s="720" t="n">
        <v>73</v>
      </c>
      <c r="K78" s="719" t="n">
        <v>73</v>
      </c>
      <c r="L78" s="717" t="n">
        <v>18</v>
      </c>
      <c r="M78" s="721" t="n">
        <v>1314</v>
      </c>
      <c r="N78" s="718" t="n">
        <v>7</v>
      </c>
      <c r="O78" s="736" t="inlineStr">
        <is>
          <t>Split: Flash Sale (US) + Transfer to China</t>
        </is>
      </c>
    </row>
    <row r="79" hidden="1" ht="18" customHeight="1" s="229">
      <c r="A79" s="682" t="inlineStr">
        <is>
          <t>Cross-Back Dance Sports Bra</t>
        </is>
      </c>
      <c r="B79" s="682" t="inlineStr">
        <is>
          <t>Active</t>
        </is>
      </c>
      <c r="C79" s="682" t="inlineStr">
        <is>
          <t>Active category rationalization</t>
        </is>
      </c>
      <c r="D79" s="733" t="inlineStr">
        <is>
          <t>3 — MEDIUM (selldown or markdown)</t>
        </is>
      </c>
      <c r="E79" s="684" t="n">
        <v>1388.04</v>
      </c>
      <c r="F79" s="685" t="n">
        <v>38</v>
      </c>
      <c r="G79" s="686" t="n">
        <v>0</v>
      </c>
      <c r="H79" s="686" t="n">
        <v>60</v>
      </c>
      <c r="I79" s="686" t="n">
        <v>0</v>
      </c>
      <c r="J79" s="687" t="n">
        <v>60</v>
      </c>
      <c r="K79" s="686" t="n">
        <v>60</v>
      </c>
      <c r="L79" s="684" t="n">
        <v>18</v>
      </c>
      <c r="M79" s="688" t="n">
        <v>1080</v>
      </c>
      <c r="N79" s="685" t="n">
        <v>7</v>
      </c>
      <c r="O79" s="689" t="inlineStr">
        <is>
          <t>Transfer to China Market</t>
        </is>
      </c>
    </row>
    <row r="80" hidden="1" ht="18" customHeight="1" s="229">
      <c r="A80" s="715" t="inlineStr">
        <is>
          <t>NEIWAI ACTIVE X NYCB Double Layer Sports Bra Top</t>
        </is>
      </c>
      <c r="B80" s="715" t="inlineStr">
        <is>
          <t>Active</t>
        </is>
      </c>
      <c r="C80" s="715" t="inlineStr">
        <is>
          <t>NYCB collab — dead inventory, no velocity</t>
        </is>
      </c>
      <c r="D80" s="716" t="inlineStr">
        <is>
          <t>2 — HIGH (excess inventory vs demand)</t>
        </is>
      </c>
      <c r="E80" s="717" t="n">
        <v>633.25</v>
      </c>
      <c r="F80" s="718" t="n">
        <v>9</v>
      </c>
      <c r="G80" s="719" t="n">
        <v>0</v>
      </c>
      <c r="H80" s="719" t="n">
        <v>88</v>
      </c>
      <c r="I80" s="719" t="n">
        <v>0</v>
      </c>
      <c r="J80" s="720" t="n">
        <v>88</v>
      </c>
      <c r="K80" s="719" t="n">
        <v>88</v>
      </c>
      <c r="L80" s="717" t="n">
        <v>18</v>
      </c>
      <c r="M80" s="721" t="n">
        <v>1584</v>
      </c>
      <c r="N80" s="718" t="n">
        <v>3</v>
      </c>
      <c r="O80" s="722" t="inlineStr">
        <is>
          <t>Transfer to China Market</t>
        </is>
      </c>
    </row>
    <row r="81" hidden="1" ht="18" customHeight="1" s="229">
      <c r="A81" s="682" t="inlineStr">
        <is>
          <t>NEIWAI ACTIVE X NYCB Ballet Wool Ribbed Top</t>
        </is>
      </c>
      <c r="B81" s="682" t="inlineStr">
        <is>
          <t>Active</t>
        </is>
      </c>
      <c r="C81" s="682" t="inlineStr">
        <is>
          <t>NYCB collab — dead inventory, no velocity</t>
        </is>
      </c>
      <c r="D81" s="733" t="inlineStr">
        <is>
          <t>3 — MEDIUM (selldown or markdown)</t>
        </is>
      </c>
      <c r="E81" s="684" t="n">
        <v>3324.84</v>
      </c>
      <c r="F81" s="685" t="n">
        <v>37</v>
      </c>
      <c r="G81" s="686" t="n">
        <v>0</v>
      </c>
      <c r="H81" s="686" t="n">
        <v>69</v>
      </c>
      <c r="I81" s="686" t="n">
        <v>0</v>
      </c>
      <c r="J81" s="687" t="n">
        <v>69</v>
      </c>
      <c r="K81" s="686" t="n">
        <v>69</v>
      </c>
      <c r="L81" s="684" t="n">
        <v>18</v>
      </c>
      <c r="M81" s="688" t="n">
        <v>1242</v>
      </c>
      <c r="N81" s="685" t="n">
        <v>7</v>
      </c>
      <c r="O81" s="689" t="inlineStr">
        <is>
          <t>Transfer to China Market</t>
        </is>
      </c>
    </row>
    <row r="82" hidden="1" ht="18" customHeight="1" s="229">
      <c r="A82" s="699" t="inlineStr">
        <is>
          <t>Men's Lounge Pants</t>
        </is>
      </c>
      <c r="B82" s="699" t="inlineStr">
        <is>
          <t>Men</t>
        </is>
      </c>
      <c r="C82" s="699" t="inlineStr">
        <is>
          <t>Men's category exit</t>
        </is>
      </c>
      <c r="D82" s="700" t="inlineStr">
        <is>
          <t>3 — MEDIUM (selldown or markdown)</t>
        </is>
      </c>
      <c r="E82" s="701" t="n">
        <v>3235.88</v>
      </c>
      <c r="F82" s="702" t="n">
        <v>71</v>
      </c>
      <c r="G82" s="703" t="n">
        <v>0</v>
      </c>
      <c r="H82" s="703" t="n">
        <v>93</v>
      </c>
      <c r="I82" s="703" t="n">
        <v>1104</v>
      </c>
      <c r="J82" s="704" t="n">
        <v>93</v>
      </c>
      <c r="K82" s="703" t="n">
        <v>1197</v>
      </c>
      <c r="L82" s="701" t="n">
        <v>8</v>
      </c>
      <c r="M82" s="705" t="n">
        <v>9576</v>
      </c>
      <c r="N82" s="702" t="n">
        <v>14</v>
      </c>
      <c r="O82" s="706" t="inlineStr">
        <is>
          <t>Transfer to China Market</t>
        </is>
      </c>
    </row>
    <row r="83" hidden="1" ht="18" customHeight="1" s="229">
      <c r="A83" s="658" t="inlineStr">
        <is>
          <t>Pure Comfort Ribbed Plunge Bra</t>
        </is>
      </c>
      <c r="B83" s="658" t="inlineStr">
        <is>
          <t>Underwear</t>
        </is>
      </c>
      <c r="C83" s="658" t="inlineStr">
        <is>
          <t>Below threshold — long tail</t>
        </is>
      </c>
      <c r="D83" s="668" t="inlineStr">
        <is>
          <t>3 — MEDIUM (selldown or markdown)</t>
        </is>
      </c>
      <c r="E83" s="660" t="n">
        <v>2707.17</v>
      </c>
      <c r="F83" s="661" t="n">
        <v>75</v>
      </c>
      <c r="G83" s="662" t="n">
        <v>38</v>
      </c>
      <c r="H83" s="662" t="n">
        <v>34</v>
      </c>
      <c r="I83" s="662" t="n">
        <v>583</v>
      </c>
      <c r="J83" s="663" t="n">
        <v>72</v>
      </c>
      <c r="K83" s="662" t="n">
        <v>655</v>
      </c>
      <c r="L83" s="660" t="n">
        <v>10</v>
      </c>
      <c r="M83" s="669" t="n">
        <v>6550</v>
      </c>
      <c r="N83" s="661" t="n">
        <v>16</v>
      </c>
      <c r="O83" s="670" t="inlineStr">
        <is>
          <t>Split: Flash Sale (US) + Transfer to China</t>
        </is>
      </c>
    </row>
    <row r="84" hidden="1" ht="18" customHeight="1" s="229">
      <c r="A84" s="651" t="inlineStr">
        <is>
          <t>Cotton Cozy Briefs (3-Pack)</t>
        </is>
      </c>
      <c r="B84" s="651" t="inlineStr">
        <is>
          <t>Underwear</t>
        </is>
      </c>
      <c r="C84" s="651" t="inlineStr">
        <is>
          <t>Below threshold — long tail</t>
        </is>
      </c>
      <c r="D84" s="652" t="inlineStr">
        <is>
          <t>3 — MEDIUM (selldown or markdown)</t>
        </is>
      </c>
      <c r="E84" s="653" t="n">
        <v>2168.35</v>
      </c>
      <c r="F84" s="654" t="n">
        <v>67</v>
      </c>
      <c r="G84" s="655" t="n">
        <v>0</v>
      </c>
      <c r="H84" s="655" t="n">
        <v>43</v>
      </c>
      <c r="I84" s="655" t="n">
        <v>852</v>
      </c>
      <c r="J84" s="656" t="n">
        <v>43</v>
      </c>
      <c r="K84" s="655" t="n">
        <v>895</v>
      </c>
      <c r="L84" s="653" t="n">
        <v>10</v>
      </c>
      <c r="M84" s="666" t="n">
        <v>8950</v>
      </c>
      <c r="N84" s="654" t="n">
        <v>8</v>
      </c>
      <c r="O84" s="680" t="inlineStr">
        <is>
          <t>Transfer to China Market</t>
        </is>
      </c>
    </row>
    <row r="85" hidden="1" ht="18" customHeight="1" s="229">
      <c r="A85" s="715" t="inlineStr">
        <is>
          <t>Mousse Cool Biker Shorts</t>
        </is>
      </c>
      <c r="B85" s="715" t="inlineStr">
        <is>
          <t>Active</t>
        </is>
      </c>
      <c r="C85" s="715" t="inlineStr">
        <is>
          <t>Very low sales (&lt;$500 in 90 days)</t>
        </is>
      </c>
      <c r="D85" s="716" t="inlineStr">
        <is>
          <t>2 — HIGH (excess inventory vs demand)</t>
        </is>
      </c>
      <c r="E85" s="717" t="n">
        <v>136.5</v>
      </c>
      <c r="F85" s="718" t="n">
        <v>3</v>
      </c>
      <c r="G85" s="719" t="n">
        <v>0</v>
      </c>
      <c r="H85" s="719" t="n">
        <v>189</v>
      </c>
      <c r="I85" s="719" t="n">
        <v>0</v>
      </c>
      <c r="J85" s="720" t="n">
        <v>189</v>
      </c>
      <c r="K85" s="719" t="n">
        <v>189</v>
      </c>
      <c r="L85" s="717" t="n">
        <v>18</v>
      </c>
      <c r="M85" s="721" t="n">
        <v>3402</v>
      </c>
      <c r="N85" s="718" t="n">
        <v>5</v>
      </c>
      <c r="O85" s="722" t="inlineStr">
        <is>
          <t>Transfer to China Market</t>
        </is>
      </c>
    </row>
    <row r="86" hidden="1" ht="18" customHeight="1" s="229">
      <c r="A86" s="682" t="inlineStr">
        <is>
          <t>NEIWAI ACTIVE X NYCB Sandwashed Modal Hoodie</t>
        </is>
      </c>
      <c r="B86" s="682" t="inlineStr">
        <is>
          <t>Active</t>
        </is>
      </c>
      <c r="C86" s="682" t="inlineStr">
        <is>
          <t>NYCB collab — dead inventory, no velocity</t>
        </is>
      </c>
      <c r="D86" s="683" t="inlineStr">
        <is>
          <t>2 — HIGH (excess inventory vs demand)</t>
        </is>
      </c>
      <c r="E86" s="684" t="n">
        <v>601.75</v>
      </c>
      <c r="F86" s="685" t="n">
        <v>6</v>
      </c>
      <c r="G86" s="686" t="n">
        <v>0</v>
      </c>
      <c r="H86" s="686" t="n">
        <v>125</v>
      </c>
      <c r="I86" s="686" t="n">
        <v>0</v>
      </c>
      <c r="J86" s="687" t="n">
        <v>125</v>
      </c>
      <c r="K86" s="686" t="n">
        <v>125</v>
      </c>
      <c r="L86" s="684" t="n">
        <v>18</v>
      </c>
      <c r="M86" s="688" t="n">
        <v>2250</v>
      </c>
      <c r="N86" s="685" t="n">
        <v>5</v>
      </c>
      <c r="O86" s="689" t="inlineStr">
        <is>
          <t>Transfer to China Market</t>
        </is>
      </c>
    </row>
    <row r="87" hidden="1" ht="18" customHeight="1" s="229">
      <c r="A87" s="715" t="inlineStr">
        <is>
          <t>NEIWAI ACTIVE X NYCB Mousse Cool Medium Support Long Sports Bra</t>
        </is>
      </c>
      <c r="B87" s="715" t="inlineStr">
        <is>
          <t>Active</t>
        </is>
      </c>
      <c r="C87" s="715" t="inlineStr">
        <is>
          <t>NYCB collab — dead inventory, no velocity</t>
        </is>
      </c>
      <c r="D87" s="716" t="inlineStr">
        <is>
          <t>2 — HIGH (excess inventory vs demand)</t>
        </is>
      </c>
      <c r="E87" s="717" t="n">
        <v>379.96</v>
      </c>
      <c r="F87" s="718" t="n">
        <v>6</v>
      </c>
      <c r="G87" s="719" t="n">
        <v>3</v>
      </c>
      <c r="H87" s="719" t="n">
        <v>59</v>
      </c>
      <c r="I87" s="719" t="n">
        <v>0</v>
      </c>
      <c r="J87" s="720" t="n">
        <v>62</v>
      </c>
      <c r="K87" s="719" t="n">
        <v>62</v>
      </c>
      <c r="L87" s="717" t="n">
        <v>18</v>
      </c>
      <c r="M87" s="721" t="n">
        <v>1116</v>
      </c>
      <c r="N87" s="718" t="n">
        <v>5</v>
      </c>
      <c r="O87" s="736" t="inlineStr">
        <is>
          <t>Split: Flash Sale (US) + Transfer to China</t>
        </is>
      </c>
    </row>
    <row r="88" hidden="1" ht="18" customHeight="1" s="229">
      <c r="A88" s="658" t="inlineStr">
        <is>
          <t>Essential Low-Waist Brief</t>
        </is>
      </c>
      <c r="B88" s="658" t="inlineStr">
        <is>
          <t>Underwear</t>
        </is>
      </c>
      <c r="C88" s="658" t="inlineStr">
        <is>
          <t>Low sales (&lt;$1K in 90 days)</t>
        </is>
      </c>
      <c r="D88" s="659" t="inlineStr">
        <is>
          <t>2 — HIGH (excess inventory vs demand)</t>
        </is>
      </c>
      <c r="E88" s="660" t="n">
        <v>591.25</v>
      </c>
      <c r="F88" s="661" t="n">
        <v>66</v>
      </c>
      <c r="G88" s="662" t="n">
        <v>0</v>
      </c>
      <c r="H88" s="662" t="n">
        <v>41</v>
      </c>
      <c r="I88" s="662" t="n">
        <v>0</v>
      </c>
      <c r="J88" s="663" t="n">
        <v>41</v>
      </c>
      <c r="K88" s="662" t="n">
        <v>41</v>
      </c>
      <c r="L88" s="660" t="n">
        <v>10</v>
      </c>
      <c r="M88" s="669" t="n">
        <v>410</v>
      </c>
      <c r="N88" s="661" t="n">
        <v>3</v>
      </c>
      <c r="O88" s="681" t="inlineStr">
        <is>
          <t>Transfer to China Market</t>
        </is>
      </c>
    </row>
    <row r="89" hidden="1" ht="18" customHeight="1" s="229">
      <c r="A89" s="682" t="inlineStr">
        <is>
          <t>NEIWAI X SAVISLOOK Swimsuit</t>
        </is>
      </c>
      <c r="B89" s="682" t="inlineStr">
        <is>
          <t>Active</t>
        </is>
      </c>
      <c r="C89" s="682" t="inlineStr">
        <is>
          <t>Low sales (&lt;$1K in 90 days)</t>
        </is>
      </c>
      <c r="D89" s="683" t="inlineStr">
        <is>
          <t>2 — HIGH (excess inventory vs demand)</t>
        </is>
      </c>
      <c r="E89" s="684" t="n">
        <v>643.77</v>
      </c>
      <c r="F89" s="685" t="n">
        <v>11</v>
      </c>
      <c r="G89" s="686" t="n">
        <v>0</v>
      </c>
      <c r="H89" s="686" t="n">
        <v>72</v>
      </c>
      <c r="I89" s="686" t="n">
        <v>0</v>
      </c>
      <c r="J89" s="687" t="n">
        <v>72</v>
      </c>
      <c r="K89" s="686" t="n">
        <v>72</v>
      </c>
      <c r="L89" s="684" t="n">
        <v>18</v>
      </c>
      <c r="M89" s="688" t="n">
        <v>1296</v>
      </c>
      <c r="N89" s="685" t="n">
        <v>2</v>
      </c>
      <c r="O89" s="689" t="inlineStr">
        <is>
          <t>Transfer to China Market</t>
        </is>
      </c>
    </row>
    <row r="90" hidden="1" ht="18" customHeight="1" s="229">
      <c r="A90" s="715" t="inlineStr">
        <is>
          <t>NEIWAI ACTIVE X NYCB Wool Half Zip Hoodie</t>
        </is>
      </c>
      <c r="B90" s="715" t="inlineStr">
        <is>
          <t>Active</t>
        </is>
      </c>
      <c r="C90" s="715" t="inlineStr">
        <is>
          <t>NYCB collab — dead inventory, no velocity</t>
        </is>
      </c>
      <c r="D90" s="732" t="inlineStr">
        <is>
          <t>3 — MEDIUM (selldown or markdown)</t>
        </is>
      </c>
      <c r="E90" s="717" t="n">
        <v>1077.25</v>
      </c>
      <c r="F90" s="718" t="n">
        <v>9</v>
      </c>
      <c r="G90" s="719" t="n">
        <v>3</v>
      </c>
      <c r="H90" s="719" t="n">
        <v>68</v>
      </c>
      <c r="I90" s="719" t="n">
        <v>0</v>
      </c>
      <c r="J90" s="720" t="n">
        <v>71</v>
      </c>
      <c r="K90" s="719" t="n">
        <v>71</v>
      </c>
      <c r="L90" s="717" t="n">
        <v>18</v>
      </c>
      <c r="M90" s="721" t="n">
        <v>1278</v>
      </c>
      <c r="N90" s="718" t="n">
        <v>8</v>
      </c>
      <c r="O90" s="736" t="inlineStr">
        <is>
          <t>Split: Flash Sale (US) + Transfer to China</t>
        </is>
      </c>
    </row>
    <row r="91" hidden="1" ht="18" customHeight="1" s="229">
      <c r="A91" s="723" t="inlineStr">
        <is>
          <t>Men‚Äôs Year of the Rabbit Holiday Gift Set</t>
        </is>
      </c>
      <c r="B91" s="723" t="inlineStr">
        <is>
          <t>Men</t>
        </is>
      </c>
      <c r="C91" s="723" t="inlineStr">
        <is>
          <t>Bundle/Gift Set — low velocity</t>
        </is>
      </c>
      <c r="D91" s="747" t="inlineStr">
        <is>
          <t>2 — HIGH (excess inventory vs demand)</t>
        </is>
      </c>
      <c r="E91" s="725" t="n">
        <v>598.2</v>
      </c>
      <c r="F91" s="726" t="n">
        <v>32</v>
      </c>
      <c r="G91" s="727" t="n">
        <v>0</v>
      </c>
      <c r="H91" s="727" t="n">
        <v>40</v>
      </c>
      <c r="I91" s="727" t="n">
        <v>272</v>
      </c>
      <c r="J91" s="728" t="n">
        <v>40</v>
      </c>
      <c r="K91" s="727" t="n">
        <v>312</v>
      </c>
      <c r="L91" s="725" t="n">
        <v>8</v>
      </c>
      <c r="M91" s="729" t="n">
        <v>2496</v>
      </c>
      <c r="N91" s="726" t="n">
        <v>3</v>
      </c>
      <c r="O91" s="730" t="inlineStr">
        <is>
          <t>Transfer to China Market</t>
        </is>
      </c>
    </row>
    <row r="92" hidden="1" ht="18" customHeight="1" s="229">
      <c r="A92" s="682" t="inlineStr">
        <is>
          <t>Knot Dance Leggings</t>
        </is>
      </c>
      <c r="B92" s="682" t="inlineStr">
        <is>
          <t>Active</t>
        </is>
      </c>
      <c r="C92" s="682" t="inlineStr">
        <is>
          <t>Low sales (&lt;$1K in 90 days)</t>
        </is>
      </c>
      <c r="D92" s="683" t="inlineStr">
        <is>
          <t>2 — HIGH (excess inventory vs demand)</t>
        </is>
      </c>
      <c r="E92" s="684" t="n">
        <v>610.6800000000001</v>
      </c>
      <c r="F92" s="685" t="n">
        <v>9</v>
      </c>
      <c r="G92" s="686" t="n">
        <v>0</v>
      </c>
      <c r="H92" s="686" t="n">
        <v>51</v>
      </c>
      <c r="I92" s="686" t="n">
        <v>0</v>
      </c>
      <c r="J92" s="687" t="n">
        <v>51</v>
      </c>
      <c r="K92" s="686" t="n">
        <v>51</v>
      </c>
      <c r="L92" s="684" t="n">
        <v>18</v>
      </c>
      <c r="M92" s="688" t="n">
        <v>918</v>
      </c>
      <c r="N92" s="685" t="n">
        <v>7</v>
      </c>
      <c r="O92" s="689" t="inlineStr">
        <is>
          <t>Transfer to China Market</t>
        </is>
      </c>
    </row>
    <row r="93" hidden="1" ht="18" customHeight="1" s="229">
      <c r="A93" s="651" t="inlineStr">
        <is>
          <t>Twin Cross Mesh Mid Waist Brief</t>
        </is>
      </c>
      <c r="B93" s="651" t="inlineStr">
        <is>
          <t>Underwear</t>
        </is>
      </c>
      <c r="C93" s="651" t="inlineStr">
        <is>
          <t>Below threshold — long tail</t>
        </is>
      </c>
      <c r="D93" s="652" t="inlineStr">
        <is>
          <t>3 — MEDIUM (selldown or markdown)</t>
        </is>
      </c>
      <c r="E93" s="653" t="n">
        <v>3156.97</v>
      </c>
      <c r="F93" s="654" t="n">
        <v>217</v>
      </c>
      <c r="G93" s="655" t="n">
        <v>0</v>
      </c>
      <c r="H93" s="655" t="n">
        <v>37</v>
      </c>
      <c r="I93" s="655" t="n">
        <v>21</v>
      </c>
      <c r="J93" s="656" t="n">
        <v>37</v>
      </c>
      <c r="K93" s="655" t="n">
        <v>58</v>
      </c>
      <c r="L93" s="653" t="n">
        <v>10</v>
      </c>
      <c r="M93" s="666" t="n">
        <v>580</v>
      </c>
      <c r="N93" s="654" t="n">
        <v>8</v>
      </c>
      <c r="O93" s="680" t="inlineStr">
        <is>
          <t>Transfer to China Market</t>
        </is>
      </c>
    </row>
    <row r="94" hidden="1" ht="18" customHeight="1" s="229">
      <c r="A94" s="715" t="inlineStr">
        <is>
          <t>Mousse Light Support Long Sports Bra</t>
        </is>
      </c>
      <c r="B94" s="715" t="inlineStr">
        <is>
          <t>Active</t>
        </is>
      </c>
      <c r="C94" s="715" t="inlineStr">
        <is>
          <t>Active category rationalization</t>
        </is>
      </c>
      <c r="D94" s="732" t="inlineStr">
        <is>
          <t>3 — MEDIUM (selldown or markdown)</t>
        </is>
      </c>
      <c r="E94" s="717" t="n">
        <v>1642.03</v>
      </c>
      <c r="F94" s="718" t="n">
        <v>29</v>
      </c>
      <c r="G94" s="719" t="n">
        <v>26</v>
      </c>
      <c r="H94" s="719" t="n">
        <v>17</v>
      </c>
      <c r="I94" s="719" t="n">
        <v>64</v>
      </c>
      <c r="J94" s="720" t="n">
        <v>43</v>
      </c>
      <c r="K94" s="719" t="n">
        <v>107</v>
      </c>
      <c r="L94" s="717" t="n">
        <v>18</v>
      </c>
      <c r="M94" s="721" t="n">
        <v>1926</v>
      </c>
      <c r="N94" s="718" t="n">
        <v>8</v>
      </c>
      <c r="O94" s="736" t="inlineStr">
        <is>
          <t>Split: Flash Sale (US) + Transfer to China</t>
        </is>
      </c>
    </row>
    <row r="95" hidden="1" ht="18" customHeight="1" s="229">
      <c r="A95" s="682" t="inlineStr">
        <is>
          <t>NEIWAI X SAVISLOOK Bikini Bottom</t>
        </is>
      </c>
      <c r="B95" s="682" t="inlineStr">
        <is>
          <t>Active</t>
        </is>
      </c>
      <c r="C95" s="682" t="inlineStr">
        <is>
          <t>Zero/negative sales</t>
        </is>
      </c>
      <c r="D95" s="683" t="inlineStr">
        <is>
          <t>2 — HIGH (excess inventory vs demand)</t>
        </is>
      </c>
      <c r="E95" s="684" t="n">
        <v>0</v>
      </c>
      <c r="F95" s="685" t="n">
        <v>0</v>
      </c>
      <c r="G95" s="686" t="n">
        <v>0</v>
      </c>
      <c r="H95" s="686" t="n">
        <v>189</v>
      </c>
      <c r="I95" s="686" t="n">
        <v>0</v>
      </c>
      <c r="J95" s="687" t="n">
        <v>189</v>
      </c>
      <c r="K95" s="686" t="n">
        <v>189</v>
      </c>
      <c r="L95" s="684" t="n">
        <v>18</v>
      </c>
      <c r="M95" s="688" t="n">
        <v>3402</v>
      </c>
      <c r="N95" s="685" t="n">
        <v>1</v>
      </c>
      <c r="O95" s="689" t="inlineStr">
        <is>
          <t>Transfer to China Market</t>
        </is>
      </c>
    </row>
    <row r="96" hidden="1" ht="18" customHeight="1" s="229">
      <c r="A96" s="715" t="inlineStr">
        <is>
          <t>NEIWAI ACTIVE X NYCB Light Woven Straight Leg Pants</t>
        </is>
      </c>
      <c r="B96" s="715" t="inlineStr">
        <is>
          <t>Active</t>
        </is>
      </c>
      <c r="C96" s="715" t="inlineStr">
        <is>
          <t>NYCB collab — dead inventory, no velocity</t>
        </is>
      </c>
      <c r="D96" s="716" t="inlineStr">
        <is>
          <t>2 — HIGH (excess inventory vs demand)</t>
        </is>
      </c>
      <c r="E96" s="717" t="n">
        <v>555.9400000000001</v>
      </c>
      <c r="F96" s="718" t="n">
        <v>6</v>
      </c>
      <c r="G96" s="719" t="n">
        <v>0</v>
      </c>
      <c r="H96" s="719" t="n">
        <v>58</v>
      </c>
      <c r="I96" s="719" t="n">
        <v>0</v>
      </c>
      <c r="J96" s="720" t="n">
        <v>58</v>
      </c>
      <c r="K96" s="719" t="n">
        <v>58</v>
      </c>
      <c r="L96" s="717" t="n">
        <v>18</v>
      </c>
      <c r="M96" s="721" t="n">
        <v>1044</v>
      </c>
      <c r="N96" s="718" t="n">
        <v>7</v>
      </c>
      <c r="O96" s="722" t="inlineStr">
        <is>
          <t>Transfer to China Market</t>
        </is>
      </c>
    </row>
    <row r="97" hidden="1" ht="18" customHeight="1" s="229">
      <c r="A97" s="690" t="inlineStr">
        <is>
          <t>Essential Cashmere Thermal Underwear Top</t>
        </is>
      </c>
      <c r="B97" s="690" t="inlineStr">
        <is>
          <t>Loungewear</t>
        </is>
      </c>
      <c r="C97" s="690" t="inlineStr">
        <is>
          <t>Below threshold — long tail</t>
        </is>
      </c>
      <c r="D97" s="691" t="inlineStr">
        <is>
          <t>3 — MEDIUM (selldown or markdown)</t>
        </is>
      </c>
      <c r="E97" s="692" t="n">
        <v>1847.37</v>
      </c>
      <c r="F97" s="693" t="n">
        <v>53</v>
      </c>
      <c r="G97" s="694" t="n">
        <v>0</v>
      </c>
      <c r="H97" s="694" t="n">
        <v>49</v>
      </c>
      <c r="I97" s="694" t="n">
        <v>0</v>
      </c>
      <c r="J97" s="695" t="n">
        <v>49</v>
      </c>
      <c r="K97" s="694" t="n">
        <v>49</v>
      </c>
      <c r="L97" s="692" t="n">
        <v>15</v>
      </c>
      <c r="M97" s="696" t="n">
        <v>735</v>
      </c>
      <c r="N97" s="693" t="n">
        <v>5</v>
      </c>
      <c r="O97" s="697" t="inlineStr">
        <is>
          <t>Transfer to China Market</t>
        </is>
      </c>
    </row>
    <row r="98" hidden="1" ht="18" customHeight="1" s="229">
      <c r="A98" s="658" t="inlineStr">
        <is>
          <t>Pure Comfort Mid Waist Cheeky Brief</t>
        </is>
      </c>
      <c r="B98" s="658" t="inlineStr">
        <is>
          <t>Underwear</t>
        </is>
      </c>
      <c r="C98" s="658" t="inlineStr">
        <is>
          <t>Below threshold — long tail</t>
        </is>
      </c>
      <c r="D98" s="668" t="inlineStr">
        <is>
          <t>3 — MEDIUM (selldown or markdown)</t>
        </is>
      </c>
      <c r="E98" s="660" t="n">
        <v>1257.78</v>
      </c>
      <c r="F98" s="661" t="n">
        <v>84</v>
      </c>
      <c r="G98" s="662" t="n">
        <v>0</v>
      </c>
      <c r="H98" s="662" t="n">
        <v>55</v>
      </c>
      <c r="I98" s="662" t="n">
        <v>817</v>
      </c>
      <c r="J98" s="663" t="n">
        <v>55</v>
      </c>
      <c r="K98" s="662" t="n">
        <v>872</v>
      </c>
      <c r="L98" s="660" t="n">
        <v>10</v>
      </c>
      <c r="M98" s="669" t="n">
        <v>8720</v>
      </c>
      <c r="N98" s="661" t="n">
        <v>10</v>
      </c>
      <c r="O98" s="681" t="inlineStr">
        <is>
          <t>Transfer to China Market</t>
        </is>
      </c>
    </row>
    <row r="99" hidden="1" ht="18" customHeight="1" s="229">
      <c r="A99" s="682" t="inlineStr">
        <is>
          <t>Mousse Flare Leggings</t>
        </is>
      </c>
      <c r="B99" s="682" t="inlineStr">
        <is>
          <t>Active</t>
        </is>
      </c>
      <c r="C99" s="682" t="inlineStr">
        <is>
          <t>Active category rationalization</t>
        </is>
      </c>
      <c r="D99" s="733" t="inlineStr">
        <is>
          <t>3 — MEDIUM (selldown or markdown)</t>
        </is>
      </c>
      <c r="E99" s="684" t="n">
        <v>1513.07</v>
      </c>
      <c r="F99" s="685" t="n">
        <v>18</v>
      </c>
      <c r="G99" s="686" t="n">
        <v>0</v>
      </c>
      <c r="H99" s="686" t="n">
        <v>46</v>
      </c>
      <c r="I99" s="686" t="n">
        <v>0</v>
      </c>
      <c r="J99" s="687" t="n">
        <v>46</v>
      </c>
      <c r="K99" s="686" t="n">
        <v>46</v>
      </c>
      <c r="L99" s="684" t="n">
        <v>18</v>
      </c>
      <c r="M99" s="688" t="n">
        <v>828</v>
      </c>
      <c r="N99" s="685" t="n">
        <v>8</v>
      </c>
      <c r="O99" s="689" t="inlineStr">
        <is>
          <t>Transfer to China Market</t>
        </is>
      </c>
    </row>
    <row r="100" hidden="1" ht="18" customHeight="1" s="229">
      <c r="A100" s="651" t="inlineStr">
        <is>
          <t>Pure Comfort Ribbed Triangle Bra</t>
        </is>
      </c>
      <c r="B100" s="651" t="inlineStr">
        <is>
          <t>Underwear</t>
        </is>
      </c>
      <c r="C100" s="651" t="inlineStr">
        <is>
          <t>Below threshold — long tail</t>
        </is>
      </c>
      <c r="D100" s="652" t="inlineStr">
        <is>
          <t>3 — MEDIUM (selldown or markdown)</t>
        </is>
      </c>
      <c r="E100" s="653" t="n">
        <v>1584.21</v>
      </c>
      <c r="F100" s="654" t="n">
        <v>52</v>
      </c>
      <c r="G100" s="655" t="n">
        <v>0</v>
      </c>
      <c r="H100" s="655" t="n">
        <v>35</v>
      </c>
      <c r="I100" s="655" t="n">
        <v>282</v>
      </c>
      <c r="J100" s="656" t="n">
        <v>35</v>
      </c>
      <c r="K100" s="655" t="n">
        <v>317</v>
      </c>
      <c r="L100" s="653" t="n">
        <v>10</v>
      </c>
      <c r="M100" s="666" t="n">
        <v>3170</v>
      </c>
      <c r="N100" s="654" t="n">
        <v>9</v>
      </c>
      <c r="O100" s="680" t="inlineStr">
        <is>
          <t>Transfer to China Market</t>
        </is>
      </c>
    </row>
    <row r="101" ht="18" customHeight="1" s="229">
      <c r="A101" s="707" t="inlineStr">
        <is>
          <t>Classic Cozy Pajama Pants 3.0</t>
        </is>
      </c>
      <c r="B101" s="707" t="inlineStr">
        <is>
          <t>Loungewear</t>
        </is>
      </c>
      <c r="C101" s="707" t="inlineStr">
        <is>
          <t>Below threshold — long tail</t>
        </is>
      </c>
      <c r="D101" s="708" t="inlineStr">
        <is>
          <t>3 — MEDIUM (selldown or markdown)</t>
        </is>
      </c>
      <c r="E101" s="709" t="n">
        <v>3692.59</v>
      </c>
      <c r="F101" s="710" t="n">
        <v>93</v>
      </c>
      <c r="G101" s="711" t="n">
        <v>0</v>
      </c>
      <c r="H101" s="711" t="n">
        <v>43</v>
      </c>
      <c r="I101" s="711" t="n">
        <v>1009</v>
      </c>
      <c r="J101" s="712" t="n">
        <v>43</v>
      </c>
      <c r="K101" s="711" t="n">
        <v>1052</v>
      </c>
      <c r="L101" s="709" t="n">
        <v>15</v>
      </c>
      <c r="M101" s="713" t="n">
        <v>15780</v>
      </c>
      <c r="N101" s="710" t="n">
        <v>15</v>
      </c>
      <c r="O101" s="714" t="inlineStr">
        <is>
          <t>Transfer to China Market</t>
        </is>
      </c>
    </row>
    <row r="102" hidden="1" ht="18" customHeight="1" s="229">
      <c r="A102" s="699" t="inlineStr">
        <is>
          <t>Men's Undershirt Tank</t>
        </is>
      </c>
      <c r="B102" s="699" t="inlineStr">
        <is>
          <t>Men</t>
        </is>
      </c>
      <c r="C102" s="699" t="inlineStr">
        <is>
          <t>Men's category exit</t>
        </is>
      </c>
      <c r="D102" s="700" t="inlineStr">
        <is>
          <t>3 — MEDIUM (selldown or markdown)</t>
        </is>
      </c>
      <c r="E102" s="701" t="n">
        <v>1098.57</v>
      </c>
      <c r="F102" s="702" t="n">
        <v>61</v>
      </c>
      <c r="G102" s="703" t="n">
        <v>0</v>
      </c>
      <c r="H102" s="703" t="n">
        <v>57</v>
      </c>
      <c r="I102" s="703" t="n">
        <v>2364</v>
      </c>
      <c r="J102" s="704" t="n">
        <v>57</v>
      </c>
      <c r="K102" s="703" t="n">
        <v>2421</v>
      </c>
      <c r="L102" s="701" t="n">
        <v>8</v>
      </c>
      <c r="M102" s="705" t="n">
        <v>19368</v>
      </c>
      <c r="N102" s="702" t="n">
        <v>15</v>
      </c>
      <c r="O102" s="706" t="inlineStr">
        <is>
          <t>Transfer to China Market</t>
        </is>
      </c>
    </row>
    <row r="103" ht="18" customHeight="1" s="229">
      <c r="A103" s="690" t="inlineStr">
        <is>
          <t>Classic Cozy Pajama Pants</t>
        </is>
      </c>
      <c r="B103" s="690" t="inlineStr">
        <is>
          <t>Loungewear</t>
        </is>
      </c>
      <c r="C103" s="690" t="inlineStr">
        <is>
          <t>Below threshold — long tail</t>
        </is>
      </c>
      <c r="D103" s="691" t="inlineStr">
        <is>
          <t>3 — MEDIUM (selldown or markdown)</t>
        </is>
      </c>
      <c r="E103" s="692" t="n">
        <v>1909.05</v>
      </c>
      <c r="F103" s="693" t="n">
        <v>26</v>
      </c>
      <c r="G103" s="694" t="n">
        <v>6</v>
      </c>
      <c r="H103" s="694" t="n">
        <v>68</v>
      </c>
      <c r="I103" s="694" t="n">
        <v>286</v>
      </c>
      <c r="J103" s="695" t="n">
        <v>74</v>
      </c>
      <c r="K103" s="694" t="n">
        <v>360</v>
      </c>
      <c r="L103" s="692" t="n">
        <v>15</v>
      </c>
      <c r="M103" s="696" t="n">
        <v>5400</v>
      </c>
      <c r="N103" s="693" t="n">
        <v>10</v>
      </c>
      <c r="O103" s="737" t="inlineStr">
        <is>
          <t>Split: Flash Sale (US) + Transfer to China</t>
        </is>
      </c>
    </row>
    <row r="104" hidden="1" ht="18" customHeight="1" s="229">
      <c r="A104" s="658" t="inlineStr">
        <is>
          <t>Nude Shape Mid Waist Brief</t>
        </is>
      </c>
      <c r="B104" s="658" t="inlineStr">
        <is>
          <t>Underwear</t>
        </is>
      </c>
      <c r="C104" s="658" t="inlineStr">
        <is>
          <t>Below threshold — long tail</t>
        </is>
      </c>
      <c r="D104" s="668" t="inlineStr">
        <is>
          <t>3 — MEDIUM (selldown or markdown)</t>
        </is>
      </c>
      <c r="E104" s="660" t="n">
        <v>1491.58</v>
      </c>
      <c r="F104" s="661" t="n">
        <v>79</v>
      </c>
      <c r="G104" s="662" t="n">
        <v>0</v>
      </c>
      <c r="H104" s="662" t="n">
        <v>35</v>
      </c>
      <c r="I104" s="662" t="n">
        <v>357</v>
      </c>
      <c r="J104" s="663" t="n">
        <v>35</v>
      </c>
      <c r="K104" s="662" t="n">
        <v>392</v>
      </c>
      <c r="L104" s="660" t="n">
        <v>10</v>
      </c>
      <c r="M104" s="669" t="n">
        <v>3920</v>
      </c>
      <c r="N104" s="661" t="n">
        <v>5</v>
      </c>
      <c r="O104" s="681" t="inlineStr">
        <is>
          <t>Transfer to China Market</t>
        </is>
      </c>
    </row>
    <row r="105" hidden="1" ht="18" customHeight="1" s="229">
      <c r="A105" s="715" t="inlineStr">
        <is>
          <t>NEIWAI ACTIVE X NYCB Boat Neck Tank</t>
        </is>
      </c>
      <c r="B105" s="715" t="inlineStr">
        <is>
          <t>Active</t>
        </is>
      </c>
      <c r="C105" s="715" t="inlineStr">
        <is>
          <t>NYCB collab — dead inventory, no velocity</t>
        </is>
      </c>
      <c r="D105" s="716" t="inlineStr">
        <is>
          <t>2 — HIGH (excess inventory vs demand)</t>
        </is>
      </c>
      <c r="E105" s="717" t="n">
        <v>331.18</v>
      </c>
      <c r="F105" s="718" t="n">
        <v>4</v>
      </c>
      <c r="G105" s="719" t="n">
        <v>0</v>
      </c>
      <c r="H105" s="719" t="n">
        <v>68</v>
      </c>
      <c r="I105" s="719" t="n">
        <v>0</v>
      </c>
      <c r="J105" s="720" t="n">
        <v>68</v>
      </c>
      <c r="K105" s="719" t="n">
        <v>68</v>
      </c>
      <c r="L105" s="717" t="n">
        <v>18</v>
      </c>
      <c r="M105" s="721" t="n">
        <v>1224</v>
      </c>
      <c r="N105" s="718" t="n">
        <v>5</v>
      </c>
      <c r="O105" s="722" t="inlineStr">
        <is>
          <t>Transfer to China Market</t>
        </is>
      </c>
    </row>
    <row r="106" hidden="1" ht="18" customHeight="1" s="229">
      <c r="A106" s="651" t="inlineStr">
        <is>
          <t>Nude Shape Triangle Bra 2.0</t>
        </is>
      </c>
      <c r="B106" s="651" t="inlineStr">
        <is>
          <t>Underwear</t>
        </is>
      </c>
      <c r="C106" s="651" t="inlineStr">
        <is>
          <t>Below threshold — long tail</t>
        </is>
      </c>
      <c r="D106" s="652" t="inlineStr">
        <is>
          <t>3 — MEDIUM (selldown or markdown)</t>
        </is>
      </c>
      <c r="E106" s="653" t="n">
        <v>1840.4</v>
      </c>
      <c r="F106" s="654" t="n">
        <v>52</v>
      </c>
      <c r="G106" s="655" t="n">
        <v>17</v>
      </c>
      <c r="H106" s="655" t="n">
        <v>25</v>
      </c>
      <c r="I106" s="655" t="n">
        <v>403</v>
      </c>
      <c r="J106" s="656" t="n">
        <v>42</v>
      </c>
      <c r="K106" s="655" t="n">
        <v>445</v>
      </c>
      <c r="L106" s="653" t="n">
        <v>10</v>
      </c>
      <c r="M106" s="666" t="n">
        <v>4450</v>
      </c>
      <c r="N106" s="654" t="n">
        <v>11</v>
      </c>
      <c r="O106" s="667" t="inlineStr">
        <is>
          <t>Split: Flash Sale (US) + Transfer to China</t>
        </is>
      </c>
    </row>
    <row r="107" hidden="1" ht="18" customHeight="1" s="229">
      <c r="A107" s="658" t="inlineStr">
        <is>
          <t>Barely Zero Fixed Cup Spaghetti Strap Bra</t>
        </is>
      </c>
      <c r="B107" s="658" t="inlineStr">
        <is>
          <t>Underwear</t>
        </is>
      </c>
      <c r="C107" s="658" t="inlineStr">
        <is>
          <t>Zero/negative sales</t>
        </is>
      </c>
      <c r="D107" s="659" t="inlineStr">
        <is>
          <t>2 — HIGH (excess inventory vs demand)</t>
        </is>
      </c>
      <c r="E107" s="660" t="n">
        <v>0</v>
      </c>
      <c r="F107" s="661" t="n">
        <v>0</v>
      </c>
      <c r="G107" s="662" t="n">
        <v>0</v>
      </c>
      <c r="H107" s="662" t="n">
        <v>0</v>
      </c>
      <c r="I107" s="662" t="n">
        <v>0</v>
      </c>
      <c r="J107" s="663" t="n">
        <v>0</v>
      </c>
      <c r="K107" s="662" t="n">
        <v>0</v>
      </c>
      <c r="L107" s="660" t="n">
        <v>10</v>
      </c>
      <c r="M107" s="669" t="n">
        <v>0</v>
      </c>
      <c r="N107" s="661" t="n">
        <v>1</v>
      </c>
      <c r="O107" s="748" t="inlineStr">
        <is>
          <t>Delist — Zero Inventory</t>
        </is>
      </c>
    </row>
    <row r="108" hidden="1" ht="18" customHeight="1" s="229">
      <c r="A108" s="651" t="inlineStr">
        <is>
          <t>Basic Chic Mid Waist Brief - 3 Pack</t>
        </is>
      </c>
      <c r="B108" s="651" t="inlineStr">
        <is>
          <t>Underwear</t>
        </is>
      </c>
      <c r="C108" s="651" t="inlineStr">
        <is>
          <t>Non-core product — portfolio simplification</t>
        </is>
      </c>
      <c r="D108" s="652" t="inlineStr">
        <is>
          <t>3 — MEDIUM (selldown or markdown)</t>
        </is>
      </c>
      <c r="E108" s="653" t="n">
        <v>8239.539999999999</v>
      </c>
      <c r="F108" s="654" t="n">
        <v>351</v>
      </c>
      <c r="G108" s="655" t="n">
        <v>0</v>
      </c>
      <c r="H108" s="655" t="n">
        <v>34</v>
      </c>
      <c r="I108" s="655" t="n">
        <v>61</v>
      </c>
      <c r="J108" s="656" t="n">
        <v>34</v>
      </c>
      <c r="K108" s="655" t="n">
        <v>95</v>
      </c>
      <c r="L108" s="653" t="n">
        <v>10</v>
      </c>
      <c r="M108" s="666" t="n">
        <v>950</v>
      </c>
      <c r="N108" s="654" t="n">
        <v>5</v>
      </c>
      <c r="O108" s="680" t="inlineStr">
        <is>
          <t>Transfer to China Market</t>
        </is>
      </c>
    </row>
    <row r="109" hidden="1" ht="18" customHeight="1" s="229">
      <c r="A109" s="682" t="inlineStr">
        <is>
          <t>Mousse Biker Shorts</t>
        </is>
      </c>
      <c r="B109" s="682" t="inlineStr">
        <is>
          <t>Active</t>
        </is>
      </c>
      <c r="C109" s="682" t="inlineStr">
        <is>
          <t>Negligible sales (&lt;$100 in 90 days)</t>
        </is>
      </c>
      <c r="D109" s="733" t="inlineStr">
        <is>
          <t>3 — MEDIUM (selldown or markdown)</t>
        </is>
      </c>
      <c r="E109" s="684" t="n">
        <v>85.5</v>
      </c>
      <c r="F109" s="685" t="n">
        <v>19</v>
      </c>
      <c r="G109" s="686" t="n">
        <v>0</v>
      </c>
      <c r="H109" s="686" t="n">
        <v>53</v>
      </c>
      <c r="I109" s="686" t="n">
        <v>0</v>
      </c>
      <c r="J109" s="687" t="n">
        <v>53</v>
      </c>
      <c r="K109" s="686" t="n">
        <v>53</v>
      </c>
      <c r="L109" s="684" t="n">
        <v>18</v>
      </c>
      <c r="M109" s="688" t="n">
        <v>954</v>
      </c>
      <c r="N109" s="685" t="n">
        <v>4</v>
      </c>
      <c r="O109" s="689" t="inlineStr">
        <is>
          <t>Transfer to China Market</t>
        </is>
      </c>
    </row>
    <row r="110" ht="18" customHeight="1" s="229">
      <c r="A110" s="707" t="inlineStr">
        <is>
          <t>Classic Cozy Pajama Tee</t>
        </is>
      </c>
      <c r="B110" s="707" t="inlineStr">
        <is>
          <t>Loungewear</t>
        </is>
      </c>
      <c r="C110" s="707" t="inlineStr">
        <is>
          <t>Below threshold — long tail</t>
        </is>
      </c>
      <c r="D110" s="708" t="inlineStr">
        <is>
          <t>3 — MEDIUM (selldown or markdown)</t>
        </is>
      </c>
      <c r="E110" s="709" t="n">
        <v>1519.07</v>
      </c>
      <c r="F110" s="710" t="n">
        <v>42</v>
      </c>
      <c r="G110" s="711" t="n">
        <v>0</v>
      </c>
      <c r="H110" s="711" t="n">
        <v>50</v>
      </c>
      <c r="I110" s="711" t="n">
        <v>698</v>
      </c>
      <c r="J110" s="712" t="n">
        <v>50</v>
      </c>
      <c r="K110" s="711" t="n">
        <v>748</v>
      </c>
      <c r="L110" s="709" t="n">
        <v>15</v>
      </c>
      <c r="M110" s="713" t="n">
        <v>11220</v>
      </c>
      <c r="N110" s="710" t="n">
        <v>14</v>
      </c>
      <c r="O110" s="714" t="inlineStr">
        <is>
          <t>Transfer to China Market</t>
        </is>
      </c>
    </row>
    <row r="111" hidden="1" ht="18" customHeight="1" s="229">
      <c r="A111" s="715" t="inlineStr">
        <is>
          <t>Modal Pleated Dance Tank Top</t>
        </is>
      </c>
      <c r="B111" s="715" t="inlineStr">
        <is>
          <t>Active</t>
        </is>
      </c>
      <c r="C111" s="715" t="inlineStr">
        <is>
          <t>Low sales (&lt;$1K in 90 days)</t>
        </is>
      </c>
      <c r="D111" s="732" t="inlineStr">
        <is>
          <t>3 — MEDIUM (selldown or markdown)</t>
        </is>
      </c>
      <c r="E111" s="717" t="n">
        <v>518.13</v>
      </c>
      <c r="F111" s="718" t="n">
        <v>9</v>
      </c>
      <c r="G111" s="719" t="n">
        <v>0</v>
      </c>
      <c r="H111" s="719" t="n">
        <v>45</v>
      </c>
      <c r="I111" s="719" t="n">
        <v>0</v>
      </c>
      <c r="J111" s="720" t="n">
        <v>45</v>
      </c>
      <c r="K111" s="719" t="n">
        <v>45</v>
      </c>
      <c r="L111" s="717" t="n">
        <v>18</v>
      </c>
      <c r="M111" s="721" t="n">
        <v>810</v>
      </c>
      <c r="N111" s="718" t="n">
        <v>6</v>
      </c>
      <c r="O111" s="722" t="inlineStr">
        <is>
          <t>Transfer to China Market</t>
        </is>
      </c>
    </row>
    <row r="112" hidden="1" ht="18" customHeight="1" s="229">
      <c r="A112" s="658" t="inlineStr">
        <is>
          <t>Winged Support ¬æ Cup Bra</t>
        </is>
      </c>
      <c r="B112" s="658" t="inlineStr">
        <is>
          <t>Underwear</t>
        </is>
      </c>
      <c r="C112" s="658" t="inlineStr">
        <is>
          <t>Low sales (&lt;$1K in 90 days)</t>
        </is>
      </c>
      <c r="D112" s="668" t="inlineStr">
        <is>
          <t>3 — MEDIUM (selldown or markdown)</t>
        </is>
      </c>
      <c r="E112" s="660" t="n">
        <v>570</v>
      </c>
      <c r="F112" s="661" t="n">
        <v>10</v>
      </c>
      <c r="G112" s="662" t="n">
        <v>17</v>
      </c>
      <c r="H112" s="662" t="n">
        <v>45</v>
      </c>
      <c r="I112" s="662" t="n">
        <v>0</v>
      </c>
      <c r="J112" s="663" t="n">
        <v>62</v>
      </c>
      <c r="K112" s="662" t="n">
        <v>62</v>
      </c>
      <c r="L112" s="660" t="n">
        <v>10</v>
      </c>
      <c r="M112" s="669" t="n">
        <v>620</v>
      </c>
      <c r="N112" s="661" t="n">
        <v>9</v>
      </c>
      <c r="O112" s="670" t="inlineStr">
        <is>
          <t>Split: Flash Sale (US) + Transfer to China</t>
        </is>
      </c>
    </row>
    <row r="113" hidden="1" ht="18" customHeight="1" s="229">
      <c r="A113" s="651" t="inlineStr">
        <is>
          <t>Plisse Lace 3/4 Cup Bra</t>
        </is>
      </c>
      <c r="B113" s="651" t="inlineStr">
        <is>
          <t>Underwear</t>
        </is>
      </c>
      <c r="C113" s="651" t="inlineStr">
        <is>
          <t>Below threshold — long tail</t>
        </is>
      </c>
      <c r="D113" s="652" t="inlineStr">
        <is>
          <t>3 — MEDIUM (selldown or markdown)</t>
        </is>
      </c>
      <c r="E113" s="653" t="n">
        <v>2953.02</v>
      </c>
      <c r="F113" s="654" t="n">
        <v>83</v>
      </c>
      <c r="G113" s="655" t="n">
        <v>0</v>
      </c>
      <c r="H113" s="655" t="n">
        <v>34</v>
      </c>
      <c r="I113" s="655" t="n">
        <v>607</v>
      </c>
      <c r="J113" s="656" t="n">
        <v>34</v>
      </c>
      <c r="K113" s="655" t="n">
        <v>641</v>
      </c>
      <c r="L113" s="653" t="n">
        <v>10</v>
      </c>
      <c r="M113" s="666" t="n">
        <v>6410</v>
      </c>
      <c r="N113" s="654" t="n">
        <v>10</v>
      </c>
      <c r="O113" s="680" t="inlineStr">
        <is>
          <t>Transfer to China Market</t>
        </is>
      </c>
    </row>
    <row r="114" hidden="1" ht="18" customHeight="1" s="229">
      <c r="A114" s="690" t="inlineStr">
        <is>
          <t>Classic Cozy Fleece Pajama Pants 2.0</t>
        </is>
      </c>
      <c r="B114" s="690" t="inlineStr">
        <is>
          <t>Loungewear</t>
        </is>
      </c>
      <c r="C114" s="690" t="inlineStr">
        <is>
          <t>Below threshold — long tail</t>
        </is>
      </c>
      <c r="D114" s="691" t="inlineStr">
        <is>
          <t>3 — MEDIUM (selldown or markdown)</t>
        </is>
      </c>
      <c r="E114" s="692" t="n">
        <v>2876.32</v>
      </c>
      <c r="F114" s="693" t="n">
        <v>142</v>
      </c>
      <c r="G114" s="694" t="n">
        <v>18</v>
      </c>
      <c r="H114" s="694" t="n">
        <v>21</v>
      </c>
      <c r="I114" s="694" t="n">
        <v>198</v>
      </c>
      <c r="J114" s="695" t="n">
        <v>39</v>
      </c>
      <c r="K114" s="694" t="n">
        <v>237</v>
      </c>
      <c r="L114" s="692" t="n">
        <v>15</v>
      </c>
      <c r="M114" s="696" t="n">
        <v>3555</v>
      </c>
      <c r="N114" s="693" t="n">
        <v>10</v>
      </c>
      <c r="O114" s="737" t="inlineStr">
        <is>
          <t>Split: Flash Sale (US) + Transfer to China</t>
        </is>
      </c>
    </row>
    <row r="115" hidden="1" ht="18" customHeight="1" s="229">
      <c r="A115" s="707" t="inlineStr">
        <is>
          <t>Classic Cozy Long Sleeve Tee</t>
        </is>
      </c>
      <c r="B115" s="707" t="inlineStr">
        <is>
          <t>Loungewear</t>
        </is>
      </c>
      <c r="C115" s="707" t="inlineStr">
        <is>
          <t>Below threshold — long tail</t>
        </is>
      </c>
      <c r="D115" s="708" t="inlineStr">
        <is>
          <t>3 — MEDIUM (selldown or markdown)</t>
        </is>
      </c>
      <c r="E115" s="709" t="n">
        <v>1155</v>
      </c>
      <c r="F115" s="710" t="n">
        <v>26</v>
      </c>
      <c r="G115" s="711" t="n">
        <v>0</v>
      </c>
      <c r="H115" s="711" t="n">
        <v>55</v>
      </c>
      <c r="I115" s="711" t="n">
        <v>304</v>
      </c>
      <c r="J115" s="712" t="n">
        <v>55</v>
      </c>
      <c r="K115" s="711" t="n">
        <v>359</v>
      </c>
      <c r="L115" s="709" t="n">
        <v>15</v>
      </c>
      <c r="M115" s="713" t="n">
        <v>5385</v>
      </c>
      <c r="N115" s="710" t="n">
        <v>12</v>
      </c>
      <c r="O115" s="714" t="inlineStr">
        <is>
          <t>Transfer to China Market</t>
        </is>
      </c>
    </row>
    <row r="116" hidden="1" ht="18" customHeight="1" s="229">
      <c r="A116" s="682" t="inlineStr">
        <is>
          <t>Ballet Boucl√© Yarn Leg Warmers</t>
        </is>
      </c>
      <c r="B116" s="682" t="inlineStr">
        <is>
          <t>Active</t>
        </is>
      </c>
      <c r="C116" s="682" t="inlineStr">
        <is>
          <t>Active category rationalization</t>
        </is>
      </c>
      <c r="D116" s="733" t="inlineStr">
        <is>
          <t>3 — MEDIUM (selldown or markdown)</t>
        </is>
      </c>
      <c r="E116" s="684" t="n">
        <v>2135.37</v>
      </c>
      <c r="F116" s="685" t="n">
        <v>49</v>
      </c>
      <c r="G116" s="686" t="n">
        <v>0</v>
      </c>
      <c r="H116" s="686" t="n">
        <v>30</v>
      </c>
      <c r="I116" s="686" t="n">
        <v>0</v>
      </c>
      <c r="J116" s="687" t="n">
        <v>30</v>
      </c>
      <c r="K116" s="686" t="n">
        <v>30</v>
      </c>
      <c r="L116" s="684" t="n">
        <v>18</v>
      </c>
      <c r="M116" s="688" t="n">
        <v>540</v>
      </c>
      <c r="N116" s="685" t="n">
        <v>2</v>
      </c>
      <c r="O116" s="689" t="inlineStr">
        <is>
          <t>Transfer to China Market</t>
        </is>
      </c>
    </row>
    <row r="117" hidden="1" ht="18" customHeight="1" s="229">
      <c r="A117" s="658" t="inlineStr">
        <is>
          <t>Cotton Cozy Bra</t>
        </is>
      </c>
      <c r="B117" s="658" t="inlineStr">
        <is>
          <t>Underwear</t>
        </is>
      </c>
      <c r="C117" s="658" t="inlineStr">
        <is>
          <t>Below threshold — long tail</t>
        </is>
      </c>
      <c r="D117" s="668" t="inlineStr">
        <is>
          <t>3 — MEDIUM (selldown or markdown)</t>
        </is>
      </c>
      <c r="E117" s="660" t="n">
        <v>1256.83</v>
      </c>
      <c r="F117" s="661" t="n">
        <v>37</v>
      </c>
      <c r="G117" s="662" t="n">
        <v>8</v>
      </c>
      <c r="H117" s="662" t="n">
        <v>47</v>
      </c>
      <c r="I117" s="662" t="n">
        <v>213</v>
      </c>
      <c r="J117" s="663" t="n">
        <v>55</v>
      </c>
      <c r="K117" s="662" t="n">
        <v>268</v>
      </c>
      <c r="L117" s="660" t="n">
        <v>10</v>
      </c>
      <c r="M117" s="669" t="n">
        <v>2680</v>
      </c>
      <c r="N117" s="661" t="n">
        <v>13</v>
      </c>
      <c r="O117" s="670" t="inlineStr">
        <is>
          <t>Split: Flash Sale (US) + Transfer to China</t>
        </is>
      </c>
    </row>
    <row r="118" hidden="1" ht="18" customHeight="1" s="229">
      <c r="A118" s="690" t="inlineStr">
        <is>
          <t>Crewneck Thermal Set</t>
        </is>
      </c>
      <c r="B118" s="690" t="inlineStr">
        <is>
          <t>Loungewear</t>
        </is>
      </c>
      <c r="C118" s="690" t="inlineStr">
        <is>
          <t>Below threshold — long tail</t>
        </is>
      </c>
      <c r="D118" s="691" t="inlineStr">
        <is>
          <t>3 — MEDIUM (selldown or markdown)</t>
        </is>
      </c>
      <c r="E118" s="692" t="n">
        <v>1524.43</v>
      </c>
      <c r="F118" s="693" t="n">
        <v>30</v>
      </c>
      <c r="G118" s="694" t="n">
        <v>0</v>
      </c>
      <c r="H118" s="694" t="n">
        <v>52</v>
      </c>
      <c r="I118" s="694" t="n">
        <v>248</v>
      </c>
      <c r="J118" s="695" t="n">
        <v>52</v>
      </c>
      <c r="K118" s="694" t="n">
        <v>300</v>
      </c>
      <c r="L118" s="692" t="n">
        <v>15</v>
      </c>
      <c r="M118" s="696" t="n">
        <v>4500</v>
      </c>
      <c r="N118" s="693" t="n">
        <v>10</v>
      </c>
      <c r="O118" s="697" t="inlineStr">
        <is>
          <t>Transfer to China Market</t>
        </is>
      </c>
    </row>
    <row r="119" hidden="1" ht="18" customHeight="1" s="229">
      <c r="A119" s="715" t="inlineStr">
        <is>
          <t>NEIWAI ACTIVE X NYCB Mousse Half Zip Tank</t>
        </is>
      </c>
      <c r="B119" s="715" t="inlineStr">
        <is>
          <t>Active</t>
        </is>
      </c>
      <c r="C119" s="715" t="inlineStr">
        <is>
          <t>NYCB collab — dead inventory, no velocity</t>
        </is>
      </c>
      <c r="D119" s="732" t="inlineStr">
        <is>
          <t>3 — MEDIUM (selldown or markdown)</t>
        </is>
      </c>
      <c r="E119" s="717" t="n">
        <v>315.25</v>
      </c>
      <c r="F119" s="718" t="n">
        <v>6</v>
      </c>
      <c r="G119" s="719" t="n">
        <v>0</v>
      </c>
      <c r="H119" s="719" t="n">
        <v>74</v>
      </c>
      <c r="I119" s="719" t="n">
        <v>0</v>
      </c>
      <c r="J119" s="720" t="n">
        <v>74</v>
      </c>
      <c r="K119" s="719" t="n">
        <v>74</v>
      </c>
      <c r="L119" s="717" t="n">
        <v>18</v>
      </c>
      <c r="M119" s="721" t="n">
        <v>1332</v>
      </c>
      <c r="N119" s="718" t="n">
        <v>4</v>
      </c>
      <c r="O119" s="722" t="inlineStr">
        <is>
          <t>Transfer to China Market</t>
        </is>
      </c>
    </row>
    <row r="120" hidden="1" ht="18" customHeight="1" s="229">
      <c r="A120" s="651" t="inlineStr">
        <is>
          <t>Shimmer Low Waist Brief</t>
        </is>
      </c>
      <c r="B120" s="651" t="inlineStr">
        <is>
          <t>Underwear</t>
        </is>
      </c>
      <c r="C120" s="651" t="inlineStr">
        <is>
          <t>Very low sales (&lt;$500 in 90 days)</t>
        </is>
      </c>
      <c r="D120" s="652" t="inlineStr">
        <is>
          <t>3 — MEDIUM (selldown or markdown)</t>
        </is>
      </c>
      <c r="E120" s="653" t="n">
        <v>435</v>
      </c>
      <c r="F120" s="654" t="n">
        <v>20</v>
      </c>
      <c r="G120" s="655" t="n">
        <v>0</v>
      </c>
      <c r="H120" s="655" t="n">
        <v>75</v>
      </c>
      <c r="I120" s="655" t="n">
        <v>487</v>
      </c>
      <c r="J120" s="656" t="n">
        <v>75</v>
      </c>
      <c r="K120" s="655" t="n">
        <v>562</v>
      </c>
      <c r="L120" s="653" t="n">
        <v>10</v>
      </c>
      <c r="M120" s="666" t="n">
        <v>5620</v>
      </c>
      <c r="N120" s="654" t="n">
        <v>14</v>
      </c>
      <c r="O120" s="680" t="inlineStr">
        <is>
          <t>Transfer to China Market</t>
        </is>
      </c>
    </row>
    <row r="121" hidden="1" ht="18" customHeight="1" s="229">
      <c r="A121" s="658" t="inlineStr">
        <is>
          <t>Winged Support Curve Bra</t>
        </is>
      </c>
      <c r="B121" s="658" t="inlineStr">
        <is>
          <t>Underwear</t>
        </is>
      </c>
      <c r="C121" s="658" t="inlineStr">
        <is>
          <t>Low sales (&lt;$1K in 90 days)</t>
        </is>
      </c>
      <c r="D121" s="668" t="inlineStr">
        <is>
          <t>3 — MEDIUM (selldown or markdown)</t>
        </is>
      </c>
      <c r="E121" s="660" t="n">
        <v>520</v>
      </c>
      <c r="F121" s="661" t="n">
        <v>10</v>
      </c>
      <c r="G121" s="662" t="n">
        <v>11</v>
      </c>
      <c r="H121" s="662" t="n">
        <v>32</v>
      </c>
      <c r="I121" s="662" t="n">
        <v>119</v>
      </c>
      <c r="J121" s="663" t="n">
        <v>43</v>
      </c>
      <c r="K121" s="662" t="n">
        <v>162</v>
      </c>
      <c r="L121" s="660" t="n">
        <v>10</v>
      </c>
      <c r="M121" s="669" t="n">
        <v>1620</v>
      </c>
      <c r="N121" s="661" t="n">
        <v>12</v>
      </c>
      <c r="O121" s="670" t="inlineStr">
        <is>
          <t>Split: Flash Sale (US) + Transfer to China</t>
        </is>
      </c>
    </row>
    <row r="122" hidden="1" ht="18" customHeight="1" s="229">
      <c r="A122" s="723" t="inlineStr">
        <is>
          <t>Men's V-neck Short-Sleeve Undershirt</t>
        </is>
      </c>
      <c r="B122" s="723" t="inlineStr">
        <is>
          <t>Men</t>
        </is>
      </c>
      <c r="C122" s="723" t="inlineStr">
        <is>
          <t>Low sales (&lt;$1K in 90 days)</t>
        </is>
      </c>
      <c r="D122" s="724" t="inlineStr">
        <is>
          <t>3 — MEDIUM (selldown or markdown)</t>
        </is>
      </c>
      <c r="E122" s="725" t="n">
        <v>548.65</v>
      </c>
      <c r="F122" s="726" t="n">
        <v>28</v>
      </c>
      <c r="G122" s="727" t="n">
        <v>0</v>
      </c>
      <c r="H122" s="727" t="n">
        <v>70</v>
      </c>
      <c r="I122" s="727" t="n">
        <v>2034</v>
      </c>
      <c r="J122" s="728" t="n">
        <v>70</v>
      </c>
      <c r="K122" s="727" t="n">
        <v>2104</v>
      </c>
      <c r="L122" s="725" t="n">
        <v>8</v>
      </c>
      <c r="M122" s="729" t="n">
        <v>16832</v>
      </c>
      <c r="N122" s="726" t="n">
        <v>12</v>
      </c>
      <c r="O122" s="730" t="inlineStr">
        <is>
          <t>Transfer to China Market</t>
        </is>
      </c>
    </row>
    <row r="123" hidden="1" ht="18" customHeight="1" s="229">
      <c r="A123" s="682" t="inlineStr">
        <is>
          <t>NEIWAI ACTIVE X NYCB Sandwashed Modal Crewneck Sweatshirt</t>
        </is>
      </c>
      <c r="B123" s="682" t="inlineStr">
        <is>
          <t>Active</t>
        </is>
      </c>
      <c r="C123" s="682" t="inlineStr">
        <is>
          <t>NYCB collab — dead inventory, no velocity</t>
        </is>
      </c>
      <c r="D123" s="683" t="inlineStr">
        <is>
          <t>2 — HIGH (dead product)</t>
        </is>
      </c>
      <c r="E123" s="684" t="n">
        <v>0</v>
      </c>
      <c r="F123" s="685" t="n">
        <v>0</v>
      </c>
      <c r="G123" s="686" t="n">
        <v>0</v>
      </c>
      <c r="H123" s="686" t="n">
        <v>98</v>
      </c>
      <c r="I123" s="686" t="n">
        <v>0</v>
      </c>
      <c r="J123" s="687" t="n">
        <v>98</v>
      </c>
      <c r="K123" s="686" t="n">
        <v>98</v>
      </c>
      <c r="L123" s="684" t="n">
        <v>18</v>
      </c>
      <c r="M123" s="688" t="n">
        <v>1764</v>
      </c>
      <c r="N123" s="685" t="n">
        <v>5</v>
      </c>
      <c r="O123" s="689" t="inlineStr">
        <is>
          <t>Transfer to China Market</t>
        </is>
      </c>
    </row>
    <row r="124" hidden="1" ht="18" customHeight="1" s="229">
      <c r="A124" s="707" t="inlineStr">
        <is>
          <t>Cotton Cozy Lounge Pants</t>
        </is>
      </c>
      <c r="B124" s="707" t="inlineStr">
        <is>
          <t>Loungewear</t>
        </is>
      </c>
      <c r="C124" s="707" t="inlineStr">
        <is>
          <t>Below threshold — long tail</t>
        </is>
      </c>
      <c r="D124" s="708" t="inlineStr">
        <is>
          <t>3 — MEDIUM (selldown or markdown)</t>
        </is>
      </c>
      <c r="E124" s="709" t="n">
        <v>3316.59</v>
      </c>
      <c r="F124" s="710" t="n">
        <v>118</v>
      </c>
      <c r="G124" s="711" t="n">
        <v>10</v>
      </c>
      <c r="H124" s="711" t="n">
        <v>23</v>
      </c>
      <c r="I124" s="711" t="n">
        <v>392</v>
      </c>
      <c r="J124" s="712" t="n">
        <v>33</v>
      </c>
      <c r="K124" s="711" t="n">
        <v>425</v>
      </c>
      <c r="L124" s="709" t="n">
        <v>15</v>
      </c>
      <c r="M124" s="713" t="n">
        <v>6375</v>
      </c>
      <c r="N124" s="710" t="n">
        <v>13</v>
      </c>
      <c r="O124" s="749" t="inlineStr">
        <is>
          <t>Split: Flash Sale (US) + Transfer to China</t>
        </is>
      </c>
    </row>
    <row r="125" hidden="1" ht="18" customHeight="1" s="229">
      <c r="A125" s="690" t="inlineStr">
        <is>
          <t>Silk Modal Short Sleeve T-Shirt</t>
        </is>
      </c>
      <c r="B125" s="690" t="inlineStr">
        <is>
          <t>Loungewear</t>
        </is>
      </c>
      <c r="C125" s="690" t="inlineStr">
        <is>
          <t>Below threshold — long tail</t>
        </is>
      </c>
      <c r="D125" s="691" t="inlineStr">
        <is>
          <t>3 — MEDIUM (selldown or markdown)</t>
        </is>
      </c>
      <c r="E125" s="692" t="n">
        <v>2290.15</v>
      </c>
      <c r="F125" s="693" t="n">
        <v>81</v>
      </c>
      <c r="G125" s="694" t="n">
        <v>0</v>
      </c>
      <c r="H125" s="694" t="n">
        <v>31</v>
      </c>
      <c r="I125" s="694" t="n">
        <v>446</v>
      </c>
      <c r="J125" s="695" t="n">
        <v>31</v>
      </c>
      <c r="K125" s="694" t="n">
        <v>477</v>
      </c>
      <c r="L125" s="692" t="n">
        <v>15</v>
      </c>
      <c r="M125" s="696" t="n">
        <v>7155</v>
      </c>
      <c r="N125" s="693" t="n">
        <v>12</v>
      </c>
      <c r="O125" s="697" t="inlineStr">
        <is>
          <t>Transfer to China Market</t>
        </is>
      </c>
    </row>
    <row r="126" hidden="1" ht="18" customHeight="1" s="229">
      <c r="A126" s="715" t="inlineStr">
        <is>
          <t>Retro Bikini Top</t>
        </is>
      </c>
      <c r="B126" s="715" t="inlineStr">
        <is>
          <t>Active</t>
        </is>
      </c>
      <c r="C126" s="715" t="inlineStr">
        <is>
          <t>Very low sales (&lt;$500 in 90 days)</t>
        </is>
      </c>
      <c r="D126" s="732" t="inlineStr">
        <is>
          <t>3 — MEDIUM (selldown or markdown)</t>
        </is>
      </c>
      <c r="E126" s="717" t="n">
        <v>156.8</v>
      </c>
      <c r="F126" s="718" t="n">
        <v>4</v>
      </c>
      <c r="G126" s="719" t="n">
        <v>52</v>
      </c>
      <c r="H126" s="719" t="n">
        <v>7</v>
      </c>
      <c r="I126" s="719" t="n">
        <v>0</v>
      </c>
      <c r="J126" s="720" t="n">
        <v>59</v>
      </c>
      <c r="K126" s="719" t="n">
        <v>59</v>
      </c>
      <c r="L126" s="717" t="n">
        <v>18</v>
      </c>
      <c r="M126" s="721" t="n">
        <v>1062</v>
      </c>
      <c r="N126" s="718" t="n">
        <v>6</v>
      </c>
      <c r="O126" s="736" t="inlineStr">
        <is>
          <t>Split: Flash Sale (US) + Transfer to China</t>
        </is>
      </c>
    </row>
    <row r="127" hidden="1" ht="18" customHeight="1" s="229">
      <c r="A127" s="651" t="inlineStr">
        <is>
          <t>Nude Tulle Thick Strap Bra</t>
        </is>
      </c>
      <c r="B127" s="651" t="inlineStr">
        <is>
          <t>Underwear</t>
        </is>
      </c>
      <c r="C127" s="651" t="inlineStr">
        <is>
          <t>Below threshold — long tail</t>
        </is>
      </c>
      <c r="D127" s="652" t="inlineStr">
        <is>
          <t>3 — MEDIUM (selldown or markdown)</t>
        </is>
      </c>
      <c r="E127" s="653" t="n">
        <v>2259.43</v>
      </c>
      <c r="F127" s="654" t="n">
        <v>76</v>
      </c>
      <c r="G127" s="655" t="n">
        <v>0</v>
      </c>
      <c r="H127" s="655" t="n">
        <v>32</v>
      </c>
      <c r="I127" s="655" t="n">
        <v>177</v>
      </c>
      <c r="J127" s="656" t="n">
        <v>32</v>
      </c>
      <c r="K127" s="655" t="n">
        <v>209</v>
      </c>
      <c r="L127" s="653" t="n">
        <v>10</v>
      </c>
      <c r="M127" s="666" t="n">
        <v>2090</v>
      </c>
      <c r="N127" s="654" t="n">
        <v>10</v>
      </c>
      <c r="O127" s="680" t="inlineStr">
        <is>
          <t>Transfer to China Market</t>
        </is>
      </c>
    </row>
    <row r="128" hidden="1" ht="18" customHeight="1" s="229">
      <c r="A128" s="682" t="inlineStr">
        <is>
          <t>Dolce Bikini Bottom</t>
        </is>
      </c>
      <c r="B128" s="682" t="inlineStr">
        <is>
          <t>Active</t>
        </is>
      </c>
      <c r="C128" s="682" t="inlineStr">
        <is>
          <t>Very low sales (&lt;$500 in 90 days)</t>
        </is>
      </c>
      <c r="D128" s="733" t="inlineStr">
        <is>
          <t>3 — MEDIUM (selldown or markdown)</t>
        </is>
      </c>
      <c r="E128" s="684" t="n">
        <v>238.91</v>
      </c>
      <c r="F128" s="685" t="n">
        <v>7</v>
      </c>
      <c r="G128" s="686" t="n">
        <v>1</v>
      </c>
      <c r="H128" s="686" t="n">
        <v>95</v>
      </c>
      <c r="I128" s="686" t="n">
        <v>0</v>
      </c>
      <c r="J128" s="687" t="n">
        <v>96</v>
      </c>
      <c r="K128" s="686" t="n">
        <v>96</v>
      </c>
      <c r="L128" s="684" t="n">
        <v>18</v>
      </c>
      <c r="M128" s="688" t="n">
        <v>1728</v>
      </c>
      <c r="N128" s="685" t="n">
        <v>5</v>
      </c>
      <c r="O128" s="738" t="inlineStr">
        <is>
          <t>Split: Flash Sale (US) + Transfer to China</t>
        </is>
      </c>
    </row>
    <row r="129" hidden="1" ht="18" customHeight="1" s="229">
      <c r="A129" s="715" t="inlineStr">
        <is>
          <t>Dance Wrap Bra Top</t>
        </is>
      </c>
      <c r="B129" s="715" t="inlineStr">
        <is>
          <t>Active</t>
        </is>
      </c>
      <c r="C129" s="715" t="inlineStr">
        <is>
          <t>Active category rationalization</t>
        </is>
      </c>
      <c r="D129" s="732" t="inlineStr">
        <is>
          <t>3 — MEDIUM (selldown or markdown)</t>
        </is>
      </c>
      <c r="E129" s="717" t="n">
        <v>1269.57</v>
      </c>
      <c r="F129" s="718" t="n">
        <v>31</v>
      </c>
      <c r="G129" s="719" t="n">
        <v>0</v>
      </c>
      <c r="H129" s="719" t="n">
        <v>33</v>
      </c>
      <c r="I129" s="719" t="n">
        <v>62</v>
      </c>
      <c r="J129" s="720" t="n">
        <v>33</v>
      </c>
      <c r="K129" s="719" t="n">
        <v>95</v>
      </c>
      <c r="L129" s="717" t="n">
        <v>18</v>
      </c>
      <c r="M129" s="721" t="n">
        <v>1710</v>
      </c>
      <c r="N129" s="718" t="n">
        <v>8</v>
      </c>
      <c r="O129" s="722" t="inlineStr">
        <is>
          <t>Transfer to China Market</t>
        </is>
      </c>
    </row>
    <row r="130" hidden="1" ht="18" customHeight="1" s="229">
      <c r="A130" s="707" t="inlineStr">
        <is>
          <t>Silk Modal Pajama Top</t>
        </is>
      </c>
      <c r="B130" s="707" t="inlineStr">
        <is>
          <t>Loungewear</t>
        </is>
      </c>
      <c r="C130" s="707" t="inlineStr">
        <is>
          <t>Below threshold — long tail</t>
        </is>
      </c>
      <c r="D130" s="708" t="inlineStr">
        <is>
          <t>3 — MEDIUM (selldown or markdown)</t>
        </is>
      </c>
      <c r="E130" s="709" t="n">
        <v>2510.33</v>
      </c>
      <c r="F130" s="710" t="n">
        <v>65</v>
      </c>
      <c r="G130" s="711" t="n">
        <v>0</v>
      </c>
      <c r="H130" s="711" t="n">
        <v>31</v>
      </c>
      <c r="I130" s="711" t="n">
        <v>177</v>
      </c>
      <c r="J130" s="712" t="n">
        <v>31</v>
      </c>
      <c r="K130" s="711" t="n">
        <v>208</v>
      </c>
      <c r="L130" s="709" t="n">
        <v>15</v>
      </c>
      <c r="M130" s="713" t="n">
        <v>3120</v>
      </c>
      <c r="N130" s="710" t="n">
        <v>8</v>
      </c>
      <c r="O130" s="714" t="inlineStr">
        <is>
          <t>Transfer to China Market</t>
        </is>
      </c>
    </row>
    <row r="131" ht="18" customHeight="1" s="229">
      <c r="A131" s="690" t="inlineStr">
        <is>
          <t>Classic Cozy Pajama Shirt</t>
        </is>
      </c>
      <c r="B131" s="690" t="inlineStr">
        <is>
          <t>Loungewear</t>
        </is>
      </c>
      <c r="C131" s="690" t="inlineStr">
        <is>
          <t>Below threshold — long tail</t>
        </is>
      </c>
      <c r="D131" s="691" t="inlineStr">
        <is>
          <t>3 — MEDIUM (selldown or markdown)</t>
        </is>
      </c>
      <c r="E131" s="692" t="n">
        <v>1238.9</v>
      </c>
      <c r="F131" s="693" t="n">
        <v>17</v>
      </c>
      <c r="G131" s="694" t="n">
        <v>6</v>
      </c>
      <c r="H131" s="694" t="n">
        <v>57</v>
      </c>
      <c r="I131" s="694" t="n">
        <v>265</v>
      </c>
      <c r="J131" s="695" t="n">
        <v>63</v>
      </c>
      <c r="K131" s="694" t="n">
        <v>328</v>
      </c>
      <c r="L131" s="692" t="n">
        <v>15</v>
      </c>
      <c r="M131" s="696" t="n">
        <v>4920</v>
      </c>
      <c r="N131" s="693" t="n">
        <v>10</v>
      </c>
      <c r="O131" s="737" t="inlineStr">
        <is>
          <t>Split: Flash Sale (US) + Transfer to China</t>
        </is>
      </c>
    </row>
    <row r="132" hidden="1" ht="18" customHeight="1" s="229">
      <c r="A132" s="682" t="inlineStr">
        <is>
          <t>Mousse Fixed Cup Light Support Sports Bra</t>
        </is>
      </c>
      <c r="B132" s="682" t="inlineStr">
        <is>
          <t>Active</t>
        </is>
      </c>
      <c r="C132" s="682" t="inlineStr">
        <is>
          <t>Low sales (&lt;$1K in 90 days)</t>
        </is>
      </c>
      <c r="D132" s="733" t="inlineStr">
        <is>
          <t>3 — MEDIUM (selldown or markdown)</t>
        </is>
      </c>
      <c r="E132" s="684" t="n">
        <v>929.45</v>
      </c>
      <c r="F132" s="685" t="n">
        <v>34</v>
      </c>
      <c r="G132" s="686" t="n">
        <v>0</v>
      </c>
      <c r="H132" s="686" t="n">
        <v>31</v>
      </c>
      <c r="I132" s="686" t="n">
        <v>0</v>
      </c>
      <c r="J132" s="687" t="n">
        <v>31</v>
      </c>
      <c r="K132" s="686" t="n">
        <v>31</v>
      </c>
      <c r="L132" s="684" t="n">
        <v>18</v>
      </c>
      <c r="M132" s="688" t="n">
        <v>558</v>
      </c>
      <c r="N132" s="685" t="n">
        <v>4</v>
      </c>
      <c r="O132" s="689" t="inlineStr">
        <is>
          <t>Transfer to China Market</t>
        </is>
      </c>
    </row>
    <row r="133" hidden="1" ht="18" customHeight="1" s="229">
      <c r="A133" s="699" t="inlineStr">
        <is>
          <t>Men's Long Modal Brief</t>
        </is>
      </c>
      <c r="B133" s="699" t="inlineStr">
        <is>
          <t>Men</t>
        </is>
      </c>
      <c r="C133" s="699" t="inlineStr">
        <is>
          <t>Low sales (&lt;$1K in 90 days)</t>
        </is>
      </c>
      <c r="D133" s="700" t="inlineStr">
        <is>
          <t>3 — MEDIUM (selldown or markdown)</t>
        </is>
      </c>
      <c r="E133" s="701" t="n">
        <v>720.6</v>
      </c>
      <c r="F133" s="702" t="n">
        <v>50</v>
      </c>
      <c r="G133" s="703" t="n">
        <v>0</v>
      </c>
      <c r="H133" s="703" t="n">
        <v>55</v>
      </c>
      <c r="I133" s="703" t="n">
        <v>1052</v>
      </c>
      <c r="J133" s="704" t="n">
        <v>55</v>
      </c>
      <c r="K133" s="703" t="n">
        <v>1107</v>
      </c>
      <c r="L133" s="701" t="n">
        <v>8</v>
      </c>
      <c r="M133" s="705" t="n">
        <v>8856</v>
      </c>
      <c r="N133" s="702" t="n">
        <v>10</v>
      </c>
      <c r="O133" s="706" t="inlineStr">
        <is>
          <t>Transfer to China Market</t>
        </is>
      </c>
    </row>
    <row r="134" hidden="1" ht="18" customHeight="1" s="229">
      <c r="A134" s="723" t="inlineStr">
        <is>
          <t>Men's Ankle Socks (3-Pack)</t>
        </is>
      </c>
      <c r="B134" s="723" t="inlineStr">
        <is>
          <t>Men</t>
        </is>
      </c>
      <c r="C134" s="723" t="inlineStr">
        <is>
          <t>Very low sales (&lt;$500 in 90 days)</t>
        </is>
      </c>
      <c r="D134" s="724" t="inlineStr">
        <is>
          <t>3 — MEDIUM (selldown or markdown)</t>
        </is>
      </c>
      <c r="E134" s="725" t="n">
        <v>301.57</v>
      </c>
      <c r="F134" s="726" t="n">
        <v>20</v>
      </c>
      <c r="G134" s="727" t="n">
        <v>0</v>
      </c>
      <c r="H134" s="727" t="n">
        <v>35</v>
      </c>
      <c r="I134" s="727" t="n">
        <v>776</v>
      </c>
      <c r="J134" s="728" t="n">
        <v>35</v>
      </c>
      <c r="K134" s="727" t="n">
        <v>811</v>
      </c>
      <c r="L134" s="725" t="n">
        <v>8</v>
      </c>
      <c r="M134" s="729" t="n">
        <v>6488</v>
      </c>
      <c r="N134" s="726" t="n">
        <v>6</v>
      </c>
      <c r="O134" s="730" t="inlineStr">
        <is>
          <t>Transfer to China Market</t>
        </is>
      </c>
    </row>
    <row r="135" hidden="1" ht="18" customHeight="1" s="229">
      <c r="A135" s="658" t="inlineStr">
        <is>
          <t>Barely Zero Fixed Cup Wavy Bra Gift Set</t>
        </is>
      </c>
      <c r="B135" s="658" t="inlineStr">
        <is>
          <t>Underwear</t>
        </is>
      </c>
      <c r="C135" s="658" t="inlineStr">
        <is>
          <t>Bundle/Gift Set — low velocity</t>
        </is>
      </c>
      <c r="D135" s="668" t="inlineStr">
        <is>
          <t>3 — MEDIUM (selldown or markdown)</t>
        </is>
      </c>
      <c r="E135" s="660" t="n">
        <v>347.75</v>
      </c>
      <c r="F135" s="661" t="n">
        <v>7</v>
      </c>
      <c r="G135" s="662" t="n">
        <v>0</v>
      </c>
      <c r="H135" s="662" t="n">
        <v>0</v>
      </c>
      <c r="I135" s="662" t="n">
        <v>0</v>
      </c>
      <c r="J135" s="663" t="n">
        <v>0</v>
      </c>
      <c r="K135" s="662" t="n">
        <v>0</v>
      </c>
      <c r="L135" s="660" t="n">
        <v>10</v>
      </c>
      <c r="M135" s="660">
        <f>K135*L135</f>
        <v/>
      </c>
      <c r="N135" s="661" t="n">
        <v>1</v>
      </c>
      <c r="O135" s="664" t="inlineStr">
        <is>
          <t>Data Pending — Verify</t>
        </is>
      </c>
    </row>
    <row r="136" hidden="1" ht="18" customHeight="1" s="229">
      <c r="A136" s="651" t="inlineStr">
        <is>
          <t>Belle Lace Mid Waist Brief 2.0</t>
        </is>
      </c>
      <c r="B136" s="651" t="inlineStr">
        <is>
          <t>Underwear</t>
        </is>
      </c>
      <c r="C136" s="651" t="inlineStr">
        <is>
          <t>Low sales (&lt;$1K in 90 days)</t>
        </is>
      </c>
      <c r="D136" s="652" t="inlineStr">
        <is>
          <t>3 — MEDIUM (selldown or markdown)</t>
        </is>
      </c>
      <c r="E136" s="653" t="n">
        <v>740.58</v>
      </c>
      <c r="F136" s="654" t="n">
        <v>44</v>
      </c>
      <c r="G136" s="655" t="n">
        <v>0</v>
      </c>
      <c r="H136" s="655" t="n">
        <v>33</v>
      </c>
      <c r="I136" s="655" t="n">
        <v>337</v>
      </c>
      <c r="J136" s="656" t="n">
        <v>33</v>
      </c>
      <c r="K136" s="655" t="n">
        <v>370</v>
      </c>
      <c r="L136" s="653" t="n">
        <v>10</v>
      </c>
      <c r="M136" s="666" t="n">
        <v>3700</v>
      </c>
      <c r="N136" s="654" t="n">
        <v>9</v>
      </c>
      <c r="O136" s="680" t="inlineStr">
        <is>
          <t>Transfer to China Market</t>
        </is>
      </c>
    </row>
    <row r="137" hidden="1" ht="18" customHeight="1" s="229">
      <c r="A137" s="715" t="inlineStr">
        <is>
          <t>Side Knotted Sleeveless Top</t>
        </is>
      </c>
      <c r="B137" s="715" t="inlineStr">
        <is>
          <t>Active</t>
        </is>
      </c>
      <c r="C137" s="715" t="inlineStr">
        <is>
          <t>Low sales (&lt;$1K in 90 days)</t>
        </is>
      </c>
      <c r="D137" s="732" t="inlineStr">
        <is>
          <t>3 — MEDIUM (selldown or markdown)</t>
        </is>
      </c>
      <c r="E137" s="717" t="n">
        <v>849.99</v>
      </c>
      <c r="F137" s="718" t="n">
        <v>36</v>
      </c>
      <c r="G137" s="719" t="n">
        <v>0</v>
      </c>
      <c r="H137" s="719" t="n">
        <v>39</v>
      </c>
      <c r="I137" s="719" t="n">
        <v>108</v>
      </c>
      <c r="J137" s="720" t="n">
        <v>39</v>
      </c>
      <c r="K137" s="719" t="n">
        <v>147</v>
      </c>
      <c r="L137" s="717" t="n">
        <v>18</v>
      </c>
      <c r="M137" s="721" t="n">
        <v>2646</v>
      </c>
      <c r="N137" s="718" t="n">
        <v>7</v>
      </c>
      <c r="O137" s="722" t="inlineStr">
        <is>
          <t>Transfer to China Market</t>
        </is>
      </c>
    </row>
    <row r="138" hidden="1" ht="18" customHeight="1" s="229">
      <c r="A138" s="707" t="inlineStr">
        <is>
          <t>Laid Back Ribbed Cardigan 2.0</t>
        </is>
      </c>
      <c r="B138" s="707" t="inlineStr">
        <is>
          <t>Loungewear</t>
        </is>
      </c>
      <c r="C138" s="707" t="inlineStr">
        <is>
          <t>Low sales (&lt;$1K in 90 days)</t>
        </is>
      </c>
      <c r="D138" s="708" t="inlineStr">
        <is>
          <t>3 — MEDIUM (selldown or markdown)</t>
        </is>
      </c>
      <c r="E138" s="709" t="n">
        <v>545.1</v>
      </c>
      <c r="F138" s="710" t="n">
        <v>15</v>
      </c>
      <c r="G138" s="711" t="n">
        <v>22</v>
      </c>
      <c r="H138" s="711" t="n">
        <v>13</v>
      </c>
      <c r="I138" s="711" t="n">
        <v>251</v>
      </c>
      <c r="J138" s="712" t="n">
        <v>35</v>
      </c>
      <c r="K138" s="711" t="n">
        <v>286</v>
      </c>
      <c r="L138" s="709" t="n">
        <v>15</v>
      </c>
      <c r="M138" s="713" t="n">
        <v>4290</v>
      </c>
      <c r="N138" s="710" t="n">
        <v>6</v>
      </c>
      <c r="O138" s="749" t="inlineStr">
        <is>
          <t>Split: Flash Sale (US) + Transfer to China</t>
        </is>
      </c>
    </row>
    <row r="139" hidden="1" ht="18" customHeight="1" s="229">
      <c r="A139" s="699" t="inlineStr">
        <is>
          <t>Men‚Äôs Crew Socks (3-Pack)</t>
        </is>
      </c>
      <c r="B139" s="699" t="inlineStr">
        <is>
          <t>Men</t>
        </is>
      </c>
      <c r="C139" s="699" t="inlineStr">
        <is>
          <t>Low sales (&lt;$1K in 90 days)</t>
        </is>
      </c>
      <c r="D139" s="700" t="inlineStr">
        <is>
          <t>3 — MEDIUM (selldown or markdown)</t>
        </is>
      </c>
      <c r="E139" s="701" t="n">
        <v>800.4100000000001</v>
      </c>
      <c r="F139" s="702" t="n">
        <v>40</v>
      </c>
      <c r="G139" s="703" t="n">
        <v>0</v>
      </c>
      <c r="H139" s="703" t="n">
        <v>24</v>
      </c>
      <c r="I139" s="703" t="n">
        <v>282</v>
      </c>
      <c r="J139" s="704" t="n">
        <v>24</v>
      </c>
      <c r="K139" s="703" t="n">
        <v>306</v>
      </c>
      <c r="L139" s="701" t="n">
        <v>8</v>
      </c>
      <c r="M139" s="705" t="n">
        <v>2448</v>
      </c>
      <c r="N139" s="702" t="n">
        <v>3</v>
      </c>
      <c r="O139" s="706" t="inlineStr">
        <is>
          <t>Transfer to China Market</t>
        </is>
      </c>
    </row>
    <row r="140" hidden="1" ht="18" customHeight="1" s="229">
      <c r="A140" s="723" t="inlineStr">
        <is>
          <t>Men's Basic Short Sleeved T-Shirt</t>
        </is>
      </c>
      <c r="B140" s="723" t="inlineStr">
        <is>
          <t>Men</t>
        </is>
      </c>
      <c r="C140" s="723" t="inlineStr">
        <is>
          <t>Men's category exit</t>
        </is>
      </c>
      <c r="D140" s="724" t="inlineStr">
        <is>
          <t>3 — MEDIUM (selldown or markdown)</t>
        </is>
      </c>
      <c r="E140" s="725" t="n">
        <v>1071.6</v>
      </c>
      <c r="F140" s="726" t="n">
        <v>43</v>
      </c>
      <c r="G140" s="727" t="n">
        <v>10</v>
      </c>
      <c r="H140" s="727" t="n">
        <v>70</v>
      </c>
      <c r="I140" s="727" t="n">
        <v>935</v>
      </c>
      <c r="J140" s="728" t="n">
        <v>80</v>
      </c>
      <c r="K140" s="727" t="n">
        <v>1015</v>
      </c>
      <c r="L140" s="725" t="n">
        <v>8</v>
      </c>
      <c r="M140" s="729" t="n">
        <v>8120</v>
      </c>
      <c r="N140" s="726" t="n">
        <v>11</v>
      </c>
      <c r="O140" s="750" t="inlineStr">
        <is>
          <t>Split: Flash Sale (US) + Transfer to China</t>
        </is>
      </c>
    </row>
    <row r="141" hidden="1" ht="18" customHeight="1" s="229">
      <c r="A141" s="682" t="inlineStr">
        <is>
          <t>Down Vest</t>
        </is>
      </c>
      <c r="B141" s="682" t="inlineStr">
        <is>
          <t>Active</t>
        </is>
      </c>
      <c r="C141" s="682" t="inlineStr">
        <is>
          <t>Active category rationalization</t>
        </is>
      </c>
      <c r="D141" s="733" t="inlineStr">
        <is>
          <t>3 — MEDIUM (selldown or markdown)</t>
        </is>
      </c>
      <c r="E141" s="684" t="n">
        <v>7649.809999999999</v>
      </c>
      <c r="F141" s="685" t="n">
        <v>68</v>
      </c>
      <c r="G141" s="686" t="n">
        <v>7</v>
      </c>
      <c r="H141" s="686" t="n">
        <v>20</v>
      </c>
      <c r="I141" s="686" t="n">
        <v>14</v>
      </c>
      <c r="J141" s="687" t="n">
        <v>27</v>
      </c>
      <c r="K141" s="686" t="n">
        <v>41</v>
      </c>
      <c r="L141" s="684" t="n">
        <v>18</v>
      </c>
      <c r="M141" s="688" t="n">
        <v>738</v>
      </c>
      <c r="N141" s="685" t="n">
        <v>8</v>
      </c>
      <c r="O141" s="738" t="inlineStr">
        <is>
          <t>Split: Flash Sale (US) + Transfer to China</t>
        </is>
      </c>
    </row>
    <row r="142" hidden="1" ht="18" customHeight="1" s="229">
      <c r="A142" s="690" t="inlineStr">
        <is>
          <t>Mid-Rise Bootcut Jeans</t>
        </is>
      </c>
      <c r="B142" s="690" t="inlineStr">
        <is>
          <t>Loungewear</t>
        </is>
      </c>
      <c r="C142" s="690" t="inlineStr">
        <is>
          <t>Below threshold — long tail</t>
        </is>
      </c>
      <c r="D142" s="691" t="inlineStr">
        <is>
          <t>3 — MEDIUM (selldown or markdown)</t>
        </is>
      </c>
      <c r="E142" s="692" t="n">
        <v>3833.93</v>
      </c>
      <c r="F142" s="693" t="n">
        <v>28</v>
      </c>
      <c r="G142" s="694" t="n">
        <v>0</v>
      </c>
      <c r="H142" s="694" t="n">
        <v>26</v>
      </c>
      <c r="I142" s="694" t="n">
        <v>0</v>
      </c>
      <c r="J142" s="695" t="n">
        <v>26</v>
      </c>
      <c r="K142" s="694" t="n">
        <v>26</v>
      </c>
      <c r="L142" s="692" t="n">
        <v>15</v>
      </c>
      <c r="M142" s="696" t="n">
        <v>390</v>
      </c>
      <c r="N142" s="693" t="n">
        <v>8</v>
      </c>
      <c r="O142" s="697" t="inlineStr">
        <is>
          <t>Transfer to China Market</t>
        </is>
      </c>
    </row>
    <row r="143" hidden="1" ht="18" customHeight="1" s="229">
      <c r="A143" s="707" t="inlineStr">
        <is>
          <t>Lyocell Camisole</t>
        </is>
      </c>
      <c r="B143" s="707" t="inlineStr">
        <is>
          <t>Loungewear</t>
        </is>
      </c>
      <c r="C143" s="707" t="inlineStr">
        <is>
          <t>Very low sales (&lt;$500 in 90 days)</t>
        </is>
      </c>
      <c r="D143" s="708" t="inlineStr">
        <is>
          <t>3 — MEDIUM (selldown or markdown)</t>
        </is>
      </c>
      <c r="E143" s="709" t="n">
        <v>236.06</v>
      </c>
      <c r="F143" s="710" t="n">
        <v>11</v>
      </c>
      <c r="G143" s="711" t="n">
        <v>0</v>
      </c>
      <c r="H143" s="711" t="n">
        <v>44</v>
      </c>
      <c r="I143" s="711" t="n">
        <v>262</v>
      </c>
      <c r="J143" s="712" t="n">
        <v>44</v>
      </c>
      <c r="K143" s="711" t="n">
        <v>306</v>
      </c>
      <c r="L143" s="709" t="n">
        <v>15</v>
      </c>
      <c r="M143" s="713" t="n">
        <v>4590</v>
      </c>
      <c r="N143" s="710" t="n">
        <v>9</v>
      </c>
      <c r="O143" s="714" t="inlineStr">
        <is>
          <t>Transfer to China Market</t>
        </is>
      </c>
    </row>
    <row r="144" hidden="1" ht="18" customHeight="1" s="229">
      <c r="A144" s="715" t="inlineStr">
        <is>
          <t>Core Medium Support Leggings</t>
        </is>
      </c>
      <c r="B144" s="715" t="inlineStr">
        <is>
          <t>Active</t>
        </is>
      </c>
      <c r="C144" s="715" t="inlineStr">
        <is>
          <t>Low sales (&lt;$1K in 90 days)</t>
        </is>
      </c>
      <c r="D144" s="732" t="inlineStr">
        <is>
          <t>3 — MEDIUM (selldown or markdown)</t>
        </is>
      </c>
      <c r="E144" s="717" t="n">
        <v>793.15</v>
      </c>
      <c r="F144" s="718" t="n">
        <v>19</v>
      </c>
      <c r="G144" s="719" t="n">
        <v>0</v>
      </c>
      <c r="H144" s="719" t="n">
        <v>31</v>
      </c>
      <c r="I144" s="719" t="n">
        <v>528</v>
      </c>
      <c r="J144" s="720" t="n">
        <v>31</v>
      </c>
      <c r="K144" s="719" t="n">
        <v>559</v>
      </c>
      <c r="L144" s="717" t="n">
        <v>18</v>
      </c>
      <c r="M144" s="721" t="n">
        <v>10062</v>
      </c>
      <c r="N144" s="718" t="n">
        <v>6</v>
      </c>
      <c r="O144" s="722" t="inlineStr">
        <is>
          <t>Transfer to China Market</t>
        </is>
      </c>
    </row>
    <row r="145" hidden="1" ht="18" customHeight="1" s="229">
      <c r="A145" s="690" t="inlineStr">
        <is>
          <t>Maternity Leggings</t>
        </is>
      </c>
      <c r="B145" s="690" t="inlineStr">
        <is>
          <t>Loungewear</t>
        </is>
      </c>
      <c r="C145" s="690" t="inlineStr">
        <is>
          <t>Below threshold — long tail</t>
        </is>
      </c>
      <c r="D145" s="691" t="inlineStr">
        <is>
          <t>3 — MEDIUM (selldown or markdown)</t>
        </is>
      </c>
      <c r="E145" s="692" t="n">
        <v>1280.63</v>
      </c>
      <c r="F145" s="693" t="n">
        <v>22</v>
      </c>
      <c r="G145" s="694" t="n">
        <v>0</v>
      </c>
      <c r="H145" s="694" t="n">
        <v>24</v>
      </c>
      <c r="I145" s="694" t="n">
        <v>81</v>
      </c>
      <c r="J145" s="695" t="n">
        <v>24</v>
      </c>
      <c r="K145" s="694" t="n">
        <v>105</v>
      </c>
      <c r="L145" s="692" t="n">
        <v>15</v>
      </c>
      <c r="M145" s="696" t="n">
        <v>1575</v>
      </c>
      <c r="N145" s="693" t="n">
        <v>3</v>
      </c>
      <c r="O145" s="697" t="inlineStr">
        <is>
          <t>Transfer to China Market</t>
        </is>
      </c>
    </row>
    <row r="146" hidden="1" ht="18" customHeight="1" s="229">
      <c r="A146" s="707" t="inlineStr">
        <is>
          <t>Boundless Side Slit Sweatshirt</t>
        </is>
      </c>
      <c r="B146" s="707" t="inlineStr">
        <is>
          <t>Loungewear</t>
        </is>
      </c>
      <c r="C146" s="707" t="inlineStr">
        <is>
          <t>Low sales (&lt;$1K in 90 days)</t>
        </is>
      </c>
      <c r="D146" s="708" t="inlineStr">
        <is>
          <t>3 — MEDIUM (selldown or markdown)</t>
        </is>
      </c>
      <c r="E146" s="709" t="n">
        <v>948.41</v>
      </c>
      <c r="F146" s="710" t="n">
        <v>23</v>
      </c>
      <c r="G146" s="711" t="n">
        <v>7</v>
      </c>
      <c r="H146" s="711" t="n">
        <v>27</v>
      </c>
      <c r="I146" s="711" t="n">
        <v>157</v>
      </c>
      <c r="J146" s="712" t="n">
        <v>34</v>
      </c>
      <c r="K146" s="711" t="n">
        <v>191</v>
      </c>
      <c r="L146" s="709" t="n">
        <v>15</v>
      </c>
      <c r="M146" s="713" t="n">
        <v>2865</v>
      </c>
      <c r="N146" s="710" t="n">
        <v>9</v>
      </c>
      <c r="O146" s="749" t="inlineStr">
        <is>
          <t>Split: Flash Sale (US) + Transfer to China</t>
        </is>
      </c>
    </row>
    <row r="147" hidden="1" ht="18" customHeight="1" s="229">
      <c r="A147" s="699" t="inlineStr">
        <is>
          <t>Men's Lounge Shorts</t>
        </is>
      </c>
      <c r="B147" s="699" t="inlineStr">
        <is>
          <t>Men</t>
        </is>
      </c>
      <c r="C147" s="699" t="inlineStr">
        <is>
          <t>Low sales (&lt;$1K in 90 days)</t>
        </is>
      </c>
      <c r="D147" s="700" t="inlineStr">
        <is>
          <t>3 — MEDIUM (selldown or markdown)</t>
        </is>
      </c>
      <c r="E147" s="701" t="n">
        <v>779.04</v>
      </c>
      <c r="F147" s="702" t="n">
        <v>25</v>
      </c>
      <c r="G147" s="703" t="n">
        <v>0</v>
      </c>
      <c r="H147" s="703" t="n">
        <v>59</v>
      </c>
      <c r="I147" s="703" t="n">
        <v>1973</v>
      </c>
      <c r="J147" s="704" t="n">
        <v>59</v>
      </c>
      <c r="K147" s="703" t="n">
        <v>2032</v>
      </c>
      <c r="L147" s="701" t="n">
        <v>8</v>
      </c>
      <c r="M147" s="705" t="n">
        <v>16256</v>
      </c>
      <c r="N147" s="702" t="n">
        <v>12</v>
      </c>
      <c r="O147" s="706" t="inlineStr">
        <is>
          <t>Transfer to China Market</t>
        </is>
      </c>
    </row>
    <row r="148" hidden="1" ht="18" customHeight="1" s="229">
      <c r="A148" s="690" t="inlineStr">
        <is>
          <t>Silky Knit Hoodie</t>
        </is>
      </c>
      <c r="B148" s="690" t="inlineStr">
        <is>
          <t>Loungewear</t>
        </is>
      </c>
      <c r="C148" s="690" t="inlineStr">
        <is>
          <t>Below threshold — long tail</t>
        </is>
      </c>
      <c r="D148" s="691" t="inlineStr">
        <is>
          <t>3 — MEDIUM (selldown or markdown)</t>
        </is>
      </c>
      <c r="E148" s="692" t="n">
        <v>1158.07</v>
      </c>
      <c r="F148" s="693" t="n">
        <v>10</v>
      </c>
      <c r="G148" s="694" t="n">
        <v>16</v>
      </c>
      <c r="H148" s="694" t="n">
        <v>14</v>
      </c>
      <c r="I148" s="694" t="n">
        <v>12</v>
      </c>
      <c r="J148" s="695" t="n">
        <v>30</v>
      </c>
      <c r="K148" s="694" t="n">
        <v>42</v>
      </c>
      <c r="L148" s="692" t="n">
        <v>15</v>
      </c>
      <c r="M148" s="696" t="n">
        <v>630</v>
      </c>
      <c r="N148" s="693" t="n">
        <v>6</v>
      </c>
      <c r="O148" s="737" t="inlineStr">
        <is>
          <t>Split: Flash Sale (US) + Transfer to China</t>
        </is>
      </c>
    </row>
    <row r="149" hidden="1" ht="18" customHeight="1" s="229">
      <c r="A149" s="707" t="inlineStr">
        <is>
          <t>Ribbed Wide Leg Pants</t>
        </is>
      </c>
      <c r="B149" s="707" t="inlineStr">
        <is>
          <t>Loungewear</t>
        </is>
      </c>
      <c r="C149" s="707" t="inlineStr">
        <is>
          <t>Below threshold — long tail</t>
        </is>
      </c>
      <c r="D149" s="708" t="inlineStr">
        <is>
          <t>3 — MEDIUM (selldown or markdown)</t>
        </is>
      </c>
      <c r="E149" s="709" t="n">
        <v>1399.76</v>
      </c>
      <c r="F149" s="710" t="n">
        <v>41</v>
      </c>
      <c r="G149" s="711" t="n">
        <v>0</v>
      </c>
      <c r="H149" s="711" t="n">
        <v>39</v>
      </c>
      <c r="I149" s="711" t="n">
        <v>429</v>
      </c>
      <c r="J149" s="712" t="n">
        <v>39</v>
      </c>
      <c r="K149" s="711" t="n">
        <v>468</v>
      </c>
      <c r="L149" s="709" t="n">
        <v>15</v>
      </c>
      <c r="M149" s="713" t="n">
        <v>7020</v>
      </c>
      <c r="N149" s="710" t="n">
        <v>9</v>
      </c>
      <c r="O149" s="714" t="inlineStr">
        <is>
          <t>Transfer to China Market</t>
        </is>
      </c>
    </row>
    <row r="150" hidden="1" ht="18" customHeight="1" s="229">
      <c r="A150" s="682" t="inlineStr">
        <is>
          <t>NEIWAI ACTIVE X NYCB Mousse High Waist Pants</t>
        </is>
      </c>
      <c r="B150" s="682" t="inlineStr">
        <is>
          <t>Active</t>
        </is>
      </c>
      <c r="C150" s="682" t="inlineStr">
        <is>
          <t>NYCB collab — dead inventory, no velocity</t>
        </is>
      </c>
      <c r="D150" s="733" t="inlineStr">
        <is>
          <t>3 — MEDIUM (selldown or markdown)</t>
        </is>
      </c>
      <c r="E150" s="684" t="n">
        <v>832.3200000000001</v>
      </c>
      <c r="F150" s="685" t="n">
        <v>10</v>
      </c>
      <c r="G150" s="686" t="n">
        <v>4</v>
      </c>
      <c r="H150" s="686" t="n">
        <v>46</v>
      </c>
      <c r="I150" s="686" t="n">
        <v>0</v>
      </c>
      <c r="J150" s="687" t="n">
        <v>50</v>
      </c>
      <c r="K150" s="686" t="n">
        <v>50</v>
      </c>
      <c r="L150" s="684" t="n">
        <v>18</v>
      </c>
      <c r="M150" s="688" t="n">
        <v>900</v>
      </c>
      <c r="N150" s="685" t="n">
        <v>5</v>
      </c>
      <c r="O150" s="738" t="inlineStr">
        <is>
          <t>Split: Flash Sale (US) + Transfer to China</t>
        </is>
      </c>
    </row>
    <row r="151" hidden="1" ht="18" customHeight="1" s="229">
      <c r="A151" s="690" t="inlineStr">
        <is>
          <t>Ribbed Drawstring Waist Top</t>
        </is>
      </c>
      <c r="B151" s="690" t="inlineStr">
        <is>
          <t>Loungewear</t>
        </is>
      </c>
      <c r="C151" s="690" t="inlineStr">
        <is>
          <t>Below threshold — long tail</t>
        </is>
      </c>
      <c r="D151" s="691" t="inlineStr">
        <is>
          <t>3 — MEDIUM (selldown or markdown)</t>
        </is>
      </c>
      <c r="E151" s="692" t="n">
        <v>1542.86</v>
      </c>
      <c r="F151" s="693" t="n">
        <v>52</v>
      </c>
      <c r="G151" s="694" t="n">
        <v>0</v>
      </c>
      <c r="H151" s="694" t="n">
        <v>39</v>
      </c>
      <c r="I151" s="694" t="n">
        <v>434</v>
      </c>
      <c r="J151" s="695" t="n">
        <v>39</v>
      </c>
      <c r="K151" s="694" t="n">
        <v>473</v>
      </c>
      <c r="L151" s="692" t="n">
        <v>15</v>
      </c>
      <c r="M151" s="696" t="n">
        <v>7095</v>
      </c>
      <c r="N151" s="693" t="n">
        <v>9</v>
      </c>
      <c r="O151" s="697" t="inlineStr">
        <is>
          <t>Transfer to China Market</t>
        </is>
      </c>
    </row>
    <row r="152" hidden="1" ht="18" customHeight="1" s="229">
      <c r="A152" s="715" t="inlineStr">
        <is>
          <t>Active Wool Cardigan</t>
        </is>
      </c>
      <c r="B152" s="715" t="inlineStr">
        <is>
          <t>Active</t>
        </is>
      </c>
      <c r="C152" s="715" t="inlineStr">
        <is>
          <t>Active category rationalization</t>
        </is>
      </c>
      <c r="D152" s="732" t="inlineStr">
        <is>
          <t>3 — MEDIUM (selldown or markdown)</t>
        </is>
      </c>
      <c r="E152" s="717" t="n">
        <v>1871.92</v>
      </c>
      <c r="F152" s="718" t="n">
        <v>16</v>
      </c>
      <c r="G152" s="719" t="n">
        <v>0</v>
      </c>
      <c r="H152" s="719" t="n">
        <v>56</v>
      </c>
      <c r="I152" s="719" t="n">
        <v>81</v>
      </c>
      <c r="J152" s="720" t="n">
        <v>56</v>
      </c>
      <c r="K152" s="719" t="n">
        <v>137</v>
      </c>
      <c r="L152" s="717" t="n">
        <v>18</v>
      </c>
      <c r="M152" s="721" t="n">
        <v>2466</v>
      </c>
      <c r="N152" s="718" t="n">
        <v>11</v>
      </c>
      <c r="O152" s="722" t="inlineStr">
        <is>
          <t>Transfer to China Market</t>
        </is>
      </c>
    </row>
    <row r="153" hidden="1" ht="18" customHeight="1" s="229">
      <c r="A153" s="658" t="inlineStr">
        <is>
          <t>Nude Tulle Mid Waist Brief</t>
        </is>
      </c>
      <c r="B153" s="658" t="inlineStr">
        <is>
          <t>Underwear</t>
        </is>
      </c>
      <c r="C153" s="658" t="inlineStr">
        <is>
          <t>Low sales (&lt;$1K in 90 days)</t>
        </is>
      </c>
      <c r="D153" s="668" t="inlineStr">
        <is>
          <t>3 — MEDIUM (selldown or markdown)</t>
        </is>
      </c>
      <c r="E153" s="660" t="n">
        <v>802.6</v>
      </c>
      <c r="F153" s="661" t="n">
        <v>72</v>
      </c>
      <c r="G153" s="662" t="n">
        <v>0</v>
      </c>
      <c r="H153" s="662" t="n">
        <v>25</v>
      </c>
      <c r="I153" s="662" t="n">
        <v>309</v>
      </c>
      <c r="J153" s="663" t="n">
        <v>25</v>
      </c>
      <c r="K153" s="662" t="n">
        <v>334</v>
      </c>
      <c r="L153" s="660" t="n">
        <v>10</v>
      </c>
      <c r="M153" s="669" t="n">
        <v>3340</v>
      </c>
      <c r="N153" s="661" t="n">
        <v>8</v>
      </c>
      <c r="O153" s="681" t="inlineStr">
        <is>
          <t>Transfer to China Market</t>
        </is>
      </c>
    </row>
    <row r="154" hidden="1" ht="18" customHeight="1" s="229">
      <c r="A154" s="707" t="inlineStr">
        <is>
          <t>Maternity V-Neck Top</t>
        </is>
      </c>
      <c r="B154" s="707" t="inlineStr">
        <is>
          <t>Loungewear</t>
        </is>
      </c>
      <c r="C154" s="707" t="inlineStr">
        <is>
          <t>Below threshold — long tail</t>
        </is>
      </c>
      <c r="D154" s="708" t="inlineStr">
        <is>
          <t>3 — MEDIUM (selldown or markdown)</t>
        </is>
      </c>
      <c r="E154" s="709" t="n">
        <v>1102.77</v>
      </c>
      <c r="F154" s="710" t="n">
        <v>25</v>
      </c>
      <c r="G154" s="711" t="n">
        <v>0</v>
      </c>
      <c r="H154" s="711" t="n">
        <v>30</v>
      </c>
      <c r="I154" s="711" t="n">
        <v>241</v>
      </c>
      <c r="J154" s="712" t="n">
        <v>30</v>
      </c>
      <c r="K154" s="711" t="n">
        <v>271</v>
      </c>
      <c r="L154" s="709" t="n">
        <v>15</v>
      </c>
      <c r="M154" s="713" t="n">
        <v>4065</v>
      </c>
      <c r="N154" s="710" t="n">
        <v>7</v>
      </c>
      <c r="O154" s="714" t="inlineStr">
        <is>
          <t>Transfer to China Market</t>
        </is>
      </c>
    </row>
    <row r="155" hidden="1" ht="18" customHeight="1" s="229">
      <c r="A155" s="682" t="inlineStr">
        <is>
          <t>Ballet Knitted Wool Hoodie</t>
        </is>
      </c>
      <c r="B155" s="682" t="inlineStr">
        <is>
          <t>Active</t>
        </is>
      </c>
      <c r="C155" s="682" t="inlineStr">
        <is>
          <t>Active category rationalization</t>
        </is>
      </c>
      <c r="D155" s="733" t="inlineStr">
        <is>
          <t>3 — MEDIUM (selldown or markdown)</t>
        </is>
      </c>
      <c r="E155" s="684" t="n">
        <v>1357.19</v>
      </c>
      <c r="F155" s="685" t="n">
        <v>30</v>
      </c>
      <c r="G155" s="686" t="n">
        <v>0</v>
      </c>
      <c r="H155" s="686" t="n">
        <v>28</v>
      </c>
      <c r="I155" s="686" t="n">
        <v>211</v>
      </c>
      <c r="J155" s="687" t="n">
        <v>28</v>
      </c>
      <c r="K155" s="686" t="n">
        <v>239</v>
      </c>
      <c r="L155" s="684" t="n">
        <v>18</v>
      </c>
      <c r="M155" s="688" t="n">
        <v>4302</v>
      </c>
      <c r="N155" s="685" t="n">
        <v>8</v>
      </c>
      <c r="O155" s="689" t="inlineStr">
        <is>
          <t>Transfer to China Market</t>
        </is>
      </c>
    </row>
    <row r="156" hidden="1" ht="18" customHeight="1" s="229">
      <c r="A156" s="690" t="inlineStr">
        <is>
          <t>Boundless Fleece Jacket 2.0</t>
        </is>
      </c>
      <c r="B156" s="690" t="inlineStr">
        <is>
          <t>Loungewear</t>
        </is>
      </c>
      <c r="C156" s="690" t="inlineStr">
        <is>
          <t>Below threshold — long tail</t>
        </is>
      </c>
      <c r="D156" s="691" t="inlineStr">
        <is>
          <t>3 — MEDIUM (selldown or markdown)</t>
        </is>
      </c>
      <c r="E156" s="692" t="n">
        <v>2582.86</v>
      </c>
      <c r="F156" s="693" t="n">
        <v>41</v>
      </c>
      <c r="G156" s="694" t="n">
        <v>0</v>
      </c>
      <c r="H156" s="694" t="n">
        <v>27</v>
      </c>
      <c r="I156" s="694" t="n">
        <v>348</v>
      </c>
      <c r="J156" s="695" t="n">
        <v>27</v>
      </c>
      <c r="K156" s="694" t="n">
        <v>375</v>
      </c>
      <c r="L156" s="692" t="n">
        <v>15</v>
      </c>
      <c r="M156" s="696" t="n">
        <v>5625</v>
      </c>
      <c r="N156" s="693" t="n">
        <v>9</v>
      </c>
      <c r="O156" s="697" t="inlineStr">
        <is>
          <t>Transfer to China Market</t>
        </is>
      </c>
    </row>
    <row r="157" hidden="1" ht="18" customHeight="1" s="229">
      <c r="A157" s="651" t="inlineStr">
        <is>
          <t>Self Silk Mid Waist Brief</t>
        </is>
      </c>
      <c r="B157" s="651" t="inlineStr">
        <is>
          <t>Underwear</t>
        </is>
      </c>
      <c r="C157" s="651" t="inlineStr">
        <is>
          <t>Low sales (&lt;$1K in 90 days)</t>
        </is>
      </c>
      <c r="D157" s="652" t="inlineStr">
        <is>
          <t>3 — MEDIUM (selldown or markdown)</t>
        </is>
      </c>
      <c r="E157" s="653" t="n">
        <v>837</v>
      </c>
      <c r="F157" s="654" t="n">
        <v>66</v>
      </c>
      <c r="G157" s="655" t="n">
        <v>0</v>
      </c>
      <c r="H157" s="655" t="n">
        <v>28</v>
      </c>
      <c r="I157" s="655" t="n">
        <v>79</v>
      </c>
      <c r="J157" s="656" t="n">
        <v>28</v>
      </c>
      <c r="K157" s="655" t="n">
        <v>107</v>
      </c>
      <c r="L157" s="653" t="n">
        <v>10</v>
      </c>
      <c r="M157" s="666" t="n">
        <v>1070</v>
      </c>
      <c r="N157" s="654" t="n">
        <v>7</v>
      </c>
      <c r="O157" s="680" t="inlineStr">
        <is>
          <t>Transfer to China Market</t>
        </is>
      </c>
    </row>
    <row r="158" hidden="1" ht="18" customHeight="1" s="229">
      <c r="A158" s="658" t="inlineStr">
        <is>
          <t>Pliss√© Low Waist Brief</t>
        </is>
      </c>
      <c r="B158" s="658" t="inlineStr">
        <is>
          <t>Underwear</t>
        </is>
      </c>
      <c r="C158" s="658" t="inlineStr">
        <is>
          <t>Very low sales (&lt;$500 in 90 days)</t>
        </is>
      </c>
      <c r="D158" s="668" t="inlineStr">
        <is>
          <t>3 — MEDIUM (selldown or markdown)</t>
        </is>
      </c>
      <c r="E158" s="660" t="n">
        <v>423.24</v>
      </c>
      <c r="F158" s="661" t="n">
        <v>25</v>
      </c>
      <c r="G158" s="662" t="n">
        <v>0</v>
      </c>
      <c r="H158" s="662" t="n">
        <v>46</v>
      </c>
      <c r="I158" s="662" t="n">
        <v>367</v>
      </c>
      <c r="J158" s="663" t="n">
        <v>46</v>
      </c>
      <c r="K158" s="662" t="n">
        <v>413</v>
      </c>
      <c r="L158" s="660" t="n">
        <v>10</v>
      </c>
      <c r="M158" s="669" t="n">
        <v>4130</v>
      </c>
      <c r="N158" s="661" t="n">
        <v>5</v>
      </c>
      <c r="O158" s="681" t="inlineStr">
        <is>
          <t>Transfer to China Market</t>
        </is>
      </c>
    </row>
    <row r="159" hidden="1" ht="18" customHeight="1" s="229">
      <c r="A159" s="707" t="inlineStr">
        <is>
          <t>Lyocell Straight Leg Pants</t>
        </is>
      </c>
      <c r="B159" s="707" t="inlineStr">
        <is>
          <t>Loungewear</t>
        </is>
      </c>
      <c r="C159" s="707" t="inlineStr">
        <is>
          <t>Low sales (&lt;$1K in 90 days)</t>
        </is>
      </c>
      <c r="D159" s="708" t="inlineStr">
        <is>
          <t>3 — MEDIUM (selldown or markdown)</t>
        </is>
      </c>
      <c r="E159" s="709" t="n">
        <v>538.23</v>
      </c>
      <c r="F159" s="710" t="n">
        <v>14</v>
      </c>
      <c r="G159" s="711" t="n">
        <v>4</v>
      </c>
      <c r="H159" s="711" t="n">
        <v>45</v>
      </c>
      <c r="I159" s="711" t="n">
        <v>380</v>
      </c>
      <c r="J159" s="712" t="n">
        <v>49</v>
      </c>
      <c r="K159" s="711" t="n">
        <v>429</v>
      </c>
      <c r="L159" s="709" t="n">
        <v>15</v>
      </c>
      <c r="M159" s="713" t="n">
        <v>6435</v>
      </c>
      <c r="N159" s="710" t="n">
        <v>10</v>
      </c>
      <c r="O159" s="749" t="inlineStr">
        <is>
          <t>Split: Flash Sale (US) + Transfer to China</t>
        </is>
      </c>
    </row>
    <row r="160" hidden="1" ht="18" customHeight="1" s="229">
      <c r="A160" s="690" t="inlineStr">
        <is>
          <t>Ruched Collarless Pajama Dress</t>
        </is>
      </c>
      <c r="B160" s="690" t="inlineStr">
        <is>
          <t>Loungewear</t>
        </is>
      </c>
      <c r="C160" s="690" t="inlineStr">
        <is>
          <t>Low sales (&lt;$1K in 90 days)</t>
        </is>
      </c>
      <c r="D160" s="691" t="inlineStr">
        <is>
          <t>3 — MEDIUM (selldown or markdown)</t>
        </is>
      </c>
      <c r="E160" s="692" t="n">
        <v>782.89</v>
      </c>
      <c r="F160" s="693" t="n">
        <v>16</v>
      </c>
      <c r="G160" s="694" t="n">
        <v>0</v>
      </c>
      <c r="H160" s="694" t="n">
        <v>27</v>
      </c>
      <c r="I160" s="694" t="n">
        <v>326</v>
      </c>
      <c r="J160" s="695" t="n">
        <v>27</v>
      </c>
      <c r="K160" s="694" t="n">
        <v>353</v>
      </c>
      <c r="L160" s="692" t="n">
        <v>15</v>
      </c>
      <c r="M160" s="696" t="n">
        <v>5295</v>
      </c>
      <c r="N160" s="693" t="n">
        <v>7</v>
      </c>
      <c r="O160" s="697" t="inlineStr">
        <is>
          <t>Transfer to China Market</t>
        </is>
      </c>
    </row>
    <row r="161" hidden="1" ht="18" customHeight="1" s="229">
      <c r="A161" s="707" t="inlineStr">
        <is>
          <t>Light Lift Shaping Leggings</t>
        </is>
      </c>
      <c r="B161" s="707" t="inlineStr">
        <is>
          <t>Loungewear</t>
        </is>
      </c>
      <c r="C161" s="707" t="inlineStr">
        <is>
          <t>Below threshold — long tail</t>
        </is>
      </c>
      <c r="D161" s="708" t="inlineStr">
        <is>
          <t>3 — MEDIUM (selldown or markdown)</t>
        </is>
      </c>
      <c r="E161" s="709" t="n">
        <v>1877.25</v>
      </c>
      <c r="F161" s="710" t="n">
        <v>75</v>
      </c>
      <c r="G161" s="711" t="n">
        <v>4</v>
      </c>
      <c r="H161" s="711" t="n">
        <v>23</v>
      </c>
      <c r="I161" s="711" t="n">
        <v>246</v>
      </c>
      <c r="J161" s="712" t="n">
        <v>27</v>
      </c>
      <c r="K161" s="711" t="n">
        <v>273</v>
      </c>
      <c r="L161" s="709" t="n">
        <v>15</v>
      </c>
      <c r="M161" s="713" t="n">
        <v>4095</v>
      </c>
      <c r="N161" s="710" t="n">
        <v>10</v>
      </c>
      <c r="O161" s="749" t="inlineStr">
        <is>
          <t>Split: Flash Sale (US) + Transfer to China</t>
        </is>
      </c>
    </row>
    <row r="162" hidden="1" ht="18" customHeight="1" s="229">
      <c r="A162" s="690" t="inlineStr">
        <is>
          <t>Silk Cotton U Neck Pajama Top</t>
        </is>
      </c>
      <c r="B162" s="690" t="inlineStr">
        <is>
          <t>Loungewear</t>
        </is>
      </c>
      <c r="C162" s="690" t="inlineStr">
        <is>
          <t>Very low sales (&lt;$500 in 90 days)</t>
        </is>
      </c>
      <c r="D162" s="691" t="inlineStr">
        <is>
          <t>3 — MEDIUM (selldown or markdown)</t>
        </is>
      </c>
      <c r="E162" s="692" t="n">
        <v>419.72</v>
      </c>
      <c r="F162" s="693" t="n">
        <v>12</v>
      </c>
      <c r="G162" s="694" t="n">
        <v>0</v>
      </c>
      <c r="H162" s="694" t="n">
        <v>37</v>
      </c>
      <c r="I162" s="694" t="n">
        <v>131</v>
      </c>
      <c r="J162" s="695" t="n">
        <v>37</v>
      </c>
      <c r="K162" s="694" t="n">
        <v>168</v>
      </c>
      <c r="L162" s="692" t="n">
        <v>15</v>
      </c>
      <c r="M162" s="696" t="n">
        <v>2520</v>
      </c>
      <c r="N162" s="693" t="n">
        <v>7</v>
      </c>
      <c r="O162" s="697" t="inlineStr">
        <is>
          <t>Transfer to China Market</t>
        </is>
      </c>
    </row>
    <row r="163" hidden="1" ht="18" customHeight="1" s="229">
      <c r="A163" s="715" t="inlineStr">
        <is>
          <t>Cocoon Wide Leg Pants 2.0</t>
        </is>
      </c>
      <c r="B163" s="715" t="inlineStr">
        <is>
          <t>Active</t>
        </is>
      </c>
      <c r="C163" s="715" t="inlineStr">
        <is>
          <t>Active category rationalization</t>
        </is>
      </c>
      <c r="D163" s="732" t="inlineStr">
        <is>
          <t>3 — MEDIUM (selldown or markdown)</t>
        </is>
      </c>
      <c r="E163" s="717" t="n">
        <v>1988.13</v>
      </c>
      <c r="F163" s="718" t="n">
        <v>30</v>
      </c>
      <c r="G163" s="719" t="n">
        <v>7</v>
      </c>
      <c r="H163" s="719" t="n">
        <v>15</v>
      </c>
      <c r="I163" s="719" t="n">
        <v>65</v>
      </c>
      <c r="J163" s="720" t="n">
        <v>22</v>
      </c>
      <c r="K163" s="719" t="n">
        <v>87</v>
      </c>
      <c r="L163" s="717" t="n">
        <v>18</v>
      </c>
      <c r="M163" s="721" t="n">
        <v>1566</v>
      </c>
      <c r="N163" s="718" t="n">
        <v>6</v>
      </c>
      <c r="O163" s="736" t="inlineStr">
        <is>
          <t>Split: Flash Sale (US) + Transfer to China</t>
        </is>
      </c>
    </row>
    <row r="164" hidden="1" ht="18" customHeight="1" s="229">
      <c r="A164" s="651" t="inlineStr">
        <is>
          <t>Nude Skin Mesh Mid Waist Brief</t>
        </is>
      </c>
      <c r="B164" s="651" t="inlineStr">
        <is>
          <t>Underwear</t>
        </is>
      </c>
      <c r="C164" s="651" t="inlineStr">
        <is>
          <t>Below threshold — long tail</t>
        </is>
      </c>
      <c r="D164" s="652" t="inlineStr">
        <is>
          <t>3 — MEDIUM (selldown or markdown)</t>
        </is>
      </c>
      <c r="E164" s="653" t="n">
        <v>1007.88</v>
      </c>
      <c r="F164" s="654" t="n">
        <v>78</v>
      </c>
      <c r="G164" s="655" t="n">
        <v>0</v>
      </c>
      <c r="H164" s="655" t="n">
        <v>23</v>
      </c>
      <c r="I164" s="655" t="n">
        <v>164</v>
      </c>
      <c r="J164" s="656" t="n">
        <v>23</v>
      </c>
      <c r="K164" s="655" t="n">
        <v>187</v>
      </c>
      <c r="L164" s="653" t="n">
        <v>10</v>
      </c>
      <c r="M164" s="666" t="n">
        <v>1870</v>
      </c>
      <c r="N164" s="654" t="n">
        <v>6</v>
      </c>
      <c r="O164" s="680" t="inlineStr">
        <is>
          <t>Transfer to China Market</t>
        </is>
      </c>
    </row>
    <row r="165" hidden="1" ht="18" customHeight="1" s="229">
      <c r="A165" s="682" t="inlineStr">
        <is>
          <t>NEIWAI ACTIVE X NYCB Quilted Vest</t>
        </is>
      </c>
      <c r="B165" s="682" t="inlineStr">
        <is>
          <t>Active</t>
        </is>
      </c>
      <c r="C165" s="682" t="inlineStr">
        <is>
          <t>NYCB collab — dead inventory, no velocity</t>
        </is>
      </c>
      <c r="D165" s="733" t="inlineStr">
        <is>
          <t>3 — MEDIUM (selldown or markdown)</t>
        </is>
      </c>
      <c r="E165" s="684" t="n">
        <v>423.6</v>
      </c>
      <c r="F165" s="685" t="n">
        <v>4</v>
      </c>
      <c r="G165" s="686" t="n">
        <v>0</v>
      </c>
      <c r="H165" s="686" t="n">
        <v>89</v>
      </c>
      <c r="I165" s="686" t="n">
        <v>0</v>
      </c>
      <c r="J165" s="687" t="n">
        <v>89</v>
      </c>
      <c r="K165" s="686" t="n">
        <v>89</v>
      </c>
      <c r="L165" s="684" t="n">
        <v>18</v>
      </c>
      <c r="M165" s="688" t="n">
        <v>1602</v>
      </c>
      <c r="N165" s="685" t="n">
        <v>4</v>
      </c>
      <c r="O165" s="689" t="inlineStr">
        <is>
          <t>Transfer to China Market</t>
        </is>
      </c>
    </row>
    <row r="166" hidden="1" ht="18" customHeight="1" s="229">
      <c r="A166" s="658" t="inlineStr">
        <is>
          <t>Nude Tulle Triangle Bra</t>
        </is>
      </c>
      <c r="B166" s="658" t="inlineStr">
        <is>
          <t>Underwear</t>
        </is>
      </c>
      <c r="C166" s="658" t="inlineStr">
        <is>
          <t>Below threshold — long tail</t>
        </is>
      </c>
      <c r="D166" s="668" t="inlineStr">
        <is>
          <t>3 — MEDIUM (selldown or markdown)</t>
        </is>
      </c>
      <c r="E166" s="660" t="n">
        <v>2382.24</v>
      </c>
      <c r="F166" s="661" t="n">
        <v>67</v>
      </c>
      <c r="G166" s="662" t="n">
        <v>1</v>
      </c>
      <c r="H166" s="662" t="n">
        <v>19</v>
      </c>
      <c r="I166" s="662" t="n">
        <v>129</v>
      </c>
      <c r="J166" s="663" t="n">
        <v>20</v>
      </c>
      <c r="K166" s="662" t="n">
        <v>149</v>
      </c>
      <c r="L166" s="660" t="n">
        <v>10</v>
      </c>
      <c r="M166" s="669" t="n">
        <v>1490</v>
      </c>
      <c r="N166" s="661" t="n">
        <v>3</v>
      </c>
      <c r="O166" s="670" t="inlineStr">
        <is>
          <t>Split: Flash Sale (US) + Transfer to China</t>
        </is>
      </c>
    </row>
    <row r="167" hidden="1" ht="18" customHeight="1" s="229">
      <c r="A167" s="707" t="inlineStr">
        <is>
          <t>Classic Cozy Fleece Pajama Top 2.0</t>
        </is>
      </c>
      <c r="B167" s="707" t="inlineStr">
        <is>
          <t>Loungewear</t>
        </is>
      </c>
      <c r="C167" s="707" t="inlineStr">
        <is>
          <t>Below threshold — long tail</t>
        </is>
      </c>
      <c r="D167" s="708" t="inlineStr">
        <is>
          <t>3 — MEDIUM (selldown or markdown)</t>
        </is>
      </c>
      <c r="E167" s="709" t="n">
        <v>3181.83</v>
      </c>
      <c r="F167" s="710" t="n">
        <v>126</v>
      </c>
      <c r="G167" s="711" t="n">
        <v>0</v>
      </c>
      <c r="H167" s="711" t="n">
        <v>20</v>
      </c>
      <c r="I167" s="711" t="n">
        <v>366</v>
      </c>
      <c r="J167" s="712" t="n">
        <v>20</v>
      </c>
      <c r="K167" s="711" t="n">
        <v>386</v>
      </c>
      <c r="L167" s="709" t="n">
        <v>15</v>
      </c>
      <c r="M167" s="713" t="n">
        <v>5790</v>
      </c>
      <c r="N167" s="710" t="n">
        <v>10</v>
      </c>
      <c r="O167" s="714" t="inlineStr">
        <is>
          <t>Transfer to China Market</t>
        </is>
      </c>
    </row>
    <row r="168" hidden="1" ht="18" customHeight="1" s="229">
      <c r="A168" s="715" t="inlineStr">
        <is>
          <t>Fleece Pocket Leggings</t>
        </is>
      </c>
      <c r="B168" s="715" t="inlineStr">
        <is>
          <t>Active</t>
        </is>
      </c>
      <c r="C168" s="715" t="inlineStr">
        <is>
          <t>Very low sales (&lt;$500 in 90 days)</t>
        </is>
      </c>
      <c r="D168" s="732" t="inlineStr">
        <is>
          <t>3 — MEDIUM (selldown or markdown)</t>
        </is>
      </c>
      <c r="E168" s="717" t="n">
        <v>271.59</v>
      </c>
      <c r="F168" s="718" t="n">
        <v>4</v>
      </c>
      <c r="G168" s="719" t="n">
        <v>2</v>
      </c>
      <c r="H168" s="719" t="n">
        <v>34</v>
      </c>
      <c r="I168" s="719" t="n">
        <v>0</v>
      </c>
      <c r="J168" s="720" t="n">
        <v>36</v>
      </c>
      <c r="K168" s="719" t="n">
        <v>36</v>
      </c>
      <c r="L168" s="717" t="n">
        <v>18</v>
      </c>
      <c r="M168" s="721" t="n">
        <v>648</v>
      </c>
      <c r="N168" s="718" t="n">
        <v>4</v>
      </c>
      <c r="O168" s="736" t="inlineStr">
        <is>
          <t>Split: Flash Sale (US) + Transfer to China</t>
        </is>
      </c>
    </row>
    <row r="169" hidden="1" ht="18" customHeight="1" s="229">
      <c r="A169" s="690" t="inlineStr">
        <is>
          <t>Silk Cotton Straight Leg Pants</t>
        </is>
      </c>
      <c r="B169" s="690" t="inlineStr">
        <is>
          <t>Loungewear</t>
        </is>
      </c>
      <c r="C169" s="690" t="inlineStr">
        <is>
          <t>Low sales (&lt;$1K in 90 days)</t>
        </is>
      </c>
      <c r="D169" s="691" t="inlineStr">
        <is>
          <t>3 — MEDIUM (selldown or markdown)</t>
        </is>
      </c>
      <c r="E169" s="692" t="n">
        <v>571.38</v>
      </c>
      <c r="F169" s="693" t="n">
        <v>16</v>
      </c>
      <c r="G169" s="694" t="n">
        <v>0</v>
      </c>
      <c r="H169" s="694" t="n">
        <v>27</v>
      </c>
      <c r="I169" s="694" t="n">
        <v>1760</v>
      </c>
      <c r="J169" s="695" t="n">
        <v>27</v>
      </c>
      <c r="K169" s="694" t="n">
        <v>1787</v>
      </c>
      <c r="L169" s="692" t="n">
        <v>15</v>
      </c>
      <c r="M169" s="696" t="n">
        <v>26805</v>
      </c>
      <c r="N169" s="693" t="n">
        <v>5</v>
      </c>
      <c r="O169" s="697" t="inlineStr">
        <is>
          <t>Transfer to China Market</t>
        </is>
      </c>
    </row>
    <row r="170" hidden="1" ht="18" customHeight="1" s="229">
      <c r="A170" s="682" t="inlineStr">
        <is>
          <t>NEIWAI ACTIVE X NYCB Fleece Neck Warmer</t>
        </is>
      </c>
      <c r="B170" s="682" t="inlineStr">
        <is>
          <t>Active</t>
        </is>
      </c>
      <c r="C170" s="682" t="inlineStr">
        <is>
          <t>NYCB collab — dead inventory, no velocity</t>
        </is>
      </c>
      <c r="D170" s="733" t="inlineStr">
        <is>
          <t>3 — MEDIUM (selldown or markdown)</t>
        </is>
      </c>
      <c r="E170" s="684" t="n">
        <v>77</v>
      </c>
      <c r="F170" s="685" t="n">
        <v>2</v>
      </c>
      <c r="G170" s="686" t="n">
        <v>0</v>
      </c>
      <c r="H170" s="686" t="n">
        <v>59</v>
      </c>
      <c r="I170" s="686" t="n">
        <v>0</v>
      </c>
      <c r="J170" s="687" t="n">
        <v>59</v>
      </c>
      <c r="K170" s="686" t="n">
        <v>59</v>
      </c>
      <c r="L170" s="684" t="n">
        <v>18</v>
      </c>
      <c r="M170" s="688" t="n">
        <v>1062</v>
      </c>
      <c r="N170" s="685" t="n">
        <v>2</v>
      </c>
      <c r="O170" s="689" t="inlineStr">
        <is>
          <t>Transfer to China Market</t>
        </is>
      </c>
    </row>
    <row r="171" hidden="1" ht="18" customHeight="1" s="229">
      <c r="A171" s="715" t="inlineStr">
        <is>
          <t>Cross-back T-Shirt</t>
        </is>
      </c>
      <c r="B171" s="715" t="inlineStr">
        <is>
          <t>Active</t>
        </is>
      </c>
      <c r="C171" s="715" t="inlineStr">
        <is>
          <t>Negligible sales (&lt;$100 in 90 days)</t>
        </is>
      </c>
      <c r="D171" s="732" t="inlineStr">
        <is>
          <t>3 — MEDIUM (selldown or markdown)</t>
        </is>
      </c>
      <c r="E171" s="717" t="n">
        <v>64.02</v>
      </c>
      <c r="F171" s="718" t="n">
        <v>2</v>
      </c>
      <c r="G171" s="719" t="n">
        <v>0</v>
      </c>
      <c r="H171" s="719" t="n">
        <v>214</v>
      </c>
      <c r="I171" s="719" t="n">
        <v>23</v>
      </c>
      <c r="J171" s="720" t="n">
        <v>214</v>
      </c>
      <c r="K171" s="719" t="n">
        <v>237</v>
      </c>
      <c r="L171" s="717" t="n">
        <v>18</v>
      </c>
      <c r="M171" s="721" t="n">
        <v>4266</v>
      </c>
      <c r="N171" s="718" t="n">
        <v>2</v>
      </c>
      <c r="O171" s="722" t="inlineStr">
        <is>
          <t>Transfer to China Market</t>
        </is>
      </c>
    </row>
    <row r="172" hidden="1" ht="18" customHeight="1" s="229">
      <c r="A172" s="682" t="inlineStr">
        <is>
          <t>NEIWAI ACTIVE X NYCB High Waist Shorts</t>
        </is>
      </c>
      <c r="B172" s="682" t="inlineStr">
        <is>
          <t>Active</t>
        </is>
      </c>
      <c r="C172" s="682" t="inlineStr">
        <is>
          <t>NYCB collab — dead inventory, no velocity</t>
        </is>
      </c>
      <c r="D172" s="733" t="inlineStr">
        <is>
          <t>3 — MEDIUM (selldown or markdown)</t>
        </is>
      </c>
      <c r="E172" s="684" t="n">
        <v>187.6</v>
      </c>
      <c r="F172" s="685" t="n">
        <v>4</v>
      </c>
      <c r="G172" s="686" t="n">
        <v>0</v>
      </c>
      <c r="H172" s="686" t="n">
        <v>28</v>
      </c>
      <c r="I172" s="686" t="n">
        <v>0</v>
      </c>
      <c r="J172" s="687" t="n">
        <v>28</v>
      </c>
      <c r="K172" s="686" t="n">
        <v>28</v>
      </c>
      <c r="L172" s="684" t="n">
        <v>18</v>
      </c>
      <c r="M172" s="688" t="n">
        <v>504</v>
      </c>
      <c r="N172" s="685" t="n">
        <v>3</v>
      </c>
      <c r="O172" s="689" t="inlineStr">
        <is>
          <t>Transfer to China Market</t>
        </is>
      </c>
    </row>
    <row r="173" hidden="1" ht="18" customHeight="1" s="229">
      <c r="A173" s="715" t="inlineStr">
        <is>
          <t>Dance Flare Leggings</t>
        </is>
      </c>
      <c r="B173" s="715" t="inlineStr">
        <is>
          <t>Active</t>
        </is>
      </c>
      <c r="C173" s="715" t="inlineStr">
        <is>
          <t>Active category rationalization</t>
        </is>
      </c>
      <c r="D173" s="732" t="inlineStr">
        <is>
          <t>3 — MEDIUM (selldown or markdown)</t>
        </is>
      </c>
      <c r="E173" s="717" t="n">
        <v>1656.47</v>
      </c>
      <c r="F173" s="718" t="n">
        <v>29</v>
      </c>
      <c r="G173" s="719" t="n">
        <v>0</v>
      </c>
      <c r="H173" s="719" t="n">
        <v>35</v>
      </c>
      <c r="I173" s="719" t="n">
        <v>563</v>
      </c>
      <c r="J173" s="720" t="n">
        <v>35</v>
      </c>
      <c r="K173" s="719" t="n">
        <v>598</v>
      </c>
      <c r="L173" s="717" t="n">
        <v>18</v>
      </c>
      <c r="M173" s="721" t="n">
        <v>10764</v>
      </c>
      <c r="N173" s="718" t="n">
        <v>9</v>
      </c>
      <c r="O173" s="722" t="inlineStr">
        <is>
          <t>Transfer to China Market</t>
        </is>
      </c>
    </row>
    <row r="174" hidden="1" ht="18" customHeight="1" s="229">
      <c r="A174" s="682" t="inlineStr">
        <is>
          <t>Soft Touch Dance Tee</t>
        </is>
      </c>
      <c r="B174" s="682" t="inlineStr">
        <is>
          <t>Active</t>
        </is>
      </c>
      <c r="C174" s="682" t="inlineStr">
        <is>
          <t>Very low sales (&lt;$500 in 90 days)</t>
        </is>
      </c>
      <c r="D174" s="733" t="inlineStr">
        <is>
          <t>3 — MEDIUM (selldown or markdown)</t>
        </is>
      </c>
      <c r="E174" s="684" t="n">
        <v>481.25</v>
      </c>
      <c r="F174" s="685" t="n">
        <v>31</v>
      </c>
      <c r="G174" s="686" t="n">
        <v>0</v>
      </c>
      <c r="H174" s="686" t="n">
        <v>24</v>
      </c>
      <c r="I174" s="686" t="n">
        <v>0</v>
      </c>
      <c r="J174" s="687" t="n">
        <v>24</v>
      </c>
      <c r="K174" s="686" t="n">
        <v>24</v>
      </c>
      <c r="L174" s="684" t="n">
        <v>18</v>
      </c>
      <c r="M174" s="688" t="n">
        <v>432</v>
      </c>
      <c r="N174" s="685" t="n">
        <v>7</v>
      </c>
      <c r="O174" s="689" t="inlineStr">
        <is>
          <t>Transfer to China Market</t>
        </is>
      </c>
    </row>
    <row r="175" hidden="1" ht="18" customHeight="1" s="229">
      <c r="A175" s="715" t="inlineStr">
        <is>
          <t>NEIWAI ACTIVE X NYCB Ballet Round Neck T-Shirt</t>
        </is>
      </c>
      <c r="B175" s="715" t="inlineStr">
        <is>
          <t>Active</t>
        </is>
      </c>
      <c r="C175" s="715" t="inlineStr">
        <is>
          <t>NYCB collab — dead inventory, no velocity</t>
        </is>
      </c>
      <c r="D175" s="732" t="inlineStr">
        <is>
          <t>3 — MEDIUM (selldown or markdown)</t>
        </is>
      </c>
      <c r="E175" s="717" t="n">
        <v>100.75</v>
      </c>
      <c r="F175" s="718" t="n">
        <v>2</v>
      </c>
      <c r="G175" s="719" t="n">
        <v>0</v>
      </c>
      <c r="H175" s="719" t="n">
        <v>57</v>
      </c>
      <c r="I175" s="719" t="n">
        <v>0</v>
      </c>
      <c r="J175" s="720" t="n">
        <v>57</v>
      </c>
      <c r="K175" s="719" t="n">
        <v>57</v>
      </c>
      <c r="L175" s="717" t="n">
        <v>18</v>
      </c>
      <c r="M175" s="721" t="n">
        <v>1026</v>
      </c>
      <c r="N175" s="718" t="n">
        <v>3</v>
      </c>
      <c r="O175" s="722" t="inlineStr">
        <is>
          <t>Transfer to China Market</t>
        </is>
      </c>
    </row>
    <row r="176" hidden="1" ht="18" customHeight="1" s="229">
      <c r="A176" s="707" t="inlineStr">
        <is>
          <t>Dreamy Cotton Modal Lounge Set</t>
        </is>
      </c>
      <c r="B176" s="707" t="inlineStr">
        <is>
          <t>Loungewear</t>
        </is>
      </c>
      <c r="C176" s="707" t="inlineStr">
        <is>
          <t>Below threshold — long tail</t>
        </is>
      </c>
      <c r="D176" s="708" t="inlineStr">
        <is>
          <t>3 — MEDIUM (selldown or markdown)</t>
        </is>
      </c>
      <c r="E176" s="709" t="n">
        <v>1526.95</v>
      </c>
      <c r="F176" s="710" t="n">
        <v>34</v>
      </c>
      <c r="G176" s="711" t="n">
        <v>0</v>
      </c>
      <c r="H176" s="711" t="n">
        <v>21</v>
      </c>
      <c r="I176" s="711" t="n">
        <v>136</v>
      </c>
      <c r="J176" s="712" t="n">
        <v>21</v>
      </c>
      <c r="K176" s="711" t="n">
        <v>157</v>
      </c>
      <c r="L176" s="709" t="n">
        <v>15</v>
      </c>
      <c r="M176" s="713" t="n">
        <v>2355</v>
      </c>
      <c r="N176" s="710" t="n">
        <v>7</v>
      </c>
      <c r="O176" s="714" t="inlineStr">
        <is>
          <t>Transfer to China Market</t>
        </is>
      </c>
    </row>
    <row r="177" hidden="1" ht="18" customHeight="1" s="229">
      <c r="A177" s="682" t="inlineStr">
        <is>
          <t>NEIWAI ACTIVE X NYCB Ribbed Mousse Hooded Jacket</t>
        </is>
      </c>
      <c r="B177" s="682" t="inlineStr">
        <is>
          <t>Active</t>
        </is>
      </c>
      <c r="C177" s="682" t="inlineStr">
        <is>
          <t>NYCB collab — dead inventory, no velocity</t>
        </is>
      </c>
      <c r="D177" s="733" t="inlineStr">
        <is>
          <t>3 — MEDIUM (selldown or markdown)</t>
        </is>
      </c>
      <c r="E177" s="684" t="n">
        <v>149</v>
      </c>
      <c r="F177" s="685" t="n">
        <v>1</v>
      </c>
      <c r="G177" s="686" t="n">
        <v>0</v>
      </c>
      <c r="H177" s="686" t="n">
        <v>79</v>
      </c>
      <c r="I177" s="686" t="n">
        <v>0</v>
      </c>
      <c r="J177" s="687" t="n">
        <v>79</v>
      </c>
      <c r="K177" s="686" t="n">
        <v>79</v>
      </c>
      <c r="L177" s="684" t="n">
        <v>18</v>
      </c>
      <c r="M177" s="688" t="n">
        <v>1422</v>
      </c>
      <c r="N177" s="685" t="n">
        <v>3</v>
      </c>
      <c r="O177" s="689" t="inlineStr">
        <is>
          <t>Transfer to China Market</t>
        </is>
      </c>
    </row>
    <row r="178" hidden="1" ht="18" customHeight="1" s="229">
      <c r="A178" s="690" t="inlineStr">
        <is>
          <t>Laid Back Ribbed Pajama Pants</t>
        </is>
      </c>
      <c r="B178" s="690" t="inlineStr">
        <is>
          <t>Loungewear</t>
        </is>
      </c>
      <c r="C178" s="690" t="inlineStr">
        <is>
          <t>Low sales (&lt;$1K in 90 days)</t>
        </is>
      </c>
      <c r="D178" s="691" t="inlineStr">
        <is>
          <t>3 — MEDIUM (selldown or markdown)</t>
        </is>
      </c>
      <c r="E178" s="692" t="n">
        <v>563.4</v>
      </c>
      <c r="F178" s="693" t="n">
        <v>22</v>
      </c>
      <c r="G178" s="694" t="n">
        <v>14</v>
      </c>
      <c r="H178" s="694" t="n">
        <v>29</v>
      </c>
      <c r="I178" s="694" t="n">
        <v>84</v>
      </c>
      <c r="J178" s="695" t="n">
        <v>43</v>
      </c>
      <c r="K178" s="694" t="n">
        <v>127</v>
      </c>
      <c r="L178" s="692" t="n">
        <v>15</v>
      </c>
      <c r="M178" s="696" t="n">
        <v>1905</v>
      </c>
      <c r="N178" s="693" t="n">
        <v>10</v>
      </c>
      <c r="O178" s="737" t="inlineStr">
        <is>
          <t>Split: Flash Sale (US) + Transfer to China</t>
        </is>
      </c>
    </row>
    <row r="179" hidden="1" ht="18" customHeight="1" s="229">
      <c r="A179" s="707" t="inlineStr">
        <is>
          <t>Maternity Wrap Top</t>
        </is>
      </c>
      <c r="B179" s="707" t="inlineStr">
        <is>
          <t>Loungewear</t>
        </is>
      </c>
      <c r="C179" s="707" t="inlineStr">
        <is>
          <t>Low sales (&lt;$1K in 90 days)</t>
        </is>
      </c>
      <c r="D179" s="708" t="inlineStr">
        <is>
          <t>3 — MEDIUM (selldown or markdown)</t>
        </is>
      </c>
      <c r="E179" s="709" t="n">
        <v>950.65</v>
      </c>
      <c r="F179" s="710" t="n">
        <v>17</v>
      </c>
      <c r="G179" s="711" t="n">
        <v>9</v>
      </c>
      <c r="H179" s="711" t="n">
        <v>11</v>
      </c>
      <c r="I179" s="711" t="n">
        <v>35</v>
      </c>
      <c r="J179" s="712" t="n">
        <v>20</v>
      </c>
      <c r="K179" s="711" t="n">
        <v>55</v>
      </c>
      <c r="L179" s="709" t="n">
        <v>15</v>
      </c>
      <c r="M179" s="713" t="n">
        <v>825</v>
      </c>
      <c r="N179" s="710" t="n">
        <v>4</v>
      </c>
      <c r="O179" s="749" t="inlineStr">
        <is>
          <t>Split: Flash Sale (US) + Transfer to China</t>
        </is>
      </c>
    </row>
    <row r="180" hidden="1" ht="18" customHeight="1" s="229">
      <c r="A180" s="715" t="inlineStr">
        <is>
          <t>Urban Sport Casual Pants</t>
        </is>
      </c>
      <c r="B180" s="715" t="inlineStr">
        <is>
          <t>Active</t>
        </is>
      </c>
      <c r="C180" s="715" t="inlineStr">
        <is>
          <t>Low sales (&lt;$1K in 90 days)</t>
        </is>
      </c>
      <c r="D180" s="732" t="inlineStr">
        <is>
          <t>3 — MEDIUM (selldown or markdown)</t>
        </is>
      </c>
      <c r="E180" s="717" t="n">
        <v>592.89</v>
      </c>
      <c r="F180" s="718" t="n">
        <v>11</v>
      </c>
      <c r="G180" s="719" t="n">
        <v>0</v>
      </c>
      <c r="H180" s="719" t="n">
        <v>24</v>
      </c>
      <c r="I180" s="719" t="n">
        <v>0</v>
      </c>
      <c r="J180" s="720" t="n">
        <v>24</v>
      </c>
      <c r="K180" s="719" t="n">
        <v>24</v>
      </c>
      <c r="L180" s="717" t="n">
        <v>18</v>
      </c>
      <c r="M180" s="721" t="n">
        <v>432</v>
      </c>
      <c r="N180" s="718" t="n">
        <v>3</v>
      </c>
      <c r="O180" s="722" t="inlineStr">
        <is>
          <t>Transfer to China Market</t>
        </is>
      </c>
    </row>
    <row r="181" hidden="1" ht="18" customHeight="1" s="229">
      <c r="A181" s="723" t="inlineStr">
        <is>
          <t>Men's 80s Modal Briefs (3-Pack)</t>
        </is>
      </c>
      <c r="B181" s="723" t="inlineStr">
        <is>
          <t>Men</t>
        </is>
      </c>
      <c r="C181" s="723" t="inlineStr">
        <is>
          <t>Men's category exit</t>
        </is>
      </c>
      <c r="D181" s="724" t="inlineStr">
        <is>
          <t>3 — MEDIUM (selldown or markdown)</t>
        </is>
      </c>
      <c r="E181" s="725" t="n">
        <v>1341.66</v>
      </c>
      <c r="F181" s="726" t="n">
        <v>44</v>
      </c>
      <c r="G181" s="727" t="n">
        <v>0</v>
      </c>
      <c r="H181" s="727" t="n">
        <v>19</v>
      </c>
      <c r="I181" s="727" t="n">
        <v>222</v>
      </c>
      <c r="J181" s="728" t="n">
        <v>19</v>
      </c>
      <c r="K181" s="727" t="n">
        <v>241</v>
      </c>
      <c r="L181" s="725" t="n">
        <v>8</v>
      </c>
      <c r="M181" s="729" t="n">
        <v>1928</v>
      </c>
      <c r="N181" s="726" t="n">
        <v>6</v>
      </c>
      <c r="O181" s="730" t="inlineStr">
        <is>
          <t>Transfer to China Market</t>
        </is>
      </c>
    </row>
    <row r="182" hidden="1" ht="18" customHeight="1" s="229">
      <c r="A182" s="682" t="inlineStr">
        <is>
          <t>Active Wool Half Zip Top</t>
        </is>
      </c>
      <c r="B182" s="682" t="inlineStr">
        <is>
          <t>Active</t>
        </is>
      </c>
      <c r="C182" s="682" t="inlineStr">
        <is>
          <t>Low sales (&lt;$1K in 90 days)</t>
        </is>
      </c>
      <c r="D182" s="733" t="inlineStr">
        <is>
          <t>3 — MEDIUM (selldown or markdown)</t>
        </is>
      </c>
      <c r="E182" s="684" t="n">
        <v>670.38</v>
      </c>
      <c r="F182" s="685" t="n">
        <v>12</v>
      </c>
      <c r="G182" s="686" t="n">
        <v>0</v>
      </c>
      <c r="H182" s="686" t="n">
        <v>38</v>
      </c>
      <c r="I182" s="686" t="n">
        <v>0</v>
      </c>
      <c r="J182" s="687" t="n">
        <v>38</v>
      </c>
      <c r="K182" s="686" t="n">
        <v>38</v>
      </c>
      <c r="L182" s="684" t="n">
        <v>18</v>
      </c>
      <c r="M182" s="688" t="n">
        <v>684</v>
      </c>
      <c r="N182" s="685" t="n">
        <v>5</v>
      </c>
      <c r="O182" s="689" t="inlineStr">
        <is>
          <t>Transfer to China Market</t>
        </is>
      </c>
    </row>
    <row r="183" hidden="1" ht="18" customHeight="1" s="229">
      <c r="A183" s="715" t="inlineStr">
        <is>
          <t>Strappy One-Piece Swimsuit</t>
        </is>
      </c>
      <c r="B183" s="715" t="inlineStr">
        <is>
          <t>Active</t>
        </is>
      </c>
      <c r="C183" s="715" t="inlineStr">
        <is>
          <t>Very low sales (&lt;$500 in 90 days)</t>
        </is>
      </c>
      <c r="D183" s="732" t="inlineStr">
        <is>
          <t>3 — MEDIUM (selldown or markdown)</t>
        </is>
      </c>
      <c r="E183" s="717" t="n">
        <v>433.92</v>
      </c>
      <c r="F183" s="718" t="n">
        <v>5</v>
      </c>
      <c r="G183" s="719" t="n">
        <v>5</v>
      </c>
      <c r="H183" s="719" t="n">
        <v>26</v>
      </c>
      <c r="I183" s="719" t="n">
        <v>0</v>
      </c>
      <c r="J183" s="720" t="n">
        <v>31</v>
      </c>
      <c r="K183" s="719" t="n">
        <v>31</v>
      </c>
      <c r="L183" s="717" t="n">
        <v>18</v>
      </c>
      <c r="M183" s="721" t="n">
        <v>558</v>
      </c>
      <c r="N183" s="718" t="n">
        <v>5</v>
      </c>
      <c r="O183" s="736" t="inlineStr">
        <is>
          <t>Split: Flash Sale (US) + Transfer to China</t>
        </is>
      </c>
    </row>
    <row r="184" hidden="1" ht="18" customHeight="1" s="229">
      <c r="A184" s="682" t="inlineStr">
        <is>
          <t>Urban Sport Wool Leggings</t>
        </is>
      </c>
      <c r="B184" s="682" t="inlineStr">
        <is>
          <t>Active</t>
        </is>
      </c>
      <c r="C184" s="682" t="inlineStr">
        <is>
          <t>Active category rationalization</t>
        </is>
      </c>
      <c r="D184" s="733" t="inlineStr">
        <is>
          <t>3 — MEDIUM (selldown or markdown)</t>
        </is>
      </c>
      <c r="E184" s="684" t="n">
        <v>1787.97</v>
      </c>
      <c r="F184" s="685" t="n">
        <v>37</v>
      </c>
      <c r="G184" s="686" t="n">
        <v>0</v>
      </c>
      <c r="H184" s="686" t="n">
        <v>29</v>
      </c>
      <c r="I184" s="686" t="n">
        <v>391</v>
      </c>
      <c r="J184" s="687" t="n">
        <v>29</v>
      </c>
      <c r="K184" s="686" t="n">
        <v>420</v>
      </c>
      <c r="L184" s="684" t="n">
        <v>18</v>
      </c>
      <c r="M184" s="688" t="n">
        <v>7560</v>
      </c>
      <c r="N184" s="685" t="n">
        <v>5</v>
      </c>
      <c r="O184" s="689" t="inlineStr">
        <is>
          <t>Transfer to China Market</t>
        </is>
      </c>
    </row>
    <row r="185" hidden="1" ht="18" customHeight="1" s="229">
      <c r="A185" s="690" t="inlineStr">
        <is>
          <t>Classic Cozy Padded Pajama Dress</t>
        </is>
      </c>
      <c r="B185" s="690" t="inlineStr">
        <is>
          <t>Loungewear</t>
        </is>
      </c>
      <c r="C185" s="690" t="inlineStr">
        <is>
          <t>Below threshold — long tail</t>
        </is>
      </c>
      <c r="D185" s="691" t="inlineStr">
        <is>
          <t>3 — MEDIUM (selldown or markdown)</t>
        </is>
      </c>
      <c r="E185" s="692" t="n">
        <v>3435.55</v>
      </c>
      <c r="F185" s="693" t="n">
        <v>61</v>
      </c>
      <c r="G185" s="694" t="n">
        <v>0</v>
      </c>
      <c r="H185" s="694" t="n">
        <v>19</v>
      </c>
      <c r="I185" s="694" t="n">
        <v>66</v>
      </c>
      <c r="J185" s="695" t="n">
        <v>19</v>
      </c>
      <c r="K185" s="694" t="n">
        <v>85</v>
      </c>
      <c r="L185" s="692" t="n">
        <v>15</v>
      </c>
      <c r="M185" s="696" t="n">
        <v>1275</v>
      </c>
      <c r="N185" s="693" t="n">
        <v>8</v>
      </c>
      <c r="O185" s="697" t="inlineStr">
        <is>
          <t>Transfer to China Market</t>
        </is>
      </c>
    </row>
    <row r="186" hidden="1" ht="18" customHeight="1" s="229">
      <c r="A186" s="707" t="inlineStr">
        <is>
          <t>Silk Sleep Camisole</t>
        </is>
      </c>
      <c r="B186" s="707" t="inlineStr">
        <is>
          <t>Loungewear</t>
        </is>
      </c>
      <c r="C186" s="707" t="inlineStr">
        <is>
          <t>Low sales (&lt;$1K in 90 days)</t>
        </is>
      </c>
      <c r="D186" s="708" t="inlineStr">
        <is>
          <t>3 — MEDIUM (selldown or markdown)</t>
        </is>
      </c>
      <c r="E186" s="709" t="n">
        <v>626.95</v>
      </c>
      <c r="F186" s="710" t="n">
        <v>19</v>
      </c>
      <c r="G186" s="711" t="n">
        <v>0</v>
      </c>
      <c r="H186" s="711" t="n">
        <v>43</v>
      </c>
      <c r="I186" s="711" t="n">
        <v>139</v>
      </c>
      <c r="J186" s="712" t="n">
        <v>43</v>
      </c>
      <c r="K186" s="711" t="n">
        <v>182</v>
      </c>
      <c r="L186" s="709" t="n">
        <v>15</v>
      </c>
      <c r="M186" s="713" t="n">
        <v>2730</v>
      </c>
      <c r="N186" s="710" t="n">
        <v>7</v>
      </c>
      <c r="O186" s="714" t="inlineStr">
        <is>
          <t>Transfer to China Market</t>
        </is>
      </c>
    </row>
    <row r="187" hidden="1" ht="18" customHeight="1" s="229">
      <c r="A187" s="699" t="inlineStr">
        <is>
          <t>Men's Basic Long Sleeved T-shirt</t>
        </is>
      </c>
      <c r="B187" s="699" t="inlineStr">
        <is>
          <t>Men</t>
        </is>
      </c>
      <c r="C187" s="699" t="inlineStr">
        <is>
          <t>Low sales (&lt;$1K in 90 days)</t>
        </is>
      </c>
      <c r="D187" s="700" t="inlineStr">
        <is>
          <t>3 — MEDIUM (selldown or markdown)</t>
        </is>
      </c>
      <c r="E187" s="701" t="n">
        <v>856.99</v>
      </c>
      <c r="F187" s="702" t="n">
        <v>29</v>
      </c>
      <c r="G187" s="703" t="n">
        <v>0</v>
      </c>
      <c r="H187" s="703" t="n">
        <v>51</v>
      </c>
      <c r="I187" s="703" t="n">
        <v>523</v>
      </c>
      <c r="J187" s="704" t="n">
        <v>51</v>
      </c>
      <c r="K187" s="703" t="n">
        <v>574</v>
      </c>
      <c r="L187" s="701" t="n">
        <v>8</v>
      </c>
      <c r="M187" s="705" t="n">
        <v>4592</v>
      </c>
      <c r="N187" s="702" t="n">
        <v>11</v>
      </c>
      <c r="O187" s="706" t="inlineStr">
        <is>
          <t>Transfer to China Market</t>
        </is>
      </c>
    </row>
    <row r="188" hidden="1" ht="18" customHeight="1" s="229">
      <c r="A188" s="651" t="inlineStr">
        <is>
          <t>Plisse Lace Low Waist Brief</t>
        </is>
      </c>
      <c r="B188" s="651" t="inlineStr">
        <is>
          <t>Underwear</t>
        </is>
      </c>
      <c r="C188" s="651" t="inlineStr">
        <is>
          <t>Low sales (&lt;$1K in 90 days)</t>
        </is>
      </c>
      <c r="D188" s="652" t="inlineStr">
        <is>
          <t>3 — MEDIUM (selldown or markdown)</t>
        </is>
      </c>
      <c r="E188" s="653" t="n">
        <v>578.3100000000001</v>
      </c>
      <c r="F188" s="654" t="n">
        <v>33</v>
      </c>
      <c r="G188" s="655" t="n">
        <v>0</v>
      </c>
      <c r="H188" s="655" t="n">
        <v>18</v>
      </c>
      <c r="I188" s="655" t="n">
        <v>429</v>
      </c>
      <c r="J188" s="656" t="n">
        <v>18</v>
      </c>
      <c r="K188" s="655" t="n">
        <v>447</v>
      </c>
      <c r="L188" s="653" t="n">
        <v>10</v>
      </c>
      <c r="M188" s="666" t="n">
        <v>4470</v>
      </c>
      <c r="N188" s="654" t="n">
        <v>6</v>
      </c>
      <c r="O188" s="680" t="inlineStr">
        <is>
          <t>Transfer to China Market</t>
        </is>
      </c>
    </row>
    <row r="189" hidden="1" ht="18" customHeight="1" s="229">
      <c r="A189" s="715" t="inlineStr">
        <is>
          <t>Mousse Long Sleeve Sports Top</t>
        </is>
      </c>
      <c r="B189" s="715" t="inlineStr">
        <is>
          <t>Active</t>
        </is>
      </c>
      <c r="C189" s="715" t="inlineStr">
        <is>
          <t>Active category rationalization</t>
        </is>
      </c>
      <c r="D189" s="732" t="inlineStr">
        <is>
          <t>3 — MEDIUM (selldown or markdown)</t>
        </is>
      </c>
      <c r="E189" s="717" t="n">
        <v>1339.28</v>
      </c>
      <c r="F189" s="718" t="n">
        <v>44</v>
      </c>
      <c r="G189" s="719" t="n">
        <v>0</v>
      </c>
      <c r="H189" s="719" t="n">
        <v>21</v>
      </c>
      <c r="I189" s="719" t="n">
        <v>194</v>
      </c>
      <c r="J189" s="720" t="n">
        <v>21</v>
      </c>
      <c r="K189" s="719" t="n">
        <v>215</v>
      </c>
      <c r="L189" s="717" t="n">
        <v>18</v>
      </c>
      <c r="M189" s="721" t="n">
        <v>3870</v>
      </c>
      <c r="N189" s="718" t="n">
        <v>8</v>
      </c>
      <c r="O189" s="722" t="inlineStr">
        <is>
          <t>Transfer to China Market</t>
        </is>
      </c>
    </row>
    <row r="190" hidden="1" ht="18" customHeight="1" s="229">
      <c r="A190" s="690" t="inlineStr">
        <is>
          <t>Silky Wool Mock Neck Sweater</t>
        </is>
      </c>
      <c r="B190" s="690" t="inlineStr">
        <is>
          <t>Loungewear</t>
        </is>
      </c>
      <c r="C190" s="690" t="inlineStr">
        <is>
          <t>Below threshold — long tail</t>
        </is>
      </c>
      <c r="D190" s="691" t="inlineStr">
        <is>
          <t>3 — MEDIUM (selldown or markdown)</t>
        </is>
      </c>
      <c r="E190" s="692" t="n">
        <v>2796.18</v>
      </c>
      <c r="F190" s="693" t="n">
        <v>19</v>
      </c>
      <c r="G190" s="694" t="n">
        <v>0</v>
      </c>
      <c r="H190" s="694" t="n">
        <v>45</v>
      </c>
      <c r="I190" s="694" t="n">
        <v>161</v>
      </c>
      <c r="J190" s="695" t="n">
        <v>45</v>
      </c>
      <c r="K190" s="694" t="n">
        <v>206</v>
      </c>
      <c r="L190" s="692" t="n">
        <v>15</v>
      </c>
      <c r="M190" s="696" t="n">
        <v>3090</v>
      </c>
      <c r="N190" s="693" t="n">
        <v>8</v>
      </c>
      <c r="O190" s="697" t="inlineStr">
        <is>
          <t>Transfer to China Market</t>
        </is>
      </c>
    </row>
    <row r="191" hidden="1" ht="18" customHeight="1" s="229">
      <c r="A191" s="658" t="inlineStr">
        <is>
          <t>Pantie Pro High Waist Period Brief</t>
        </is>
      </c>
      <c r="B191" s="658" t="inlineStr">
        <is>
          <t>Underwear</t>
        </is>
      </c>
      <c r="C191" s="658" t="inlineStr">
        <is>
          <t>Below threshold — long tail</t>
        </is>
      </c>
      <c r="D191" s="668" t="inlineStr">
        <is>
          <t>3 — MEDIUM (selldown or markdown)</t>
        </is>
      </c>
      <c r="E191" s="660" t="n">
        <v>2070.02</v>
      </c>
      <c r="F191" s="661" t="n">
        <v>104</v>
      </c>
      <c r="G191" s="662" t="n">
        <v>0</v>
      </c>
      <c r="H191" s="662" t="n">
        <v>19</v>
      </c>
      <c r="I191" s="662" t="n">
        <v>303</v>
      </c>
      <c r="J191" s="663" t="n">
        <v>19</v>
      </c>
      <c r="K191" s="662" t="n">
        <v>322</v>
      </c>
      <c r="L191" s="660" t="n">
        <v>10</v>
      </c>
      <c r="M191" s="669" t="n">
        <v>3220</v>
      </c>
      <c r="N191" s="661" t="n">
        <v>6</v>
      </c>
      <c r="O191" s="681" t="inlineStr">
        <is>
          <t>Transfer to China Market</t>
        </is>
      </c>
    </row>
    <row r="192" hidden="1" ht="18" customHeight="1" s="229">
      <c r="A192" s="682" t="inlineStr">
        <is>
          <t>Seamless Light Support Long Sports Bra</t>
        </is>
      </c>
      <c r="B192" s="682" t="inlineStr">
        <is>
          <t>Active</t>
        </is>
      </c>
      <c r="C192" s="682" t="inlineStr">
        <is>
          <t>Active category rationalization</t>
        </is>
      </c>
      <c r="D192" s="733" t="inlineStr">
        <is>
          <t>3 — MEDIUM (selldown or markdown)</t>
        </is>
      </c>
      <c r="E192" s="684" t="n">
        <v>1244.42</v>
      </c>
      <c r="F192" s="685" t="n">
        <v>50</v>
      </c>
      <c r="G192" s="686" t="n">
        <v>11</v>
      </c>
      <c r="H192" s="686" t="n">
        <v>6</v>
      </c>
      <c r="I192" s="686" t="n">
        <v>0</v>
      </c>
      <c r="J192" s="687" t="n">
        <v>17</v>
      </c>
      <c r="K192" s="686" t="n">
        <v>17</v>
      </c>
      <c r="L192" s="684" t="n">
        <v>18</v>
      </c>
      <c r="M192" s="688" t="n">
        <v>306</v>
      </c>
      <c r="N192" s="685" t="n">
        <v>4</v>
      </c>
      <c r="O192" s="738" t="inlineStr">
        <is>
          <t>Split: Flash Sale (US) + Transfer to China</t>
        </is>
      </c>
    </row>
    <row r="193" hidden="1" ht="18" customHeight="1" s="229">
      <c r="A193" s="715" t="inlineStr">
        <is>
          <t>Knotted 2-way Short Sleeve Top</t>
        </is>
      </c>
      <c r="B193" s="715" t="inlineStr">
        <is>
          <t>Active</t>
        </is>
      </c>
      <c r="C193" s="715" t="inlineStr">
        <is>
          <t>Active category rationalization</t>
        </is>
      </c>
      <c r="D193" s="732" t="inlineStr">
        <is>
          <t>3 — MEDIUM (selldown or markdown)</t>
        </is>
      </c>
      <c r="E193" s="717" t="n">
        <v>1243.54</v>
      </c>
      <c r="F193" s="718" t="n">
        <v>50</v>
      </c>
      <c r="G193" s="719" t="n">
        <v>0</v>
      </c>
      <c r="H193" s="719" t="n">
        <v>33</v>
      </c>
      <c r="I193" s="719" t="n">
        <v>64</v>
      </c>
      <c r="J193" s="720" t="n">
        <v>33</v>
      </c>
      <c r="K193" s="719" t="n">
        <v>97</v>
      </c>
      <c r="L193" s="717" t="n">
        <v>18</v>
      </c>
      <c r="M193" s="721" t="n">
        <v>1746</v>
      </c>
      <c r="N193" s="718" t="n">
        <v>8</v>
      </c>
      <c r="O193" s="722" t="inlineStr">
        <is>
          <t>Transfer to China Market</t>
        </is>
      </c>
    </row>
    <row r="194" hidden="1" ht="18" customHeight="1" s="229">
      <c r="A194" s="682" t="inlineStr">
        <is>
          <t>Core Racerback Tank Top</t>
        </is>
      </c>
      <c r="B194" s="682" t="inlineStr">
        <is>
          <t>Active</t>
        </is>
      </c>
      <c r="C194" s="682" t="inlineStr">
        <is>
          <t>Low sales (&lt;$1K in 90 days)</t>
        </is>
      </c>
      <c r="D194" s="733" t="inlineStr">
        <is>
          <t>4 — LOW (natural sellthrough)</t>
        </is>
      </c>
      <c r="E194" s="684" t="n">
        <v>865.77</v>
      </c>
      <c r="F194" s="685" t="n">
        <v>45</v>
      </c>
      <c r="G194" s="686" t="n">
        <v>0</v>
      </c>
      <c r="H194" s="686" t="n">
        <v>22</v>
      </c>
      <c r="I194" s="686" t="n">
        <v>94</v>
      </c>
      <c r="J194" s="687" t="n">
        <v>22</v>
      </c>
      <c r="K194" s="686" t="n">
        <v>116</v>
      </c>
      <c r="L194" s="684" t="n">
        <v>18</v>
      </c>
      <c r="M194" s="688" t="n">
        <v>2088</v>
      </c>
      <c r="N194" s="685" t="n">
        <v>8</v>
      </c>
      <c r="O194" s="689" t="inlineStr">
        <is>
          <t>Transfer to China Market</t>
        </is>
      </c>
    </row>
    <row r="195" hidden="1" ht="18" customHeight="1" s="229">
      <c r="A195" s="715" t="inlineStr">
        <is>
          <t>NEIWAI ACTIVE X NYCB Mousse Half Zip Long Sleeve Top</t>
        </is>
      </c>
      <c r="B195" s="715" t="inlineStr">
        <is>
          <t>Active</t>
        </is>
      </c>
      <c r="C195" s="715" t="inlineStr">
        <is>
          <t>NYCB collab — dead inventory, no velocity</t>
        </is>
      </c>
      <c r="D195" s="732" t="inlineStr">
        <is>
          <t>4 — LOW (natural sellthrough)</t>
        </is>
      </c>
      <c r="E195" s="717" t="n">
        <v>404.6</v>
      </c>
      <c r="F195" s="718" t="n">
        <v>4</v>
      </c>
      <c r="G195" s="719" t="n">
        <v>0</v>
      </c>
      <c r="H195" s="719" t="n">
        <v>55</v>
      </c>
      <c r="I195" s="719" t="n">
        <v>0</v>
      </c>
      <c r="J195" s="720" t="n">
        <v>55</v>
      </c>
      <c r="K195" s="719" t="n">
        <v>55</v>
      </c>
      <c r="L195" s="717" t="n">
        <v>18</v>
      </c>
      <c r="M195" s="721" t="n">
        <v>990</v>
      </c>
      <c r="N195" s="718" t="n">
        <v>4</v>
      </c>
      <c r="O195" s="722" t="inlineStr">
        <is>
          <t>Transfer to China Market</t>
        </is>
      </c>
    </row>
    <row r="196" hidden="1" ht="18" customHeight="1" s="229">
      <c r="A196" s="682" t="inlineStr">
        <is>
          <t>Essential 2-In-1 Training Shorts</t>
        </is>
      </c>
      <c r="B196" s="682" t="inlineStr">
        <is>
          <t>Active</t>
        </is>
      </c>
      <c r="C196" s="682" t="inlineStr">
        <is>
          <t>Very low sales (&lt;$500 in 90 days)</t>
        </is>
      </c>
      <c r="D196" s="733" t="inlineStr">
        <is>
          <t>4 — LOW (natural sellthrough)</t>
        </is>
      </c>
      <c r="E196" s="684" t="n">
        <v>364.98</v>
      </c>
      <c r="F196" s="685" t="n">
        <v>11</v>
      </c>
      <c r="G196" s="686" t="n">
        <v>0</v>
      </c>
      <c r="H196" s="686" t="n">
        <v>33</v>
      </c>
      <c r="I196" s="686" t="n">
        <v>84</v>
      </c>
      <c r="J196" s="687" t="n">
        <v>33</v>
      </c>
      <c r="K196" s="686" t="n">
        <v>117</v>
      </c>
      <c r="L196" s="684" t="n">
        <v>18</v>
      </c>
      <c r="M196" s="688" t="n">
        <v>2106</v>
      </c>
      <c r="N196" s="685" t="n">
        <v>7</v>
      </c>
      <c r="O196" s="689" t="inlineStr">
        <is>
          <t>Transfer to China Market</t>
        </is>
      </c>
    </row>
    <row r="197" hidden="1" ht="18" customHeight="1" s="229">
      <c r="A197" s="707" t="inlineStr">
        <is>
          <t>Silk Modal Pajama Dress</t>
        </is>
      </c>
      <c r="B197" s="707" t="inlineStr">
        <is>
          <t>Loungewear</t>
        </is>
      </c>
      <c r="C197" s="707" t="inlineStr">
        <is>
          <t>Below threshold — long tail</t>
        </is>
      </c>
      <c r="D197" s="708" t="inlineStr">
        <is>
          <t>4 — LOW (natural sellthrough)</t>
        </is>
      </c>
      <c r="E197" s="709" t="n">
        <v>1244.12</v>
      </c>
      <c r="F197" s="710" t="n">
        <v>35</v>
      </c>
      <c r="G197" s="711" t="n">
        <v>0</v>
      </c>
      <c r="H197" s="711" t="n">
        <v>18</v>
      </c>
      <c r="I197" s="711" t="n">
        <v>352</v>
      </c>
      <c r="J197" s="712" t="n">
        <v>18</v>
      </c>
      <c r="K197" s="711" t="n">
        <v>370</v>
      </c>
      <c r="L197" s="709" t="n">
        <v>15</v>
      </c>
      <c r="M197" s="713" t="n">
        <v>5550</v>
      </c>
      <c r="N197" s="710" t="n">
        <v>6</v>
      </c>
      <c r="O197" s="714" t="inlineStr">
        <is>
          <t>Transfer to China Market</t>
        </is>
      </c>
    </row>
    <row r="198" hidden="1" ht="18" customHeight="1" s="229">
      <c r="A198" s="715" t="inlineStr">
        <is>
          <t>Mousse Cut-out Padded Crop Top</t>
        </is>
      </c>
      <c r="B198" s="715" t="inlineStr">
        <is>
          <t>Active</t>
        </is>
      </c>
      <c r="C198" s="715" t="inlineStr">
        <is>
          <t>Active category rationalization</t>
        </is>
      </c>
      <c r="D198" s="732" t="inlineStr">
        <is>
          <t>4 — LOW (natural sellthrough)</t>
        </is>
      </c>
      <c r="E198" s="717" t="n">
        <v>1861.7</v>
      </c>
      <c r="F198" s="718" t="n">
        <v>42</v>
      </c>
      <c r="G198" s="719" t="n">
        <v>0</v>
      </c>
      <c r="H198" s="719" t="n">
        <v>23</v>
      </c>
      <c r="I198" s="719" t="n">
        <v>194</v>
      </c>
      <c r="J198" s="720" t="n">
        <v>23</v>
      </c>
      <c r="K198" s="719" t="n">
        <v>217</v>
      </c>
      <c r="L198" s="717" t="n">
        <v>18</v>
      </c>
      <c r="M198" s="721" t="n">
        <v>3906</v>
      </c>
      <c r="N198" s="718" t="n">
        <v>8</v>
      </c>
      <c r="O198" s="722" t="inlineStr">
        <is>
          <t>Transfer to China Market</t>
        </is>
      </c>
    </row>
    <row r="199" hidden="1" ht="18" customHeight="1" s="229">
      <c r="A199" s="651" t="inlineStr">
        <is>
          <t>Pantie Pro Mid Waist Period Brief</t>
        </is>
      </c>
      <c r="B199" s="651" t="inlineStr">
        <is>
          <t>Underwear</t>
        </is>
      </c>
      <c r="C199" s="651" t="inlineStr">
        <is>
          <t>Low sales (&lt;$1K in 90 days)</t>
        </is>
      </c>
      <c r="D199" s="652" t="inlineStr">
        <is>
          <t>4 — LOW (natural sellthrough)</t>
        </is>
      </c>
      <c r="E199" s="653" t="n">
        <v>826.98</v>
      </c>
      <c r="F199" s="654" t="n">
        <v>51</v>
      </c>
      <c r="G199" s="655" t="n">
        <v>0</v>
      </c>
      <c r="H199" s="655" t="n">
        <v>21</v>
      </c>
      <c r="I199" s="655" t="n">
        <v>771</v>
      </c>
      <c r="J199" s="656" t="n">
        <v>21</v>
      </c>
      <c r="K199" s="655" t="n">
        <v>792</v>
      </c>
      <c r="L199" s="653" t="n">
        <v>10</v>
      </c>
      <c r="M199" s="666" t="n">
        <v>7920</v>
      </c>
      <c r="N199" s="654" t="n">
        <v>6</v>
      </c>
      <c r="O199" s="680" t="inlineStr">
        <is>
          <t>Transfer to China Market</t>
        </is>
      </c>
    </row>
    <row r="200" hidden="1" ht="18" customHeight="1" s="229">
      <c r="A200" s="690" t="inlineStr">
        <is>
          <t>Ribbed Drawstring Waist Dress</t>
        </is>
      </c>
      <c r="B200" s="690" t="inlineStr">
        <is>
          <t>Loungewear</t>
        </is>
      </c>
      <c r="C200" s="690" t="inlineStr">
        <is>
          <t>Low sales (&lt;$1K in 90 days)</t>
        </is>
      </c>
      <c r="D200" s="691" t="inlineStr">
        <is>
          <t>4 — LOW (natural sellthrough)</t>
        </is>
      </c>
      <c r="E200" s="692" t="n">
        <v>896.91</v>
      </c>
      <c r="F200" s="693" t="n">
        <v>20</v>
      </c>
      <c r="G200" s="694" t="n">
        <v>0</v>
      </c>
      <c r="H200" s="694" t="n">
        <v>32</v>
      </c>
      <c r="I200" s="694" t="n">
        <v>1157</v>
      </c>
      <c r="J200" s="695" t="n">
        <v>32</v>
      </c>
      <c r="K200" s="694" t="n">
        <v>1189</v>
      </c>
      <c r="L200" s="692" t="n">
        <v>15</v>
      </c>
      <c r="M200" s="696" t="n">
        <v>17835</v>
      </c>
      <c r="N200" s="693" t="n">
        <v>8</v>
      </c>
      <c r="O200" s="697" t="inlineStr">
        <is>
          <t>Transfer to China Market</t>
        </is>
      </c>
    </row>
    <row r="201" hidden="1" ht="18" customHeight="1" s="229">
      <c r="A201" s="682" t="inlineStr">
        <is>
          <t>Ballet Longsleeve T-shirt</t>
        </is>
      </c>
      <c r="B201" s="682" t="inlineStr">
        <is>
          <t>Active</t>
        </is>
      </c>
      <c r="C201" s="682" t="inlineStr">
        <is>
          <t>Low sales (&lt;$1K in 90 days)</t>
        </is>
      </c>
      <c r="D201" s="733" t="inlineStr">
        <is>
          <t>4 — LOW (natural sellthrough)</t>
        </is>
      </c>
      <c r="E201" s="684" t="n">
        <v>780</v>
      </c>
      <c r="F201" s="685" t="n">
        <v>23</v>
      </c>
      <c r="G201" s="686" t="n">
        <v>0</v>
      </c>
      <c r="H201" s="686" t="n">
        <v>37</v>
      </c>
      <c r="I201" s="686" t="n">
        <v>415</v>
      </c>
      <c r="J201" s="687" t="n">
        <v>37</v>
      </c>
      <c r="K201" s="686" t="n">
        <v>452</v>
      </c>
      <c r="L201" s="684" t="n">
        <v>18</v>
      </c>
      <c r="M201" s="688" t="n">
        <v>8136</v>
      </c>
      <c r="N201" s="685" t="n">
        <v>6</v>
      </c>
      <c r="O201" s="689" t="inlineStr">
        <is>
          <t>Transfer to China Market</t>
        </is>
      </c>
    </row>
    <row r="202" hidden="1" ht="18" customHeight="1" s="229">
      <c r="A202" s="707" t="inlineStr">
        <is>
          <t>Silky Wool Zip Up Cardigan</t>
        </is>
      </c>
      <c r="B202" s="707" t="inlineStr">
        <is>
          <t>Loungewear</t>
        </is>
      </c>
      <c r="C202" s="707" t="inlineStr">
        <is>
          <t>Below threshold — long tail</t>
        </is>
      </c>
      <c r="D202" s="708" t="inlineStr">
        <is>
          <t>4 — LOW (natural sellthrough)</t>
        </is>
      </c>
      <c r="E202" s="709" t="n">
        <v>2626.73</v>
      </c>
      <c r="F202" s="710" t="n">
        <v>19</v>
      </c>
      <c r="G202" s="711" t="n">
        <v>5</v>
      </c>
      <c r="H202" s="711" t="n">
        <v>21</v>
      </c>
      <c r="I202" s="711" t="n">
        <v>65</v>
      </c>
      <c r="J202" s="712" t="n">
        <v>26</v>
      </c>
      <c r="K202" s="711" t="n">
        <v>91</v>
      </c>
      <c r="L202" s="709" t="n">
        <v>15</v>
      </c>
      <c r="M202" s="713" t="n">
        <v>1365</v>
      </c>
      <c r="N202" s="710" t="n">
        <v>8</v>
      </c>
      <c r="O202" s="749" t="inlineStr">
        <is>
          <t>Split: Flash Sale (US) + Transfer to China</t>
        </is>
      </c>
    </row>
    <row r="203" hidden="1" ht="18" customHeight="1" s="229">
      <c r="A203" s="690" t="inlineStr">
        <is>
          <t>Easy Knit V-Neck Tee</t>
        </is>
      </c>
      <c r="B203" s="690" t="inlineStr">
        <is>
          <t>Loungewear</t>
        </is>
      </c>
      <c r="C203" s="690" t="inlineStr">
        <is>
          <t>Very low sales (&lt;$500 in 90 days)</t>
        </is>
      </c>
      <c r="D203" s="691" t="inlineStr">
        <is>
          <t>4 — LOW (natural sellthrough)</t>
        </is>
      </c>
      <c r="E203" s="692" t="n">
        <v>103.53</v>
      </c>
      <c r="F203" s="693" t="n">
        <v>2</v>
      </c>
      <c r="G203" s="694" t="n">
        <v>0</v>
      </c>
      <c r="H203" s="694" t="n">
        <v>63</v>
      </c>
      <c r="I203" s="694" t="n">
        <v>359</v>
      </c>
      <c r="J203" s="695" t="n">
        <v>63</v>
      </c>
      <c r="K203" s="694" t="n">
        <v>422</v>
      </c>
      <c r="L203" s="692" t="n">
        <v>15</v>
      </c>
      <c r="M203" s="696" t="n">
        <v>6330</v>
      </c>
      <c r="N203" s="693" t="n">
        <v>5</v>
      </c>
      <c r="O203" s="697" t="inlineStr">
        <is>
          <t>Transfer to China Market</t>
        </is>
      </c>
    </row>
    <row r="204" hidden="1" ht="18" customHeight="1" s="229">
      <c r="A204" s="707" t="inlineStr">
        <is>
          <t>Ruched Collarless Pajama Top</t>
        </is>
      </c>
      <c r="B204" s="707" t="inlineStr">
        <is>
          <t>Loungewear</t>
        </is>
      </c>
      <c r="C204" s="707" t="inlineStr">
        <is>
          <t>Very low sales (&lt;$500 in 90 days)</t>
        </is>
      </c>
      <c r="D204" s="708" t="inlineStr">
        <is>
          <t>4 — LOW (natural sellthrough)</t>
        </is>
      </c>
      <c r="E204" s="709" t="n">
        <v>343.88</v>
      </c>
      <c r="F204" s="710" t="n">
        <v>9</v>
      </c>
      <c r="G204" s="711" t="n">
        <v>6</v>
      </c>
      <c r="H204" s="711" t="n">
        <v>41</v>
      </c>
      <c r="I204" s="711" t="n">
        <v>150</v>
      </c>
      <c r="J204" s="712" t="n">
        <v>47</v>
      </c>
      <c r="K204" s="711" t="n">
        <v>197</v>
      </c>
      <c r="L204" s="709" t="n">
        <v>15</v>
      </c>
      <c r="M204" s="713" t="n">
        <v>2955</v>
      </c>
      <c r="N204" s="710" t="n">
        <v>5</v>
      </c>
      <c r="O204" s="749" t="inlineStr">
        <is>
          <t>Split: Flash Sale (US) + Transfer to China</t>
        </is>
      </c>
    </row>
    <row r="205" hidden="1" ht="18" customHeight="1" s="229">
      <c r="A205" s="690" t="inlineStr">
        <is>
          <t>Nude Skin Padded Camisole</t>
        </is>
      </c>
      <c r="B205" s="690" t="inlineStr">
        <is>
          <t>Loungewear</t>
        </is>
      </c>
      <c r="C205" s="690" t="inlineStr">
        <is>
          <t>Below threshold — long tail</t>
        </is>
      </c>
      <c r="D205" s="691" t="inlineStr">
        <is>
          <t>4 — LOW (natural sellthrough)</t>
        </is>
      </c>
      <c r="E205" s="692" t="n">
        <v>2513.78</v>
      </c>
      <c r="F205" s="693" t="n">
        <v>56</v>
      </c>
      <c r="G205" s="694" t="n">
        <v>8</v>
      </c>
      <c r="H205" s="694" t="n">
        <v>10</v>
      </c>
      <c r="I205" s="694" t="n">
        <v>155</v>
      </c>
      <c r="J205" s="695" t="n">
        <v>18</v>
      </c>
      <c r="K205" s="694" t="n">
        <v>173</v>
      </c>
      <c r="L205" s="692" t="n">
        <v>15</v>
      </c>
      <c r="M205" s="696" t="n">
        <v>2595</v>
      </c>
      <c r="N205" s="693" t="n">
        <v>8</v>
      </c>
      <c r="O205" s="737" t="inlineStr">
        <is>
          <t>Split: Flash Sale (US) + Transfer to China</t>
        </is>
      </c>
    </row>
    <row r="206" hidden="1" ht="18" customHeight="1" s="229">
      <c r="A206" s="715" t="inlineStr">
        <is>
          <t>Tennis Skort</t>
        </is>
      </c>
      <c r="B206" s="715" t="inlineStr">
        <is>
          <t>Active</t>
        </is>
      </c>
      <c r="C206" s="715" t="inlineStr">
        <is>
          <t>Very low sales (&lt;$500 in 90 days)</t>
        </is>
      </c>
      <c r="D206" s="732" t="inlineStr">
        <is>
          <t>4 — LOW (natural sellthrough)</t>
        </is>
      </c>
      <c r="E206" s="717" t="n">
        <v>312.03</v>
      </c>
      <c r="F206" s="718" t="n">
        <v>8</v>
      </c>
      <c r="G206" s="719" t="n">
        <v>0</v>
      </c>
      <c r="H206" s="719" t="n">
        <v>45</v>
      </c>
      <c r="I206" s="719" t="n">
        <v>68</v>
      </c>
      <c r="J206" s="720" t="n">
        <v>45</v>
      </c>
      <c r="K206" s="719" t="n">
        <v>113</v>
      </c>
      <c r="L206" s="717" t="n">
        <v>18</v>
      </c>
      <c r="M206" s="721" t="n">
        <v>2034</v>
      </c>
      <c r="N206" s="718" t="n">
        <v>7</v>
      </c>
      <c r="O206" s="722" t="inlineStr">
        <is>
          <t>Transfer to China Market</t>
        </is>
      </c>
    </row>
    <row r="207" hidden="1" ht="18" customHeight="1" s="229">
      <c r="A207" s="707" t="inlineStr">
        <is>
          <t>Short Sleeve Drape-Front Sweater</t>
        </is>
      </c>
      <c r="B207" s="707" t="inlineStr">
        <is>
          <t>Loungewear</t>
        </is>
      </c>
      <c r="C207" s="707" t="inlineStr">
        <is>
          <t>Very low sales (&lt;$500 in 90 days)</t>
        </is>
      </c>
      <c r="D207" s="708" t="inlineStr">
        <is>
          <t>4 — LOW (natural sellthrough)</t>
        </is>
      </c>
      <c r="E207" s="709" t="n">
        <v>498.01</v>
      </c>
      <c r="F207" s="710" t="n">
        <v>15</v>
      </c>
      <c r="G207" s="711" t="n">
        <v>7</v>
      </c>
      <c r="H207" s="711" t="n">
        <v>18</v>
      </c>
      <c r="I207" s="711" t="n">
        <v>52</v>
      </c>
      <c r="J207" s="712" t="n">
        <v>25</v>
      </c>
      <c r="K207" s="711" t="n">
        <v>77</v>
      </c>
      <c r="L207" s="709" t="n">
        <v>15</v>
      </c>
      <c r="M207" s="713" t="n">
        <v>1155</v>
      </c>
      <c r="N207" s="710" t="n">
        <v>6</v>
      </c>
      <c r="O207" s="749" t="inlineStr">
        <is>
          <t>Split: Flash Sale (US) + Transfer to China</t>
        </is>
      </c>
    </row>
    <row r="208" hidden="1" ht="18" customHeight="1" s="229">
      <c r="A208" s="690" t="inlineStr">
        <is>
          <t>Washable Wool Cardigan</t>
        </is>
      </c>
      <c r="B208" s="690" t="inlineStr">
        <is>
          <t>Loungewear</t>
        </is>
      </c>
      <c r="C208" s="690" t="inlineStr">
        <is>
          <t>Below threshold — long tail</t>
        </is>
      </c>
      <c r="D208" s="691" t="inlineStr">
        <is>
          <t>4 — LOW (natural sellthrough)</t>
        </is>
      </c>
      <c r="E208" s="692" t="n">
        <v>2209.7</v>
      </c>
      <c r="F208" s="693" t="n">
        <v>30</v>
      </c>
      <c r="G208" s="694" t="n">
        <v>0</v>
      </c>
      <c r="H208" s="694" t="n">
        <v>32</v>
      </c>
      <c r="I208" s="694" t="n">
        <v>65</v>
      </c>
      <c r="J208" s="695" t="n">
        <v>32</v>
      </c>
      <c r="K208" s="694" t="n">
        <v>97</v>
      </c>
      <c r="L208" s="692" t="n">
        <v>15</v>
      </c>
      <c r="M208" s="696" t="n">
        <v>1455</v>
      </c>
      <c r="N208" s="693" t="n">
        <v>8</v>
      </c>
      <c r="O208" s="697" t="inlineStr">
        <is>
          <t>Transfer to China Market</t>
        </is>
      </c>
    </row>
    <row r="209" hidden="1" ht="18" customHeight="1" s="229">
      <c r="A209" s="682" t="inlineStr">
        <is>
          <t>Dance Halter Sports Bra</t>
        </is>
      </c>
      <c r="B209" s="682" t="inlineStr">
        <is>
          <t>Active</t>
        </is>
      </c>
      <c r="C209" s="682" t="inlineStr">
        <is>
          <t>Very low sales (&lt;$500 in 90 days)</t>
        </is>
      </c>
      <c r="D209" s="733" t="inlineStr">
        <is>
          <t>4 — LOW (natural sellthrough)</t>
        </is>
      </c>
      <c r="E209" s="684" t="n">
        <v>440.3</v>
      </c>
      <c r="F209" s="685" t="n">
        <v>11</v>
      </c>
      <c r="G209" s="686" t="n">
        <v>0</v>
      </c>
      <c r="H209" s="686" t="n">
        <v>48</v>
      </c>
      <c r="I209" s="686" t="n">
        <v>46</v>
      </c>
      <c r="J209" s="687" t="n">
        <v>48</v>
      </c>
      <c r="K209" s="686" t="n">
        <v>94</v>
      </c>
      <c r="L209" s="684" t="n">
        <v>18</v>
      </c>
      <c r="M209" s="688" t="n">
        <v>1692</v>
      </c>
      <c r="N209" s="685" t="n">
        <v>6</v>
      </c>
      <c r="O209" s="689" t="inlineStr">
        <is>
          <t>Transfer to China Market</t>
        </is>
      </c>
    </row>
    <row r="210" hidden="1" ht="18" customHeight="1" s="229">
      <c r="A210" s="715" t="inlineStr">
        <is>
          <t>NEIWAI ACTIVE X NYCB Cargo Skirt</t>
        </is>
      </c>
      <c r="B210" s="715" t="inlineStr">
        <is>
          <t>Active</t>
        </is>
      </c>
      <c r="C210" s="715" t="inlineStr">
        <is>
          <t>NYCB collab — dead inventory, no velocity</t>
        </is>
      </c>
      <c r="D210" s="732" t="inlineStr">
        <is>
          <t>4 — LOW (natural sellthrough)</t>
        </is>
      </c>
      <c r="E210" s="717" t="n">
        <v>179</v>
      </c>
      <c r="F210" s="718" t="n">
        <v>2</v>
      </c>
      <c r="G210" s="719" t="n">
        <v>0</v>
      </c>
      <c r="H210" s="719" t="n">
        <v>53</v>
      </c>
      <c r="I210" s="719" t="n">
        <v>0</v>
      </c>
      <c r="J210" s="720" t="n">
        <v>53</v>
      </c>
      <c r="K210" s="719" t="n">
        <v>53</v>
      </c>
      <c r="L210" s="717" t="n">
        <v>18</v>
      </c>
      <c r="M210" s="721" t="n">
        <v>954</v>
      </c>
      <c r="N210" s="718" t="n">
        <v>4</v>
      </c>
      <c r="O210" s="722" t="inlineStr">
        <is>
          <t>Transfer to China Market</t>
        </is>
      </c>
    </row>
    <row r="211" hidden="1" ht="18" customHeight="1" s="229">
      <c r="A211" s="682" t="inlineStr">
        <is>
          <t>Tennis Dress</t>
        </is>
      </c>
      <c r="B211" s="682" t="inlineStr">
        <is>
          <t>Active</t>
        </is>
      </c>
      <c r="C211" s="682" t="inlineStr">
        <is>
          <t>Low sales (&lt;$1K in 90 days)</t>
        </is>
      </c>
      <c r="D211" s="733" t="inlineStr">
        <is>
          <t>4 — LOW (natural sellthrough)</t>
        </is>
      </c>
      <c r="E211" s="684" t="n">
        <v>534.24</v>
      </c>
      <c r="F211" s="685" t="n">
        <v>7</v>
      </c>
      <c r="G211" s="686" t="n">
        <v>0</v>
      </c>
      <c r="H211" s="686" t="n">
        <v>44</v>
      </c>
      <c r="I211" s="686" t="n">
        <v>117</v>
      </c>
      <c r="J211" s="687" t="n">
        <v>44</v>
      </c>
      <c r="K211" s="686" t="n">
        <v>161</v>
      </c>
      <c r="L211" s="684" t="n">
        <v>18</v>
      </c>
      <c r="M211" s="688" t="n">
        <v>2898</v>
      </c>
      <c r="N211" s="685" t="n">
        <v>6</v>
      </c>
      <c r="O211" s="689" t="inlineStr">
        <is>
          <t>Transfer to China Market</t>
        </is>
      </c>
    </row>
    <row r="212" hidden="1" ht="18" customHeight="1" s="229">
      <c r="A212" s="707" t="inlineStr">
        <is>
          <t>Plush Fleece Pajama Set</t>
        </is>
      </c>
      <c r="B212" s="707" t="inlineStr">
        <is>
          <t>Loungewear</t>
        </is>
      </c>
      <c r="C212" s="707" t="inlineStr">
        <is>
          <t>Below threshold — long tail</t>
        </is>
      </c>
      <c r="D212" s="708" t="inlineStr">
        <is>
          <t>4 — LOW (natural sellthrough)</t>
        </is>
      </c>
      <c r="E212" s="709" t="n">
        <v>1325.5</v>
      </c>
      <c r="F212" s="710" t="n">
        <v>30</v>
      </c>
      <c r="G212" s="711" t="n">
        <v>10</v>
      </c>
      <c r="H212" s="711" t="n">
        <v>5</v>
      </c>
      <c r="I212" s="711" t="n">
        <v>6</v>
      </c>
      <c r="J212" s="712" t="n">
        <v>15</v>
      </c>
      <c r="K212" s="711" t="n">
        <v>21</v>
      </c>
      <c r="L212" s="709" t="n">
        <v>15</v>
      </c>
      <c r="M212" s="713" t="n">
        <v>315</v>
      </c>
      <c r="N212" s="710" t="n">
        <v>5</v>
      </c>
      <c r="O212" s="749" t="inlineStr">
        <is>
          <t>Split: Flash Sale (US) + Transfer to China</t>
        </is>
      </c>
    </row>
    <row r="213" hidden="1" ht="18" customHeight="1" s="229">
      <c r="A213" s="715" t="inlineStr">
        <is>
          <t>NEIWAI ACTIVE X NYCB Ribbed Mousse T-Shirt</t>
        </is>
      </c>
      <c r="B213" s="715" t="inlineStr">
        <is>
          <t>Active</t>
        </is>
      </c>
      <c r="C213" s="715" t="inlineStr">
        <is>
          <t>NYCB collab — dead inventory, no velocity</t>
        </is>
      </c>
      <c r="D213" s="732" t="inlineStr">
        <is>
          <t>4 — LOW (natural sellthrough)</t>
        </is>
      </c>
      <c r="E213" s="717" t="n">
        <v>100.75</v>
      </c>
      <c r="F213" s="718" t="n">
        <v>2</v>
      </c>
      <c r="G213" s="719" t="n">
        <v>0</v>
      </c>
      <c r="H213" s="719" t="n">
        <v>72</v>
      </c>
      <c r="I213" s="719" t="n">
        <v>0</v>
      </c>
      <c r="J213" s="720" t="n">
        <v>72</v>
      </c>
      <c r="K213" s="719" t="n">
        <v>72</v>
      </c>
      <c r="L213" s="717" t="n">
        <v>18</v>
      </c>
      <c r="M213" s="721" t="n">
        <v>1296</v>
      </c>
      <c r="N213" s="718" t="n">
        <v>3</v>
      </c>
      <c r="O213" s="722" t="inlineStr">
        <is>
          <t>Transfer to China Market</t>
        </is>
      </c>
    </row>
    <row r="214" hidden="1" ht="18" customHeight="1" s="229">
      <c r="A214" s="690" t="inlineStr">
        <is>
          <t>UltraFlex Cotton Padded Camisole</t>
        </is>
      </c>
      <c r="B214" s="690" t="inlineStr">
        <is>
          <t>Loungewear</t>
        </is>
      </c>
      <c r="C214" s="690" t="inlineStr">
        <is>
          <t>Below threshold — long tail</t>
        </is>
      </c>
      <c r="D214" s="691" t="inlineStr">
        <is>
          <t>4 — LOW (natural sellthrough)</t>
        </is>
      </c>
      <c r="E214" s="692" t="n">
        <v>1394.25</v>
      </c>
      <c r="F214" s="693" t="n">
        <v>48</v>
      </c>
      <c r="G214" s="694" t="n">
        <v>26</v>
      </c>
      <c r="H214" s="694" t="n">
        <v>5</v>
      </c>
      <c r="I214" s="694" t="n">
        <v>0</v>
      </c>
      <c r="J214" s="695" t="n">
        <v>31</v>
      </c>
      <c r="K214" s="694" t="n">
        <v>31</v>
      </c>
      <c r="L214" s="692" t="n">
        <v>15</v>
      </c>
      <c r="M214" s="696" t="n">
        <v>465</v>
      </c>
      <c r="N214" s="693" t="n">
        <v>11</v>
      </c>
      <c r="O214" s="737" t="inlineStr">
        <is>
          <t>Split: Flash Sale (US) + Transfer to China</t>
        </is>
      </c>
    </row>
    <row r="215" hidden="1" ht="18" customHeight="1" s="229">
      <c r="A215" s="707" t="inlineStr">
        <is>
          <t>Silky Knit Joggers</t>
        </is>
      </c>
      <c r="B215" s="707" t="inlineStr">
        <is>
          <t>Loungewear</t>
        </is>
      </c>
      <c r="C215" s="707" t="inlineStr">
        <is>
          <t>Low sales (&lt;$1K in 90 days)</t>
        </is>
      </c>
      <c r="D215" s="708" t="inlineStr">
        <is>
          <t>4 — LOW (natural sellthrough)</t>
        </is>
      </c>
      <c r="E215" s="709" t="n">
        <v>678.22</v>
      </c>
      <c r="F215" s="710" t="n">
        <v>7</v>
      </c>
      <c r="G215" s="711" t="n">
        <v>4</v>
      </c>
      <c r="H215" s="711" t="n">
        <v>31</v>
      </c>
      <c r="I215" s="711" t="n">
        <v>132</v>
      </c>
      <c r="J215" s="712" t="n">
        <v>35</v>
      </c>
      <c r="K215" s="711" t="n">
        <v>167</v>
      </c>
      <c r="L215" s="709" t="n">
        <v>15</v>
      </c>
      <c r="M215" s="713" t="n">
        <v>2505</v>
      </c>
      <c r="N215" s="710" t="n">
        <v>5</v>
      </c>
      <c r="O215" s="749" t="inlineStr">
        <is>
          <t>Split: Flash Sale (US) + Transfer to China</t>
        </is>
      </c>
    </row>
    <row r="216" hidden="1" ht="18" customHeight="1" s="229">
      <c r="A216" s="690" t="inlineStr">
        <is>
          <t>Silk Sleep Tee</t>
        </is>
      </c>
      <c r="B216" s="690" t="inlineStr">
        <is>
          <t>Loungewear</t>
        </is>
      </c>
      <c r="C216" s="690" t="inlineStr">
        <is>
          <t>Low sales (&lt;$1K in 90 days)</t>
        </is>
      </c>
      <c r="D216" s="691" t="inlineStr">
        <is>
          <t>4 — LOW (natural sellthrough)</t>
        </is>
      </c>
      <c r="E216" s="692" t="n">
        <v>504.45</v>
      </c>
      <c r="F216" s="693" t="n">
        <v>11</v>
      </c>
      <c r="G216" s="694" t="n">
        <v>0</v>
      </c>
      <c r="H216" s="694" t="n">
        <v>32</v>
      </c>
      <c r="I216" s="694" t="n">
        <v>259</v>
      </c>
      <c r="J216" s="695" t="n">
        <v>32</v>
      </c>
      <c r="K216" s="694" t="n">
        <v>291</v>
      </c>
      <c r="L216" s="692" t="n">
        <v>15</v>
      </c>
      <c r="M216" s="696" t="n">
        <v>4365</v>
      </c>
      <c r="N216" s="693" t="n">
        <v>8</v>
      </c>
      <c r="O216" s="697" t="inlineStr">
        <is>
          <t>Transfer to China Market</t>
        </is>
      </c>
    </row>
    <row r="217" hidden="1" ht="18" customHeight="1" s="229">
      <c r="A217" s="723" t="inlineStr">
        <is>
          <t>Men's Classic Cozy Pajama Pants</t>
        </is>
      </c>
      <c r="B217" s="723" t="inlineStr">
        <is>
          <t>Men</t>
        </is>
      </c>
      <c r="C217" s="723" t="inlineStr">
        <is>
          <t>Very low sales (&lt;$500 in 90 days)</t>
        </is>
      </c>
      <c r="D217" s="724" t="inlineStr">
        <is>
          <t>4 — LOW (natural sellthrough)</t>
        </is>
      </c>
      <c r="E217" s="725" t="n">
        <v>446.03</v>
      </c>
      <c r="F217" s="726" t="n">
        <v>7</v>
      </c>
      <c r="G217" s="727" t="n">
        <v>0</v>
      </c>
      <c r="H217" s="727" t="n">
        <v>58</v>
      </c>
      <c r="I217" s="727" t="n">
        <v>284</v>
      </c>
      <c r="J217" s="728" t="n">
        <v>58</v>
      </c>
      <c r="K217" s="727" t="n">
        <v>342</v>
      </c>
      <c r="L217" s="725" t="n">
        <v>8</v>
      </c>
      <c r="M217" s="729" t="n">
        <v>2736</v>
      </c>
      <c r="N217" s="726" t="n">
        <v>8</v>
      </c>
      <c r="O217" s="730" t="inlineStr">
        <is>
          <t>Transfer to China Market</t>
        </is>
      </c>
    </row>
    <row r="218" ht="18" customHeight="1" s="229">
      <c r="A218" s="707" t="inlineStr">
        <is>
          <t>Knitted Spring Cardigan</t>
        </is>
      </c>
      <c r="B218" s="707" t="inlineStr">
        <is>
          <t>Loungewear</t>
        </is>
      </c>
      <c r="C218" s="707" t="inlineStr">
        <is>
          <t>Below threshold — long tail</t>
        </is>
      </c>
      <c r="D218" s="708" t="inlineStr">
        <is>
          <t>4 — LOW (natural sellthrough)</t>
        </is>
      </c>
      <c r="E218" s="709" t="n">
        <v>1143.81</v>
      </c>
      <c r="F218" s="710" t="n">
        <v>14</v>
      </c>
      <c r="G218" s="711" t="n">
        <v>0</v>
      </c>
      <c r="H218" s="711" t="n">
        <v>45</v>
      </c>
      <c r="I218" s="711" t="n">
        <v>138</v>
      </c>
      <c r="J218" s="712" t="n">
        <v>45</v>
      </c>
      <c r="K218" s="711" t="n">
        <v>183</v>
      </c>
      <c r="L218" s="709" t="n">
        <v>15</v>
      </c>
      <c r="M218" s="713" t="n">
        <v>2745</v>
      </c>
      <c r="N218" s="710" t="n">
        <v>9</v>
      </c>
      <c r="O218" s="714" t="inlineStr">
        <is>
          <t>Transfer to China Market</t>
        </is>
      </c>
    </row>
    <row r="219" hidden="1" ht="18" customHeight="1" s="229">
      <c r="A219" s="682" t="inlineStr">
        <is>
          <t>Ribbed Light Support Fixed Cup Sports Bra</t>
        </is>
      </c>
      <c r="B219" s="682" t="inlineStr">
        <is>
          <t>Active</t>
        </is>
      </c>
      <c r="C219" s="682" t="inlineStr">
        <is>
          <t>Active category rationalization</t>
        </is>
      </c>
      <c r="D219" s="733" t="inlineStr">
        <is>
          <t>4 — LOW (natural sellthrough)</t>
        </is>
      </c>
      <c r="E219" s="684" t="n">
        <v>1281.05</v>
      </c>
      <c r="F219" s="685" t="n">
        <v>24</v>
      </c>
      <c r="G219" s="686" t="n">
        <v>0</v>
      </c>
      <c r="H219" s="686" t="n">
        <v>23</v>
      </c>
      <c r="I219" s="686" t="n">
        <v>0</v>
      </c>
      <c r="J219" s="687" t="n">
        <v>23</v>
      </c>
      <c r="K219" s="686" t="n">
        <v>23</v>
      </c>
      <c r="L219" s="684" t="n">
        <v>18</v>
      </c>
      <c r="M219" s="688" t="n">
        <v>414</v>
      </c>
      <c r="N219" s="685" t="n">
        <v>8</v>
      </c>
      <c r="O219" s="689" t="inlineStr">
        <is>
          <t>Transfer to China Market</t>
        </is>
      </c>
    </row>
    <row r="220" hidden="1" ht="18" customHeight="1" s="229">
      <c r="A220" s="699" t="inlineStr">
        <is>
          <t>Men's Performance Briefs (3-Pack)</t>
        </is>
      </c>
      <c r="B220" s="699" t="inlineStr">
        <is>
          <t>Men</t>
        </is>
      </c>
      <c r="C220" s="699" t="inlineStr">
        <is>
          <t>Low sales (&lt;$1K in 90 days)</t>
        </is>
      </c>
      <c r="D220" s="700" t="inlineStr">
        <is>
          <t>4 — LOW (natural sellthrough)</t>
        </is>
      </c>
      <c r="E220" s="701" t="n">
        <v>722.78</v>
      </c>
      <c r="F220" s="702" t="n">
        <v>12</v>
      </c>
      <c r="G220" s="703" t="n">
        <v>0</v>
      </c>
      <c r="H220" s="703" t="n">
        <v>20</v>
      </c>
      <c r="I220" s="703" t="n">
        <v>168</v>
      </c>
      <c r="J220" s="704" t="n">
        <v>20</v>
      </c>
      <c r="K220" s="703" t="n">
        <v>188</v>
      </c>
      <c r="L220" s="701" t="n">
        <v>8</v>
      </c>
      <c r="M220" s="705" t="n">
        <v>1504</v>
      </c>
      <c r="N220" s="702" t="n">
        <v>4</v>
      </c>
      <c r="O220" s="706" t="inlineStr">
        <is>
          <t>Transfer to China Market</t>
        </is>
      </c>
    </row>
    <row r="221" hidden="1" ht="18" customHeight="1" s="229">
      <c r="A221" s="715" t="inlineStr">
        <is>
          <t>NEIWAI ACTIVE X NYCB Polartec Fleece Sweatshirt</t>
        </is>
      </c>
      <c r="B221" s="715" t="inlineStr">
        <is>
          <t>Active</t>
        </is>
      </c>
      <c r="C221" s="715" t="inlineStr">
        <is>
          <t>NYCB collab — dead inventory, no velocity</t>
        </is>
      </c>
      <c r="D221" s="732" t="inlineStr">
        <is>
          <t>4 — LOW (natural sellthrough)</t>
        </is>
      </c>
      <c r="E221" s="717" t="n">
        <v>232.5</v>
      </c>
      <c r="F221" s="718" t="n">
        <v>2</v>
      </c>
      <c r="G221" s="719" t="n">
        <v>0</v>
      </c>
      <c r="H221" s="719" t="n">
        <v>60</v>
      </c>
      <c r="I221" s="719" t="n">
        <v>0</v>
      </c>
      <c r="J221" s="720" t="n">
        <v>60</v>
      </c>
      <c r="K221" s="719" t="n">
        <v>60</v>
      </c>
      <c r="L221" s="717" t="n">
        <v>18</v>
      </c>
      <c r="M221" s="721" t="n">
        <v>1080</v>
      </c>
      <c r="N221" s="718" t="n">
        <v>2</v>
      </c>
      <c r="O221" s="722" t="inlineStr">
        <is>
          <t>Transfer to China Market</t>
        </is>
      </c>
    </row>
    <row r="222" hidden="1" ht="18" customHeight="1" s="229">
      <c r="A222" s="690" t="inlineStr">
        <is>
          <t>Cropped Straight Leg Pajama Pants</t>
        </is>
      </c>
      <c r="B222" s="690" t="inlineStr">
        <is>
          <t>Loungewear</t>
        </is>
      </c>
      <c r="C222" s="690" t="inlineStr">
        <is>
          <t>Low sales (&lt;$1K in 90 days)</t>
        </is>
      </c>
      <c r="D222" s="691" t="inlineStr">
        <is>
          <t>4 — LOW (natural sellthrough)</t>
        </is>
      </c>
      <c r="E222" s="692" t="n">
        <v>935.8</v>
      </c>
      <c r="F222" s="693" t="n">
        <v>38</v>
      </c>
      <c r="G222" s="694" t="n">
        <v>0</v>
      </c>
      <c r="H222" s="694" t="n">
        <v>18</v>
      </c>
      <c r="I222" s="694" t="n">
        <v>206</v>
      </c>
      <c r="J222" s="695" t="n">
        <v>18</v>
      </c>
      <c r="K222" s="694" t="n">
        <v>224</v>
      </c>
      <c r="L222" s="692" t="n">
        <v>15</v>
      </c>
      <c r="M222" s="696" t="n">
        <v>3360</v>
      </c>
      <c r="N222" s="693" t="n">
        <v>6</v>
      </c>
      <c r="O222" s="697" t="inlineStr">
        <is>
          <t>Transfer to China Market</t>
        </is>
      </c>
    </row>
    <row r="223" hidden="1" ht="18" customHeight="1" s="229">
      <c r="A223" s="682" t="inlineStr">
        <is>
          <t>Urban Sport Casual Top</t>
        </is>
      </c>
      <c r="B223" s="682" t="inlineStr">
        <is>
          <t>Active</t>
        </is>
      </c>
      <c r="C223" s="682" t="inlineStr">
        <is>
          <t>Low sales (&lt;$1K in 90 days)</t>
        </is>
      </c>
      <c r="D223" s="733" t="inlineStr">
        <is>
          <t>4 — LOW (natural sellthrough)</t>
        </is>
      </c>
      <c r="E223" s="684" t="n">
        <v>529.51</v>
      </c>
      <c r="F223" s="685" t="n">
        <v>11</v>
      </c>
      <c r="G223" s="686" t="n">
        <v>0</v>
      </c>
      <c r="H223" s="686" t="n">
        <v>14</v>
      </c>
      <c r="I223" s="686" t="n">
        <v>0</v>
      </c>
      <c r="J223" s="687" t="n">
        <v>14</v>
      </c>
      <c r="K223" s="686" t="n">
        <v>14</v>
      </c>
      <c r="L223" s="684" t="n">
        <v>18</v>
      </c>
      <c r="M223" s="688" t="n">
        <v>252</v>
      </c>
      <c r="N223" s="685" t="n">
        <v>3</v>
      </c>
      <c r="O223" s="689" t="inlineStr">
        <is>
          <t>Transfer to China Market</t>
        </is>
      </c>
    </row>
    <row r="224" hidden="1" ht="18" customHeight="1" s="229">
      <c r="A224" s="715" t="inlineStr">
        <is>
          <t>Active Long Sleeve Tee</t>
        </is>
      </c>
      <c r="B224" s="715" t="inlineStr">
        <is>
          <t>Active</t>
        </is>
      </c>
      <c r="C224" s="715" t="inlineStr">
        <is>
          <t>Low sales (&lt;$1K in 90 days)</t>
        </is>
      </c>
      <c r="D224" s="732" t="inlineStr">
        <is>
          <t>4 — LOW (natural sellthrough)</t>
        </is>
      </c>
      <c r="E224" s="717" t="n">
        <v>807.9300000000001</v>
      </c>
      <c r="F224" s="718" t="n">
        <v>23</v>
      </c>
      <c r="G224" s="719" t="n">
        <v>0</v>
      </c>
      <c r="H224" s="719" t="n">
        <v>31</v>
      </c>
      <c r="I224" s="719" t="n">
        <v>192</v>
      </c>
      <c r="J224" s="720" t="n">
        <v>31</v>
      </c>
      <c r="K224" s="719" t="n">
        <v>223</v>
      </c>
      <c r="L224" s="717" t="n">
        <v>18</v>
      </c>
      <c r="M224" s="721" t="n">
        <v>4014</v>
      </c>
      <c r="N224" s="718" t="n">
        <v>8</v>
      </c>
      <c r="O224" s="722" t="inlineStr">
        <is>
          <t>Transfer to China Market</t>
        </is>
      </c>
    </row>
    <row r="225" hidden="1" ht="18" customHeight="1" s="229">
      <c r="A225" s="682" t="inlineStr">
        <is>
          <t>Active Ballet Stirrup Drawstring Leggings</t>
        </is>
      </c>
      <c r="B225" s="682" t="inlineStr">
        <is>
          <t>Active</t>
        </is>
      </c>
      <c r="C225" s="682" t="inlineStr">
        <is>
          <t>Active category rationalization</t>
        </is>
      </c>
      <c r="D225" s="733" t="inlineStr">
        <is>
          <t>4 — LOW (natural sellthrough)</t>
        </is>
      </c>
      <c r="E225" s="684" t="n">
        <v>3158.25</v>
      </c>
      <c r="F225" s="685" t="n">
        <v>62</v>
      </c>
      <c r="G225" s="686" t="n">
        <v>2</v>
      </c>
      <c r="H225" s="686" t="n">
        <v>14</v>
      </c>
      <c r="I225" s="686" t="n">
        <v>269</v>
      </c>
      <c r="J225" s="687" t="n">
        <v>16</v>
      </c>
      <c r="K225" s="686" t="n">
        <v>285</v>
      </c>
      <c r="L225" s="684" t="n">
        <v>18</v>
      </c>
      <c r="M225" s="688" t="n">
        <v>5130</v>
      </c>
      <c r="N225" s="685" t="n">
        <v>8</v>
      </c>
      <c r="O225" s="738" t="inlineStr">
        <is>
          <t>Split: Flash Sale (US) + Transfer to China</t>
        </is>
      </c>
    </row>
    <row r="226" hidden="1" ht="18" customHeight="1" s="229">
      <c r="A226" s="715" t="inlineStr">
        <is>
          <t>Ballet High Neck Bra Top</t>
        </is>
      </c>
      <c r="B226" s="715" t="inlineStr">
        <is>
          <t>Active</t>
        </is>
      </c>
      <c r="C226" s="715" t="inlineStr">
        <is>
          <t>Low sales (&lt;$1K in 90 days)</t>
        </is>
      </c>
      <c r="D226" s="732" t="inlineStr">
        <is>
          <t>4 — LOW (natural sellthrough)</t>
        </is>
      </c>
      <c r="E226" s="717" t="n">
        <v>616.6900000000001</v>
      </c>
      <c r="F226" s="718" t="n">
        <v>11</v>
      </c>
      <c r="G226" s="719" t="n">
        <v>0</v>
      </c>
      <c r="H226" s="719" t="n">
        <v>27</v>
      </c>
      <c r="I226" s="719" t="n">
        <v>144</v>
      </c>
      <c r="J226" s="720" t="n">
        <v>27</v>
      </c>
      <c r="K226" s="719" t="n">
        <v>171</v>
      </c>
      <c r="L226" s="717" t="n">
        <v>18</v>
      </c>
      <c r="M226" s="721" t="n">
        <v>3078</v>
      </c>
      <c r="N226" s="718" t="n">
        <v>7</v>
      </c>
      <c r="O226" s="722" t="inlineStr">
        <is>
          <t>Transfer to China Market</t>
        </is>
      </c>
    </row>
    <row r="227" hidden="1" ht="18" customHeight="1" s="229">
      <c r="A227" s="723" t="inlineStr">
        <is>
          <t>Men's Classic Cozy Pajama Shirt</t>
        </is>
      </c>
      <c r="B227" s="723" t="inlineStr">
        <is>
          <t>Men</t>
        </is>
      </c>
      <c r="C227" s="723" t="inlineStr">
        <is>
          <t>Low sales (&lt;$1K in 90 days)</t>
        </is>
      </c>
      <c r="D227" s="724" t="inlineStr">
        <is>
          <t>4 — LOW (natural sellthrough)</t>
        </is>
      </c>
      <c r="E227" s="725" t="n">
        <v>519.01</v>
      </c>
      <c r="F227" s="726" t="n">
        <v>6</v>
      </c>
      <c r="G227" s="727" t="n">
        <v>0</v>
      </c>
      <c r="H227" s="727" t="n">
        <v>66</v>
      </c>
      <c r="I227" s="727" t="n">
        <v>361</v>
      </c>
      <c r="J227" s="728" t="n">
        <v>66</v>
      </c>
      <c r="K227" s="727" t="n">
        <v>427</v>
      </c>
      <c r="L227" s="725" t="n">
        <v>8</v>
      </c>
      <c r="M227" s="729" t="n">
        <v>3416</v>
      </c>
      <c r="N227" s="726" t="n">
        <v>7</v>
      </c>
      <c r="O227" s="730" t="inlineStr">
        <is>
          <t>Transfer to China Market</t>
        </is>
      </c>
    </row>
    <row r="228" ht="18" customHeight="1" s="229">
      <c r="A228" s="682" t="inlineStr">
        <is>
          <t>Merino Wool 2-way Beanie</t>
        </is>
      </c>
      <c r="B228" s="682" t="inlineStr">
        <is>
          <t>Active</t>
        </is>
      </c>
      <c r="C228" s="682" t="inlineStr">
        <is>
          <t>Active category rationalization</t>
        </is>
      </c>
      <c r="D228" s="733" t="inlineStr">
        <is>
          <t>4 — LOW (natural sellthrough)</t>
        </is>
      </c>
      <c r="E228" s="684" t="n">
        <v>1499.78</v>
      </c>
      <c r="F228" s="685" t="n">
        <v>85</v>
      </c>
      <c r="G228" s="686" t="n">
        <v>0</v>
      </c>
      <c r="H228" s="686" t="n">
        <v>12</v>
      </c>
      <c r="I228" s="686" t="n">
        <v>186</v>
      </c>
      <c r="J228" s="687" t="n">
        <v>12</v>
      </c>
      <c r="K228" s="686" t="n">
        <v>198</v>
      </c>
      <c r="L228" s="684" t="n">
        <v>18</v>
      </c>
      <c r="M228" s="688" t="n">
        <v>3564</v>
      </c>
      <c r="N228" s="685" t="n">
        <v>2</v>
      </c>
      <c r="O228" s="689" t="inlineStr">
        <is>
          <t>Transfer to China Market</t>
        </is>
      </c>
    </row>
    <row r="229" hidden="1" ht="18" customHeight="1" s="229">
      <c r="A229" s="715" t="inlineStr">
        <is>
          <t>NEIWAI ACTIVE X Andrea Jiapei Li Cutout Halter Sports Top</t>
        </is>
      </c>
      <c r="B229" s="715" t="inlineStr">
        <is>
          <t>Active</t>
        </is>
      </c>
      <c r="C229" s="715" t="inlineStr">
        <is>
          <t>Very low sales (&lt;$500 in 90 days)</t>
        </is>
      </c>
      <c r="D229" s="732" t="inlineStr">
        <is>
          <t>4 — LOW (natural sellthrough)</t>
        </is>
      </c>
      <c r="E229" s="717" t="n">
        <v>333.63</v>
      </c>
      <c r="F229" s="718" t="n">
        <v>7</v>
      </c>
      <c r="G229" s="719" t="n">
        <v>0</v>
      </c>
      <c r="H229" s="719" t="n">
        <v>16</v>
      </c>
      <c r="I229" s="719" t="n">
        <v>0</v>
      </c>
      <c r="J229" s="720" t="n">
        <v>16</v>
      </c>
      <c r="K229" s="719" t="n">
        <v>16</v>
      </c>
      <c r="L229" s="717" t="n">
        <v>18</v>
      </c>
      <c r="M229" s="721" t="n">
        <v>288</v>
      </c>
      <c r="N229" s="718" t="n">
        <v>3</v>
      </c>
      <c r="O229" s="722" t="inlineStr">
        <is>
          <t>Transfer to China Market</t>
        </is>
      </c>
    </row>
    <row r="230" hidden="1" ht="18" customHeight="1" s="229">
      <c r="A230" s="707" t="inlineStr">
        <is>
          <t>Drape-Front Asymmetrical Sweater</t>
        </is>
      </c>
      <c r="B230" s="707" t="inlineStr">
        <is>
          <t>Loungewear</t>
        </is>
      </c>
      <c r="C230" s="707" t="inlineStr">
        <is>
          <t>Low sales (&lt;$1K in 90 days)</t>
        </is>
      </c>
      <c r="D230" s="708" t="inlineStr">
        <is>
          <t>4 — LOW (natural sellthrough)</t>
        </is>
      </c>
      <c r="E230" s="709" t="n">
        <v>584.83</v>
      </c>
      <c r="F230" s="710" t="n">
        <v>16</v>
      </c>
      <c r="G230" s="711" t="n">
        <v>0</v>
      </c>
      <c r="H230" s="711" t="n">
        <v>15</v>
      </c>
      <c r="I230" s="711" t="n">
        <v>31</v>
      </c>
      <c r="J230" s="712" t="n">
        <v>15</v>
      </c>
      <c r="K230" s="711" t="n">
        <v>46</v>
      </c>
      <c r="L230" s="709" t="n">
        <v>15</v>
      </c>
      <c r="M230" s="713" t="n">
        <v>690</v>
      </c>
      <c r="N230" s="710" t="n">
        <v>5</v>
      </c>
      <c r="O230" s="714" t="inlineStr">
        <is>
          <t>Transfer to China Market</t>
        </is>
      </c>
    </row>
    <row r="231" hidden="1" ht="18" customHeight="1" s="229">
      <c r="A231" s="690" t="inlineStr">
        <is>
          <t>Silk Sleep Pajama Pants</t>
        </is>
      </c>
      <c r="B231" s="690" t="inlineStr">
        <is>
          <t>Loungewear</t>
        </is>
      </c>
      <c r="C231" s="690" t="inlineStr">
        <is>
          <t>Low sales (&lt;$1K in 90 days)</t>
        </is>
      </c>
      <c r="D231" s="691" t="inlineStr">
        <is>
          <t>4 — LOW (natural sellthrough)</t>
        </is>
      </c>
      <c r="E231" s="692" t="n">
        <v>565.83</v>
      </c>
      <c r="F231" s="693" t="n">
        <v>10</v>
      </c>
      <c r="G231" s="694" t="n">
        <v>0</v>
      </c>
      <c r="H231" s="694" t="n">
        <v>24</v>
      </c>
      <c r="I231" s="694" t="n">
        <v>152</v>
      </c>
      <c r="J231" s="695" t="n">
        <v>24</v>
      </c>
      <c r="K231" s="694" t="n">
        <v>176</v>
      </c>
      <c r="L231" s="692" t="n">
        <v>15</v>
      </c>
      <c r="M231" s="696" t="n">
        <v>2640</v>
      </c>
      <c r="N231" s="693" t="n">
        <v>7</v>
      </c>
      <c r="O231" s="697" t="inlineStr">
        <is>
          <t>Transfer to China Market</t>
        </is>
      </c>
    </row>
    <row r="232" hidden="1" ht="18" customHeight="1" s="229">
      <c r="A232" s="682" t="inlineStr">
        <is>
          <t>Mousse Cropped Sports Tank</t>
        </is>
      </c>
      <c r="B232" s="682" t="inlineStr">
        <is>
          <t>Active</t>
        </is>
      </c>
      <c r="C232" s="682" t="inlineStr">
        <is>
          <t>Low sales (&lt;$1K in 90 days)</t>
        </is>
      </c>
      <c r="D232" s="733" t="inlineStr">
        <is>
          <t>4 — LOW (natural sellthrough)</t>
        </is>
      </c>
      <c r="E232" s="684" t="n">
        <v>694.83</v>
      </c>
      <c r="F232" s="685" t="n">
        <v>29</v>
      </c>
      <c r="G232" s="686" t="n">
        <v>0</v>
      </c>
      <c r="H232" s="686" t="n">
        <v>26</v>
      </c>
      <c r="I232" s="686" t="n">
        <v>190</v>
      </c>
      <c r="J232" s="687" t="n">
        <v>26</v>
      </c>
      <c r="K232" s="686" t="n">
        <v>216</v>
      </c>
      <c r="L232" s="684" t="n">
        <v>18</v>
      </c>
      <c r="M232" s="688" t="n">
        <v>3888</v>
      </c>
      <c r="N232" s="685" t="n">
        <v>7</v>
      </c>
      <c r="O232" s="689" t="inlineStr">
        <is>
          <t>Transfer to China Market</t>
        </is>
      </c>
    </row>
    <row r="233" hidden="1" ht="18" customHeight="1" s="229">
      <c r="A233" s="707" t="inlineStr">
        <is>
          <t>Hang Out Casual Pants</t>
        </is>
      </c>
      <c r="B233" s="707" t="inlineStr">
        <is>
          <t>Loungewear</t>
        </is>
      </c>
      <c r="C233" s="707" t="inlineStr">
        <is>
          <t>Low sales (&lt;$1K in 90 days)</t>
        </is>
      </c>
      <c r="D233" s="708" t="inlineStr">
        <is>
          <t>4 — LOW (natural sellthrough)</t>
        </is>
      </c>
      <c r="E233" s="709" t="n">
        <v>612.6900000000001</v>
      </c>
      <c r="F233" s="710" t="n">
        <v>13</v>
      </c>
      <c r="G233" s="711" t="n">
        <v>18</v>
      </c>
      <c r="H233" s="711" t="n">
        <v>6</v>
      </c>
      <c r="I233" s="711" t="n">
        <v>58</v>
      </c>
      <c r="J233" s="712" t="n">
        <v>24</v>
      </c>
      <c r="K233" s="711" t="n">
        <v>82</v>
      </c>
      <c r="L233" s="709" t="n">
        <v>15</v>
      </c>
      <c r="M233" s="713" t="n">
        <v>1230</v>
      </c>
      <c r="N233" s="710" t="n">
        <v>4</v>
      </c>
      <c r="O233" s="749" t="inlineStr">
        <is>
          <t>Split: Flash Sale (US) + Transfer to China</t>
        </is>
      </c>
    </row>
    <row r="234" hidden="1" ht="18" customHeight="1" s="229">
      <c r="A234" s="715" t="inlineStr">
        <is>
          <t>Ribbed Mousse Padded Long Sleeve T-Shirt</t>
        </is>
      </c>
      <c r="B234" s="715" t="inlineStr">
        <is>
          <t>Active</t>
        </is>
      </c>
      <c r="C234" s="715" t="inlineStr">
        <is>
          <t>Active category rationalization</t>
        </is>
      </c>
      <c r="D234" s="732" t="inlineStr">
        <is>
          <t>4 — LOW (natural sellthrough)</t>
        </is>
      </c>
      <c r="E234" s="717" t="n">
        <v>1181</v>
      </c>
      <c r="F234" s="718" t="n">
        <v>18</v>
      </c>
      <c r="G234" s="719" t="n">
        <v>0</v>
      </c>
      <c r="H234" s="719" t="n">
        <v>20</v>
      </c>
      <c r="I234" s="719" t="n">
        <v>0</v>
      </c>
      <c r="J234" s="720" t="n">
        <v>20</v>
      </c>
      <c r="K234" s="719" t="n">
        <v>20</v>
      </c>
      <c r="L234" s="717" t="n">
        <v>18</v>
      </c>
      <c r="M234" s="721" t="n">
        <v>360</v>
      </c>
      <c r="N234" s="718" t="n">
        <v>8</v>
      </c>
      <c r="O234" s="722" t="inlineStr">
        <is>
          <t>Transfer to China Market</t>
        </is>
      </c>
    </row>
    <row r="235" hidden="1" ht="18" customHeight="1" s="229">
      <c r="A235" s="682" t="inlineStr">
        <is>
          <t>Dance Wool Wrap Cardigan</t>
        </is>
      </c>
      <c r="B235" s="682" t="inlineStr">
        <is>
          <t>Active</t>
        </is>
      </c>
      <c r="C235" s="682" t="inlineStr">
        <is>
          <t>Active category rationalization</t>
        </is>
      </c>
      <c r="D235" s="733" t="inlineStr">
        <is>
          <t>4 — LOW (natural sellthrough)</t>
        </is>
      </c>
      <c r="E235" s="684" t="n">
        <v>3429.49</v>
      </c>
      <c r="F235" s="685" t="n">
        <v>36</v>
      </c>
      <c r="G235" s="686" t="n">
        <v>0</v>
      </c>
      <c r="H235" s="686" t="n">
        <v>11</v>
      </c>
      <c r="I235" s="686" t="n">
        <v>199</v>
      </c>
      <c r="J235" s="687" t="n">
        <v>11</v>
      </c>
      <c r="K235" s="686" t="n">
        <v>210</v>
      </c>
      <c r="L235" s="684" t="n">
        <v>18</v>
      </c>
      <c r="M235" s="688" t="n">
        <v>3780</v>
      </c>
      <c r="N235" s="685" t="n">
        <v>6</v>
      </c>
      <c r="O235" s="689" t="inlineStr">
        <is>
          <t>Transfer to China Market</t>
        </is>
      </c>
    </row>
    <row r="236" hidden="1" ht="18" customHeight="1" s="229">
      <c r="A236" s="715" t="inlineStr">
        <is>
          <t>Mousse Medium Support Sports Bra</t>
        </is>
      </c>
      <c r="B236" s="715" t="inlineStr">
        <is>
          <t>Active</t>
        </is>
      </c>
      <c r="C236" s="715" t="inlineStr">
        <is>
          <t>Active category rationalization</t>
        </is>
      </c>
      <c r="D236" s="732" t="inlineStr">
        <is>
          <t>4 — LOW (natural sellthrough)</t>
        </is>
      </c>
      <c r="E236" s="717" t="n">
        <v>1061.21</v>
      </c>
      <c r="F236" s="718" t="n">
        <v>21</v>
      </c>
      <c r="G236" s="719" t="n">
        <v>4</v>
      </c>
      <c r="H236" s="719" t="n">
        <v>23</v>
      </c>
      <c r="I236" s="719" t="n">
        <v>275</v>
      </c>
      <c r="J236" s="720" t="n">
        <v>27</v>
      </c>
      <c r="K236" s="719" t="n">
        <v>302</v>
      </c>
      <c r="L236" s="717" t="n">
        <v>18</v>
      </c>
      <c r="M236" s="721" t="n">
        <v>5436</v>
      </c>
      <c r="N236" s="718" t="n">
        <v>9</v>
      </c>
      <c r="O236" s="736" t="inlineStr">
        <is>
          <t>Split: Flash Sale (US) + Transfer to China</t>
        </is>
      </c>
    </row>
    <row r="237" hidden="1" ht="18" customHeight="1" s="229">
      <c r="A237" s="690" t="inlineStr">
        <is>
          <t>Padded Thermal Set</t>
        </is>
      </c>
      <c r="B237" s="690" t="inlineStr">
        <is>
          <t>Loungewear</t>
        </is>
      </c>
      <c r="C237" s="690" t="inlineStr">
        <is>
          <t>Low sales (&lt;$1K in 90 days)</t>
        </is>
      </c>
      <c r="D237" s="691" t="inlineStr">
        <is>
          <t>4 — LOW (natural sellthrough)</t>
        </is>
      </c>
      <c r="E237" s="692" t="n">
        <v>766.3</v>
      </c>
      <c r="F237" s="693" t="n">
        <v>13</v>
      </c>
      <c r="G237" s="694" t="n">
        <v>14</v>
      </c>
      <c r="H237" s="694" t="n">
        <v>0</v>
      </c>
      <c r="I237" s="694" t="n">
        <v>25</v>
      </c>
      <c r="J237" s="695" t="n">
        <v>14</v>
      </c>
      <c r="K237" s="694" t="n">
        <v>39</v>
      </c>
      <c r="L237" s="692" t="n">
        <v>15</v>
      </c>
      <c r="M237" s="696" t="n">
        <v>585</v>
      </c>
      <c r="N237" s="693" t="n">
        <v>5</v>
      </c>
      <c r="O237" s="737" t="inlineStr">
        <is>
          <t>Split: Flash Sale (US) + Transfer to China</t>
        </is>
      </c>
    </row>
    <row r="238" hidden="1" ht="18" customHeight="1" s="229">
      <c r="A238" s="707" t="inlineStr">
        <is>
          <t>Boundless Soft Tapered Pants</t>
        </is>
      </c>
      <c r="B238" s="707" t="inlineStr">
        <is>
          <t>Loungewear</t>
        </is>
      </c>
      <c r="C238" s="707" t="inlineStr">
        <is>
          <t>Below threshold — long tail</t>
        </is>
      </c>
      <c r="D238" s="708" t="inlineStr">
        <is>
          <t>4 — LOW (natural sellthrough)</t>
        </is>
      </c>
      <c r="E238" s="709" t="n">
        <v>1669.41</v>
      </c>
      <c r="F238" s="710" t="n">
        <v>48</v>
      </c>
      <c r="G238" s="711" t="n">
        <v>13</v>
      </c>
      <c r="H238" s="711" t="n">
        <v>8</v>
      </c>
      <c r="I238" s="711" t="n">
        <v>96</v>
      </c>
      <c r="J238" s="712" t="n">
        <v>21</v>
      </c>
      <c r="K238" s="711" t="n">
        <v>117</v>
      </c>
      <c r="L238" s="709" t="n">
        <v>15</v>
      </c>
      <c r="M238" s="713" t="n">
        <v>1755</v>
      </c>
      <c r="N238" s="710" t="n">
        <v>9</v>
      </c>
      <c r="O238" s="749" t="inlineStr">
        <is>
          <t>Split: Flash Sale (US) + Transfer to China</t>
        </is>
      </c>
    </row>
    <row r="239" hidden="1" ht="18" customHeight="1" s="229">
      <c r="A239" s="690" t="inlineStr">
        <is>
          <t>Hang Out Crochet Camisole</t>
        </is>
      </c>
      <c r="B239" s="690" t="inlineStr">
        <is>
          <t>Loungewear</t>
        </is>
      </c>
      <c r="C239" s="690" t="inlineStr">
        <is>
          <t>Very low sales (&lt;$500 in 90 days)</t>
        </is>
      </c>
      <c r="D239" s="691" t="inlineStr">
        <is>
          <t>4 — LOW (natural sellthrough)</t>
        </is>
      </c>
      <c r="E239" s="692" t="n">
        <v>263.46</v>
      </c>
      <c r="F239" s="693" t="n">
        <v>9</v>
      </c>
      <c r="G239" s="694" t="n">
        <v>0</v>
      </c>
      <c r="H239" s="694" t="n">
        <v>12</v>
      </c>
      <c r="I239" s="694" t="n">
        <v>46</v>
      </c>
      <c r="J239" s="695" t="n">
        <v>12</v>
      </c>
      <c r="K239" s="694" t="n">
        <v>58</v>
      </c>
      <c r="L239" s="692" t="n">
        <v>15</v>
      </c>
      <c r="M239" s="696" t="n">
        <v>870</v>
      </c>
      <c r="N239" s="693" t="n">
        <v>2</v>
      </c>
      <c r="O239" s="697" t="inlineStr">
        <is>
          <t>Transfer to China Market</t>
        </is>
      </c>
    </row>
    <row r="240" hidden="1" ht="18" customHeight="1" s="229">
      <c r="A240" s="682" t="inlineStr">
        <is>
          <t>Dance U-Neck Long Sleeve Top</t>
        </is>
      </c>
      <c r="B240" s="682" t="inlineStr">
        <is>
          <t>Active</t>
        </is>
      </c>
      <c r="C240" s="682" t="inlineStr">
        <is>
          <t>Very low sales (&lt;$500 in 90 days)</t>
        </is>
      </c>
      <c r="D240" s="733" t="inlineStr">
        <is>
          <t>4 — LOW (natural sellthrough)</t>
        </is>
      </c>
      <c r="E240" s="684" t="n">
        <v>317.73</v>
      </c>
      <c r="F240" s="685" t="n">
        <v>8</v>
      </c>
      <c r="G240" s="686" t="n">
        <v>0</v>
      </c>
      <c r="H240" s="686" t="n">
        <v>47</v>
      </c>
      <c r="I240" s="686" t="n">
        <v>68</v>
      </c>
      <c r="J240" s="687" t="n">
        <v>47</v>
      </c>
      <c r="K240" s="686" t="n">
        <v>115</v>
      </c>
      <c r="L240" s="684" t="n">
        <v>18</v>
      </c>
      <c r="M240" s="688" t="n">
        <v>2070</v>
      </c>
      <c r="N240" s="685" t="n">
        <v>6</v>
      </c>
      <c r="O240" s="689" t="inlineStr">
        <is>
          <t>Transfer to China Market</t>
        </is>
      </c>
    </row>
    <row r="241" hidden="1" ht="18" customHeight="1" s="229">
      <c r="A241" s="658" t="inlineStr">
        <is>
          <t>Nude Shape High Waist Sculpture Shorts</t>
        </is>
      </c>
      <c r="B241" s="658" t="inlineStr">
        <is>
          <t>Underwear</t>
        </is>
      </c>
      <c r="C241" s="658" t="inlineStr">
        <is>
          <t>Below threshold — long tail</t>
        </is>
      </c>
      <c r="D241" s="668" t="inlineStr">
        <is>
          <t>4 — LOW (natural sellthrough)</t>
        </is>
      </c>
      <c r="E241" s="660" t="n">
        <v>1044.04</v>
      </c>
      <c r="F241" s="661" t="n">
        <v>36</v>
      </c>
      <c r="G241" s="662" t="n">
        <v>0</v>
      </c>
      <c r="H241" s="662" t="n">
        <v>12</v>
      </c>
      <c r="I241" s="662" t="n">
        <v>33</v>
      </c>
      <c r="J241" s="663" t="n">
        <v>12</v>
      </c>
      <c r="K241" s="662" t="n">
        <v>45</v>
      </c>
      <c r="L241" s="660" t="n">
        <v>10</v>
      </c>
      <c r="M241" s="669" t="n">
        <v>450</v>
      </c>
      <c r="N241" s="661" t="n">
        <v>2</v>
      </c>
      <c r="O241" s="681" t="inlineStr">
        <is>
          <t>Transfer to China Market</t>
        </is>
      </c>
    </row>
    <row r="242" hidden="1" ht="18" customHeight="1" s="229">
      <c r="A242" s="707" t="inlineStr">
        <is>
          <t>Satin Wrap Shirt</t>
        </is>
      </c>
      <c r="B242" s="707" t="inlineStr">
        <is>
          <t>Loungewear</t>
        </is>
      </c>
      <c r="C242" s="707" t="inlineStr">
        <is>
          <t>Low sales (&lt;$1K in 90 days)</t>
        </is>
      </c>
      <c r="D242" s="708" t="inlineStr">
        <is>
          <t>4 — LOW (natural sellthrough)</t>
        </is>
      </c>
      <c r="E242" s="709" t="n">
        <v>535.04</v>
      </c>
      <c r="F242" s="710" t="n">
        <v>7</v>
      </c>
      <c r="G242" s="711" t="n">
        <v>0</v>
      </c>
      <c r="H242" s="711" t="n">
        <v>35</v>
      </c>
      <c r="I242" s="711" t="n">
        <v>243</v>
      </c>
      <c r="J242" s="712" t="n">
        <v>35</v>
      </c>
      <c r="K242" s="711" t="n">
        <v>278</v>
      </c>
      <c r="L242" s="709" t="n">
        <v>15</v>
      </c>
      <c r="M242" s="713" t="n">
        <v>4170</v>
      </c>
      <c r="N242" s="710" t="n">
        <v>7</v>
      </c>
      <c r="O242" s="714" t="inlineStr">
        <is>
          <t>Transfer to China Market</t>
        </is>
      </c>
    </row>
    <row r="243" hidden="1" ht="18" customHeight="1" s="229">
      <c r="A243" s="715" t="inlineStr">
        <is>
          <t>NEIWAI ACTIVE X NYCB Fitted Jacket</t>
        </is>
      </c>
      <c r="B243" s="715" t="inlineStr">
        <is>
          <t>Active</t>
        </is>
      </c>
      <c r="C243" s="715" t="inlineStr">
        <is>
          <t>NYCB collab — dead inventory, no velocity</t>
        </is>
      </c>
      <c r="D243" s="732" t="inlineStr">
        <is>
          <t>4 — LOW (natural sellthrough)</t>
        </is>
      </c>
      <c r="E243" s="717" t="n">
        <v>222.6</v>
      </c>
      <c r="F243" s="718" t="n">
        <v>2</v>
      </c>
      <c r="G243" s="719" t="n">
        <v>0</v>
      </c>
      <c r="H243" s="719" t="n">
        <v>75</v>
      </c>
      <c r="I243" s="719" t="n">
        <v>0</v>
      </c>
      <c r="J243" s="720" t="n">
        <v>75</v>
      </c>
      <c r="K243" s="719" t="n">
        <v>75</v>
      </c>
      <c r="L243" s="717" t="n">
        <v>18</v>
      </c>
      <c r="M243" s="721" t="n">
        <v>1350</v>
      </c>
      <c r="N243" s="718" t="n">
        <v>3</v>
      </c>
      <c r="O243" s="722" t="inlineStr">
        <is>
          <t>Transfer to China Market</t>
        </is>
      </c>
    </row>
    <row r="244" hidden="1" ht="18" customHeight="1" s="229">
      <c r="A244" s="690" t="inlineStr">
        <is>
          <t>Sofa Camisole</t>
        </is>
      </c>
      <c r="B244" s="690" t="inlineStr">
        <is>
          <t>Loungewear</t>
        </is>
      </c>
      <c r="C244" s="690" t="inlineStr">
        <is>
          <t>Very low sales (&lt;$500 in 90 days)</t>
        </is>
      </c>
      <c r="D244" s="691" t="inlineStr">
        <is>
          <t>4 — LOW (natural sellthrough)</t>
        </is>
      </c>
      <c r="E244" s="692" t="n">
        <v>250.8</v>
      </c>
      <c r="F244" s="693" t="n">
        <v>10</v>
      </c>
      <c r="G244" s="694" t="n">
        <v>0</v>
      </c>
      <c r="H244" s="694" t="n">
        <v>17</v>
      </c>
      <c r="I244" s="694" t="n">
        <v>44</v>
      </c>
      <c r="J244" s="695" t="n">
        <v>17</v>
      </c>
      <c r="K244" s="694" t="n">
        <v>61</v>
      </c>
      <c r="L244" s="692" t="n">
        <v>15</v>
      </c>
      <c r="M244" s="696" t="n">
        <v>915</v>
      </c>
      <c r="N244" s="693" t="n">
        <v>5</v>
      </c>
      <c r="O244" s="697" t="inlineStr">
        <is>
          <t>Transfer to China Market</t>
        </is>
      </c>
    </row>
    <row r="245" hidden="1" ht="18" customHeight="1" s="229">
      <c r="A245" s="651" t="inlineStr">
        <is>
          <t>Nude Shape High Waist Brief 2.0</t>
        </is>
      </c>
      <c r="B245" s="651" t="inlineStr">
        <is>
          <t>Underwear</t>
        </is>
      </c>
      <c r="C245" s="651" t="inlineStr">
        <is>
          <t>Below threshold — long tail</t>
        </is>
      </c>
      <c r="D245" s="652" t="inlineStr">
        <is>
          <t>4 — LOW (natural sellthrough)</t>
        </is>
      </c>
      <c r="E245" s="653" t="n">
        <v>1147.04</v>
      </c>
      <c r="F245" s="654" t="n">
        <v>24</v>
      </c>
      <c r="G245" s="655" t="n">
        <v>0</v>
      </c>
      <c r="H245" s="655" t="n">
        <v>17</v>
      </c>
      <c r="I245" s="655" t="n">
        <v>227</v>
      </c>
      <c r="J245" s="656" t="n">
        <v>17</v>
      </c>
      <c r="K245" s="655" t="n">
        <v>244</v>
      </c>
      <c r="L245" s="653" t="n">
        <v>10</v>
      </c>
      <c r="M245" s="666" t="n">
        <v>2440</v>
      </c>
      <c r="N245" s="654" t="n">
        <v>8</v>
      </c>
      <c r="O245" s="680" t="inlineStr">
        <is>
          <t>Transfer to China Market</t>
        </is>
      </c>
    </row>
    <row r="246" hidden="1" ht="18" customHeight="1" s="229">
      <c r="A246" s="682" t="inlineStr">
        <is>
          <t>Core Training Skorts</t>
        </is>
      </c>
      <c r="B246" s="682" t="inlineStr">
        <is>
          <t>Active</t>
        </is>
      </c>
      <c r="C246" s="682" t="inlineStr">
        <is>
          <t>Very low sales (&lt;$500 in 90 days)</t>
        </is>
      </c>
      <c r="D246" s="733" t="inlineStr">
        <is>
          <t>4 — LOW (natural sellthrough)</t>
        </is>
      </c>
      <c r="E246" s="684" t="n">
        <v>210.79</v>
      </c>
      <c r="F246" s="685" t="n">
        <v>6</v>
      </c>
      <c r="G246" s="686" t="n">
        <v>0</v>
      </c>
      <c r="H246" s="686" t="n">
        <v>26</v>
      </c>
      <c r="I246" s="686" t="n">
        <v>88</v>
      </c>
      <c r="J246" s="687" t="n">
        <v>26</v>
      </c>
      <c r="K246" s="686" t="n">
        <v>114</v>
      </c>
      <c r="L246" s="684" t="n">
        <v>18</v>
      </c>
      <c r="M246" s="688" t="n">
        <v>2052</v>
      </c>
      <c r="N246" s="685" t="n">
        <v>5</v>
      </c>
      <c r="O246" s="689" t="inlineStr">
        <is>
          <t>Transfer to China Market</t>
        </is>
      </c>
    </row>
    <row r="247" hidden="1" ht="18" customHeight="1" s="229">
      <c r="A247" s="715" t="inlineStr">
        <is>
          <t>Core Long Sleeve Training Top</t>
        </is>
      </c>
      <c r="B247" s="715" t="inlineStr">
        <is>
          <t>Active</t>
        </is>
      </c>
      <c r="C247" s="715" t="inlineStr">
        <is>
          <t>Very low sales (&lt;$500 in 90 days)</t>
        </is>
      </c>
      <c r="D247" s="732" t="inlineStr">
        <is>
          <t>4 — LOW (natural sellthrough)</t>
        </is>
      </c>
      <c r="E247" s="717" t="n">
        <v>411.74</v>
      </c>
      <c r="F247" s="718" t="n">
        <v>12</v>
      </c>
      <c r="G247" s="719" t="n">
        <v>0</v>
      </c>
      <c r="H247" s="719" t="n">
        <v>38</v>
      </c>
      <c r="I247" s="719" t="n">
        <v>257</v>
      </c>
      <c r="J247" s="720" t="n">
        <v>38</v>
      </c>
      <c r="K247" s="719" t="n">
        <v>295</v>
      </c>
      <c r="L247" s="717" t="n">
        <v>18</v>
      </c>
      <c r="M247" s="721" t="n">
        <v>5310</v>
      </c>
      <c r="N247" s="718" t="n">
        <v>6</v>
      </c>
      <c r="O247" s="722" t="inlineStr">
        <is>
          <t>Transfer to China Market</t>
        </is>
      </c>
    </row>
    <row r="248" hidden="1" ht="18" customHeight="1" s="229">
      <c r="A248" s="707" t="inlineStr">
        <is>
          <t>Knitted V-Neck Sweater</t>
        </is>
      </c>
      <c r="B248" s="707" t="inlineStr">
        <is>
          <t>Loungewear</t>
        </is>
      </c>
      <c r="C248" s="707" t="inlineStr">
        <is>
          <t>Low sales (&lt;$1K in 90 days)</t>
        </is>
      </c>
      <c r="D248" s="708" t="inlineStr">
        <is>
          <t>4 — LOW (natural sellthrough)</t>
        </is>
      </c>
      <c r="E248" s="709" t="n">
        <v>795.26</v>
      </c>
      <c r="F248" s="710" t="n">
        <v>14</v>
      </c>
      <c r="G248" s="711" t="n">
        <v>0</v>
      </c>
      <c r="H248" s="711" t="n">
        <v>16</v>
      </c>
      <c r="I248" s="711" t="n">
        <v>73</v>
      </c>
      <c r="J248" s="712" t="n">
        <v>16</v>
      </c>
      <c r="K248" s="711" t="n">
        <v>89</v>
      </c>
      <c r="L248" s="709" t="n">
        <v>15</v>
      </c>
      <c r="M248" s="713" t="n">
        <v>1335</v>
      </c>
      <c r="N248" s="710" t="n">
        <v>3</v>
      </c>
      <c r="O248" s="714" t="inlineStr">
        <is>
          <t>Transfer to China Market</t>
        </is>
      </c>
    </row>
    <row r="249" hidden="1" ht="18" customHeight="1" s="229">
      <c r="A249" s="682" t="inlineStr">
        <is>
          <t>Breeze Shorts</t>
        </is>
      </c>
      <c r="B249" s="682" t="inlineStr">
        <is>
          <t>Active</t>
        </is>
      </c>
      <c r="C249" s="682" t="inlineStr">
        <is>
          <t>Negligible sales (&lt;$100 in 90 days)</t>
        </is>
      </c>
      <c r="D249" s="733" t="inlineStr">
        <is>
          <t>4 — LOW (natural sellthrough)</t>
        </is>
      </c>
      <c r="E249" s="684" t="n">
        <v>31.69</v>
      </c>
      <c r="F249" s="685" t="n">
        <v>1</v>
      </c>
      <c r="G249" s="686" t="n">
        <v>0</v>
      </c>
      <c r="H249" s="686" t="n">
        <v>71</v>
      </c>
      <c r="I249" s="686" t="n">
        <v>0</v>
      </c>
      <c r="J249" s="687" t="n">
        <v>71</v>
      </c>
      <c r="K249" s="686" t="n">
        <v>71</v>
      </c>
      <c r="L249" s="684" t="n">
        <v>18</v>
      </c>
      <c r="M249" s="688" t="n">
        <v>1278</v>
      </c>
      <c r="N249" s="685" t="n">
        <v>1</v>
      </c>
      <c r="O249" s="689" t="inlineStr">
        <is>
          <t>Transfer to China Market</t>
        </is>
      </c>
    </row>
    <row r="250" hidden="1" ht="18" customHeight="1" s="229">
      <c r="A250" s="690" t="inlineStr">
        <is>
          <t>Knot Cardigan</t>
        </is>
      </c>
      <c r="B250" s="690" t="inlineStr">
        <is>
          <t>Loungewear</t>
        </is>
      </c>
      <c r="C250" s="690" t="inlineStr">
        <is>
          <t>Below threshold — long tail</t>
        </is>
      </c>
      <c r="D250" s="691" t="inlineStr">
        <is>
          <t>4 — LOW (natural sellthrough)</t>
        </is>
      </c>
      <c r="E250" s="692" t="n">
        <v>1831.1</v>
      </c>
      <c r="F250" s="693" t="n">
        <v>8</v>
      </c>
      <c r="G250" s="694" t="n">
        <v>0</v>
      </c>
      <c r="H250" s="694" t="n">
        <v>34</v>
      </c>
      <c r="I250" s="694" t="n">
        <v>98</v>
      </c>
      <c r="J250" s="695" t="n">
        <v>34</v>
      </c>
      <c r="K250" s="694" t="n">
        <v>132</v>
      </c>
      <c r="L250" s="692" t="n">
        <v>15</v>
      </c>
      <c r="M250" s="696" t="n">
        <v>1980</v>
      </c>
      <c r="N250" s="693" t="n">
        <v>4</v>
      </c>
      <c r="O250" s="697" t="inlineStr">
        <is>
          <t>Transfer to China Market</t>
        </is>
      </c>
    </row>
    <row r="251" hidden="1" ht="18" customHeight="1" s="229">
      <c r="A251" s="715" t="inlineStr">
        <is>
          <t>Urban Sport Two-Tone Sweatshirt</t>
        </is>
      </c>
      <c r="B251" s="715" t="inlineStr">
        <is>
          <t>Active</t>
        </is>
      </c>
      <c r="C251" s="715" t="inlineStr">
        <is>
          <t>Active category rationalization</t>
        </is>
      </c>
      <c r="D251" s="732" t="inlineStr">
        <is>
          <t>4 — LOW (natural sellthrough)</t>
        </is>
      </c>
      <c r="E251" s="717" t="n">
        <v>1011.22</v>
      </c>
      <c r="F251" s="718" t="n">
        <v>19</v>
      </c>
      <c r="G251" s="719" t="n">
        <v>0</v>
      </c>
      <c r="H251" s="719" t="n">
        <v>19</v>
      </c>
      <c r="I251" s="719" t="n">
        <v>165</v>
      </c>
      <c r="J251" s="720" t="n">
        <v>19</v>
      </c>
      <c r="K251" s="719" t="n">
        <v>184</v>
      </c>
      <c r="L251" s="717" t="n">
        <v>18</v>
      </c>
      <c r="M251" s="721" t="n">
        <v>3312</v>
      </c>
      <c r="N251" s="718" t="n">
        <v>6</v>
      </c>
      <c r="O251" s="722" t="inlineStr">
        <is>
          <t>Transfer to China Market</t>
        </is>
      </c>
    </row>
    <row r="252" hidden="1" ht="18" customHeight="1" s="229">
      <c r="A252" s="682" t="inlineStr">
        <is>
          <t>NEIWAI ACTIVE X NYCB Wool Fleece Coat</t>
        </is>
      </c>
      <c r="B252" s="682" t="inlineStr">
        <is>
          <t>Active</t>
        </is>
      </c>
      <c r="C252" s="682" t="inlineStr">
        <is>
          <t>NYCB collab — dead inventory, no velocity</t>
        </is>
      </c>
      <c r="D252" s="733" t="inlineStr">
        <is>
          <t>4 — LOW (natural sellthrough)</t>
        </is>
      </c>
      <c r="E252" s="684" t="n">
        <v>371</v>
      </c>
      <c r="F252" s="685" t="n">
        <v>2</v>
      </c>
      <c r="G252" s="686" t="n">
        <v>0</v>
      </c>
      <c r="H252" s="686" t="n">
        <v>33</v>
      </c>
      <c r="I252" s="686" t="n">
        <v>0</v>
      </c>
      <c r="J252" s="687" t="n">
        <v>33</v>
      </c>
      <c r="K252" s="686" t="n">
        <v>33</v>
      </c>
      <c r="L252" s="684" t="n">
        <v>18</v>
      </c>
      <c r="M252" s="688" t="n">
        <v>594</v>
      </c>
      <c r="N252" s="685" t="n">
        <v>5</v>
      </c>
      <c r="O252" s="689" t="inlineStr">
        <is>
          <t>Transfer to China Market</t>
        </is>
      </c>
    </row>
    <row r="253" hidden="1" ht="18" customHeight="1" s="229">
      <c r="A253" s="715" t="inlineStr">
        <is>
          <t>Breeze Culottes</t>
        </is>
      </c>
      <c r="B253" s="715" t="inlineStr">
        <is>
          <t>Active</t>
        </is>
      </c>
      <c r="C253" s="715" t="inlineStr">
        <is>
          <t>Low sales (&lt;$1K in 90 days)</t>
        </is>
      </c>
      <c r="D253" s="732" t="inlineStr">
        <is>
          <t>4 — LOW (natural sellthrough)</t>
        </is>
      </c>
      <c r="E253" s="717" t="n">
        <v>636.59</v>
      </c>
      <c r="F253" s="718" t="n">
        <v>13</v>
      </c>
      <c r="G253" s="719" t="n">
        <v>0</v>
      </c>
      <c r="H253" s="719" t="n">
        <v>13</v>
      </c>
      <c r="I253" s="719" t="n">
        <v>65</v>
      </c>
      <c r="J253" s="720" t="n">
        <v>13</v>
      </c>
      <c r="K253" s="719" t="n">
        <v>78</v>
      </c>
      <c r="L253" s="717" t="n">
        <v>18</v>
      </c>
      <c r="M253" s="721" t="n">
        <v>1404</v>
      </c>
      <c r="N253" s="718" t="n">
        <v>3</v>
      </c>
      <c r="O253" s="722" t="inlineStr">
        <is>
          <t>Transfer to China Market</t>
        </is>
      </c>
    </row>
    <row r="254" hidden="1" ht="18" customHeight="1" s="229">
      <c r="A254" s="682" t="inlineStr">
        <is>
          <t>Ballet Ribbed Cardigan</t>
        </is>
      </c>
      <c r="B254" s="682" t="inlineStr">
        <is>
          <t>Active</t>
        </is>
      </c>
      <c r="C254" s="682" t="inlineStr">
        <is>
          <t>Active category rationalization</t>
        </is>
      </c>
      <c r="D254" s="733" t="inlineStr">
        <is>
          <t>4 — LOW (natural sellthrough)</t>
        </is>
      </c>
      <c r="E254" s="684" t="n">
        <v>2105.08</v>
      </c>
      <c r="F254" s="685" t="n">
        <v>27</v>
      </c>
      <c r="G254" s="686" t="n">
        <v>1</v>
      </c>
      <c r="H254" s="686" t="n">
        <v>11</v>
      </c>
      <c r="I254" s="686" t="n">
        <v>62</v>
      </c>
      <c r="J254" s="687" t="n">
        <v>12</v>
      </c>
      <c r="K254" s="686" t="n">
        <v>74</v>
      </c>
      <c r="L254" s="684" t="n">
        <v>18</v>
      </c>
      <c r="M254" s="688" t="n">
        <v>1332</v>
      </c>
      <c r="N254" s="685" t="n">
        <v>2</v>
      </c>
      <c r="O254" s="738" t="inlineStr">
        <is>
          <t>Split: Flash Sale (US) + Transfer to China</t>
        </is>
      </c>
    </row>
    <row r="255" hidden="1" ht="18" customHeight="1" s="229">
      <c r="A255" s="707" t="inlineStr">
        <is>
          <t>Shimmer Mock Neck Sweater</t>
        </is>
      </c>
      <c r="B255" s="707" t="inlineStr">
        <is>
          <t>Loungewear</t>
        </is>
      </c>
      <c r="C255" s="707" t="inlineStr">
        <is>
          <t>Below threshold — long tail</t>
        </is>
      </c>
      <c r="D255" s="708" t="inlineStr">
        <is>
          <t>4 — LOW (natural sellthrough)</t>
        </is>
      </c>
      <c r="E255" s="709" t="n">
        <v>1028.38</v>
      </c>
      <c r="F255" s="710" t="n">
        <v>9</v>
      </c>
      <c r="G255" s="711" t="n">
        <v>0</v>
      </c>
      <c r="H255" s="711" t="n">
        <v>15</v>
      </c>
      <c r="I255" s="711" t="n">
        <v>7</v>
      </c>
      <c r="J255" s="712" t="n">
        <v>15</v>
      </c>
      <c r="K255" s="711" t="n">
        <v>22</v>
      </c>
      <c r="L255" s="709" t="n">
        <v>15</v>
      </c>
      <c r="M255" s="713" t="n">
        <v>330</v>
      </c>
      <c r="N255" s="710" t="n">
        <v>4</v>
      </c>
      <c r="O255" s="714" t="inlineStr">
        <is>
          <t>Transfer to China Market</t>
        </is>
      </c>
    </row>
    <row r="256" hidden="1" ht="18" customHeight="1" s="229">
      <c r="A256" s="715" t="inlineStr">
        <is>
          <t>Breeze High Waist Drawstring Shorts</t>
        </is>
      </c>
      <c r="B256" s="715" t="inlineStr">
        <is>
          <t>Active</t>
        </is>
      </c>
      <c r="C256" s="715" t="inlineStr">
        <is>
          <t>Very low sales (&lt;$500 in 90 days)</t>
        </is>
      </c>
      <c r="D256" s="732" t="inlineStr">
        <is>
          <t>4 — LOW (natural sellthrough)</t>
        </is>
      </c>
      <c r="E256" s="717" t="n">
        <v>274.13</v>
      </c>
      <c r="F256" s="718" t="n">
        <v>6</v>
      </c>
      <c r="G256" s="719" t="n">
        <v>0</v>
      </c>
      <c r="H256" s="719" t="n">
        <v>26</v>
      </c>
      <c r="I256" s="719" t="n">
        <v>21</v>
      </c>
      <c r="J256" s="720" t="n">
        <v>26</v>
      </c>
      <c r="K256" s="719" t="n">
        <v>47</v>
      </c>
      <c r="L256" s="717" t="n">
        <v>18</v>
      </c>
      <c r="M256" s="721" t="n">
        <v>846</v>
      </c>
      <c r="N256" s="718" t="n">
        <v>4</v>
      </c>
      <c r="O256" s="722" t="inlineStr">
        <is>
          <t>Transfer to China Market</t>
        </is>
      </c>
    </row>
    <row r="257" hidden="1" ht="18" customHeight="1" s="229">
      <c r="A257" s="690" t="inlineStr">
        <is>
          <t>Flare Knitted Pants</t>
        </is>
      </c>
      <c r="B257" s="690" t="inlineStr">
        <is>
          <t>Loungewear</t>
        </is>
      </c>
      <c r="C257" s="690" t="inlineStr">
        <is>
          <t>Below threshold — long tail</t>
        </is>
      </c>
      <c r="D257" s="691" t="inlineStr">
        <is>
          <t>4 — LOW (natural sellthrough)</t>
        </is>
      </c>
      <c r="E257" s="692" t="n">
        <v>3253.58</v>
      </c>
      <c r="F257" s="693" t="n">
        <v>25</v>
      </c>
      <c r="G257" s="694" t="n">
        <v>0</v>
      </c>
      <c r="H257" s="694" t="n">
        <v>16</v>
      </c>
      <c r="I257" s="694" t="n">
        <v>348</v>
      </c>
      <c r="J257" s="695" t="n">
        <v>16</v>
      </c>
      <c r="K257" s="694" t="n">
        <v>364</v>
      </c>
      <c r="L257" s="692" t="n">
        <v>15</v>
      </c>
      <c r="M257" s="696" t="n">
        <v>5460</v>
      </c>
      <c r="N257" s="693" t="n">
        <v>7</v>
      </c>
      <c r="O257" s="697" t="inlineStr">
        <is>
          <t>Transfer to China Market</t>
        </is>
      </c>
    </row>
    <row r="258" hidden="1" ht="18" customHeight="1" s="229">
      <c r="A258" s="707" t="inlineStr">
        <is>
          <t>Classic Cozy Fleece Pajama Top</t>
        </is>
      </c>
      <c r="B258" s="707" t="inlineStr">
        <is>
          <t>Loungewear</t>
        </is>
      </c>
      <c r="C258" s="707" t="inlineStr">
        <is>
          <t>Very low sales (&lt;$500 in 90 days)</t>
        </is>
      </c>
      <c r="D258" s="708" t="inlineStr">
        <is>
          <t>4 — LOW (natural sellthrough)</t>
        </is>
      </c>
      <c r="E258" s="709" t="n">
        <v>400.76</v>
      </c>
      <c r="F258" s="710" t="n">
        <v>19</v>
      </c>
      <c r="G258" s="711" t="n">
        <v>3</v>
      </c>
      <c r="H258" s="711" t="n">
        <v>11</v>
      </c>
      <c r="I258" s="711" t="n">
        <v>0</v>
      </c>
      <c r="J258" s="712" t="n">
        <v>14</v>
      </c>
      <c r="K258" s="711" t="n">
        <v>14</v>
      </c>
      <c r="L258" s="709" t="n">
        <v>15</v>
      </c>
      <c r="M258" s="713" t="n">
        <v>210</v>
      </c>
      <c r="N258" s="710" t="n">
        <v>4</v>
      </c>
      <c r="O258" s="749" t="inlineStr">
        <is>
          <t>Split: Flash Sale (US) + Transfer to China</t>
        </is>
      </c>
    </row>
    <row r="259" hidden="1" ht="18" customHeight="1" s="229">
      <c r="A259" s="682" t="inlineStr">
        <is>
          <t>NEIWAI ACTIVE X NYCB Mid Waist Shorts</t>
        </is>
      </c>
      <c r="B259" s="682" t="inlineStr">
        <is>
          <t>Active</t>
        </is>
      </c>
      <c r="C259" s="682" t="inlineStr">
        <is>
          <t>NYCB collab — dead inventory, no velocity</t>
        </is>
      </c>
      <c r="D259" s="733" t="inlineStr">
        <is>
          <t>4 — LOW (natural sellthrough)</t>
        </is>
      </c>
      <c r="E259" s="684" t="n">
        <v>62.3</v>
      </c>
      <c r="F259" s="685" t="n">
        <v>1</v>
      </c>
      <c r="G259" s="686" t="n">
        <v>5</v>
      </c>
      <c r="H259" s="686" t="n">
        <v>34</v>
      </c>
      <c r="I259" s="686" t="n">
        <v>0</v>
      </c>
      <c r="J259" s="687" t="n">
        <v>39</v>
      </c>
      <c r="K259" s="686" t="n">
        <v>39</v>
      </c>
      <c r="L259" s="684" t="n">
        <v>18</v>
      </c>
      <c r="M259" s="688" t="n">
        <v>702</v>
      </c>
      <c r="N259" s="685" t="n">
        <v>3</v>
      </c>
      <c r="O259" s="738" t="inlineStr">
        <is>
          <t>Split: Flash Sale (US) + Transfer to China</t>
        </is>
      </c>
    </row>
    <row r="260" hidden="1" ht="18" customHeight="1" s="229">
      <c r="A260" s="690" t="inlineStr">
        <is>
          <t>Flower Print Classic Embroidered Pajama Top</t>
        </is>
      </c>
      <c r="B260" s="690" t="inlineStr">
        <is>
          <t>Loungewear</t>
        </is>
      </c>
      <c r="C260" s="690" t="inlineStr">
        <is>
          <t>Very low sales (&lt;$500 in 90 days)</t>
        </is>
      </c>
      <c r="D260" s="691" t="inlineStr">
        <is>
          <t>4 — LOW (natural sellthrough)</t>
        </is>
      </c>
      <c r="E260" s="692" t="n">
        <v>136.5</v>
      </c>
      <c r="F260" s="693" t="n">
        <v>4</v>
      </c>
      <c r="G260" s="694" t="n">
        <v>7</v>
      </c>
      <c r="H260" s="694" t="n">
        <v>6</v>
      </c>
      <c r="I260" s="694" t="n">
        <v>0</v>
      </c>
      <c r="J260" s="695" t="n">
        <v>13</v>
      </c>
      <c r="K260" s="694" t="n">
        <v>13</v>
      </c>
      <c r="L260" s="692" t="n">
        <v>15</v>
      </c>
      <c r="M260" s="696" t="n">
        <v>195</v>
      </c>
      <c r="N260" s="693" t="n">
        <v>3</v>
      </c>
      <c r="O260" s="737" t="inlineStr">
        <is>
          <t>Split: Flash Sale (US) + Transfer to China</t>
        </is>
      </c>
    </row>
    <row r="261" hidden="1" ht="18" customHeight="1" s="229">
      <c r="A261" s="707" t="inlineStr">
        <is>
          <t>Cozy V-Neck Top</t>
        </is>
      </c>
      <c r="B261" s="707" t="inlineStr">
        <is>
          <t>Loungewear</t>
        </is>
      </c>
      <c r="C261" s="707" t="inlineStr">
        <is>
          <t>Low sales (&lt;$1K in 90 days)</t>
        </is>
      </c>
      <c r="D261" s="708" t="inlineStr">
        <is>
          <t>4 — LOW (natural sellthrough)</t>
        </is>
      </c>
      <c r="E261" s="709" t="n">
        <v>534.54</v>
      </c>
      <c r="F261" s="710" t="n">
        <v>20</v>
      </c>
      <c r="G261" s="711" t="n">
        <v>0</v>
      </c>
      <c r="H261" s="711" t="n">
        <v>14</v>
      </c>
      <c r="I261" s="711" t="n">
        <v>73</v>
      </c>
      <c r="J261" s="712" t="n">
        <v>14</v>
      </c>
      <c r="K261" s="711" t="n">
        <v>87</v>
      </c>
      <c r="L261" s="709" t="n">
        <v>15</v>
      </c>
      <c r="M261" s="713" t="n">
        <v>1305</v>
      </c>
      <c r="N261" s="710" t="n">
        <v>5</v>
      </c>
      <c r="O261" s="714" t="inlineStr">
        <is>
          <t>Transfer to China Market</t>
        </is>
      </c>
    </row>
    <row r="262" hidden="1" ht="18" customHeight="1" s="229">
      <c r="A262" s="715" t="inlineStr">
        <is>
          <t>Active Fitted Hoodie</t>
        </is>
      </c>
      <c r="B262" s="715" t="inlineStr">
        <is>
          <t>Active</t>
        </is>
      </c>
      <c r="C262" s="715" t="inlineStr">
        <is>
          <t>Active category rationalization</t>
        </is>
      </c>
      <c r="D262" s="732" t="inlineStr">
        <is>
          <t>4 — LOW (natural sellthrough)</t>
        </is>
      </c>
      <c r="E262" s="717" t="n">
        <v>1021.68</v>
      </c>
      <c r="F262" s="718" t="n">
        <v>23</v>
      </c>
      <c r="G262" s="719" t="n">
        <v>0</v>
      </c>
      <c r="H262" s="719" t="n">
        <v>29</v>
      </c>
      <c r="I262" s="719" t="n">
        <v>295</v>
      </c>
      <c r="J262" s="720" t="n">
        <v>29</v>
      </c>
      <c r="K262" s="719" t="n">
        <v>324</v>
      </c>
      <c r="L262" s="717" t="n">
        <v>18</v>
      </c>
      <c r="M262" s="721" t="n">
        <v>5832</v>
      </c>
      <c r="N262" s="718" t="n">
        <v>7</v>
      </c>
      <c r="O262" s="722" t="inlineStr">
        <is>
          <t>Transfer to China Market</t>
        </is>
      </c>
    </row>
    <row r="263" hidden="1" ht="18" customHeight="1" s="229">
      <c r="A263" s="690" t="inlineStr">
        <is>
          <t>Maternity Pajama Pants</t>
        </is>
      </c>
      <c r="B263" s="690" t="inlineStr">
        <is>
          <t>Loungewear</t>
        </is>
      </c>
      <c r="C263" s="690" t="inlineStr">
        <is>
          <t>Below threshold — long tail</t>
        </is>
      </c>
      <c r="D263" s="691" t="inlineStr">
        <is>
          <t>4 — LOW (natural sellthrough)</t>
        </is>
      </c>
      <c r="E263" s="692" t="n">
        <v>1073.33</v>
      </c>
      <c r="F263" s="693" t="n">
        <v>21</v>
      </c>
      <c r="G263" s="694" t="n">
        <v>14</v>
      </c>
      <c r="H263" s="694" t="n">
        <v>5</v>
      </c>
      <c r="I263" s="694" t="n">
        <v>27</v>
      </c>
      <c r="J263" s="695" t="n">
        <v>19</v>
      </c>
      <c r="K263" s="694" t="n">
        <v>46</v>
      </c>
      <c r="L263" s="692" t="n">
        <v>15</v>
      </c>
      <c r="M263" s="696" t="n">
        <v>690</v>
      </c>
      <c r="N263" s="693" t="n">
        <v>4</v>
      </c>
      <c r="O263" s="737" t="inlineStr">
        <is>
          <t>Split: Flash Sale (US) + Transfer to China</t>
        </is>
      </c>
    </row>
    <row r="264" hidden="1" ht="18" customHeight="1" s="229">
      <c r="A264" s="682" t="inlineStr">
        <is>
          <t>Breeze Pants</t>
        </is>
      </c>
      <c r="B264" s="682" t="inlineStr">
        <is>
          <t>Active</t>
        </is>
      </c>
      <c r="C264" s="682" t="inlineStr">
        <is>
          <t>Low sales (&lt;$1K in 90 days)</t>
        </is>
      </c>
      <c r="D264" s="733" t="inlineStr">
        <is>
          <t>4 — LOW (natural sellthrough)</t>
        </is>
      </c>
      <c r="E264" s="684" t="n">
        <v>830.77</v>
      </c>
      <c r="F264" s="685" t="n">
        <v>13</v>
      </c>
      <c r="G264" s="686" t="n">
        <v>6</v>
      </c>
      <c r="H264" s="686" t="n">
        <v>14</v>
      </c>
      <c r="I264" s="686" t="n">
        <v>44</v>
      </c>
      <c r="J264" s="687" t="n">
        <v>20</v>
      </c>
      <c r="K264" s="686" t="n">
        <v>64</v>
      </c>
      <c r="L264" s="684" t="n">
        <v>18</v>
      </c>
      <c r="M264" s="688" t="n">
        <v>1152</v>
      </c>
      <c r="N264" s="685" t="n">
        <v>5</v>
      </c>
      <c r="O264" s="738" t="inlineStr">
        <is>
          <t>Split: Flash Sale (US) + Transfer to China</t>
        </is>
      </c>
    </row>
    <row r="265" hidden="1" ht="18" customHeight="1" s="229">
      <c r="A265" s="715" t="inlineStr">
        <is>
          <t>NEIWAI ACTIVE X NYCB Windbreaker</t>
        </is>
      </c>
      <c r="B265" s="715" t="inlineStr">
        <is>
          <t>Active</t>
        </is>
      </c>
      <c r="C265" s="715" t="inlineStr">
        <is>
          <t>NYCB collab — dead inventory, no velocity</t>
        </is>
      </c>
      <c r="D265" s="732" t="inlineStr">
        <is>
          <t>4 — LOW (natural sellthrough)</t>
        </is>
      </c>
      <c r="E265" s="717" t="n">
        <v>122.5</v>
      </c>
      <c r="F265" s="718" t="n">
        <v>1</v>
      </c>
      <c r="G265" s="719" t="n">
        <v>0</v>
      </c>
      <c r="H265" s="719" t="n">
        <v>70</v>
      </c>
      <c r="I265" s="719" t="n">
        <v>0</v>
      </c>
      <c r="J265" s="720" t="n">
        <v>70</v>
      </c>
      <c r="K265" s="719" t="n">
        <v>70</v>
      </c>
      <c r="L265" s="717" t="n">
        <v>18</v>
      </c>
      <c r="M265" s="721" t="n">
        <v>1260</v>
      </c>
      <c r="N265" s="718" t="n">
        <v>2</v>
      </c>
      <c r="O265" s="722" t="inlineStr">
        <is>
          <t>Transfer to China Market</t>
        </is>
      </c>
    </row>
    <row r="266" hidden="1" ht="18" customHeight="1" s="229">
      <c r="A266" s="682" t="inlineStr">
        <is>
          <t>NEIWAI ACTIVE X NYCB Woven Training Skort</t>
        </is>
      </c>
      <c r="B266" s="682" t="inlineStr">
        <is>
          <t>Active</t>
        </is>
      </c>
      <c r="C266" s="682" t="inlineStr">
        <is>
          <t>NYCB collab — dead inventory, no velocity</t>
        </is>
      </c>
      <c r="D266" s="733" t="inlineStr">
        <is>
          <t>4 — LOW (natural sellthrough)</t>
        </is>
      </c>
      <c r="E266" s="684" t="n">
        <v>66.37</v>
      </c>
      <c r="F266" s="685" t="n">
        <v>1</v>
      </c>
      <c r="G266" s="686" t="n">
        <v>0</v>
      </c>
      <c r="H266" s="686" t="n">
        <v>35</v>
      </c>
      <c r="I266" s="686" t="n">
        <v>0</v>
      </c>
      <c r="J266" s="687" t="n">
        <v>35</v>
      </c>
      <c r="K266" s="686" t="n">
        <v>35</v>
      </c>
      <c r="L266" s="684" t="n">
        <v>18</v>
      </c>
      <c r="M266" s="688" t="n">
        <v>630</v>
      </c>
      <c r="N266" s="685" t="n">
        <v>2</v>
      </c>
      <c r="O266" s="689" t="inlineStr">
        <is>
          <t>Transfer to China Market</t>
        </is>
      </c>
    </row>
    <row r="267" hidden="1" ht="18" customHeight="1" s="229">
      <c r="A267" s="707" t="inlineStr">
        <is>
          <t>V-Neck Loose Fit Wool Cardigan</t>
        </is>
      </c>
      <c r="B267" s="707" t="inlineStr">
        <is>
          <t>Loungewear</t>
        </is>
      </c>
      <c r="C267" s="707" t="inlineStr">
        <is>
          <t>Below threshold — long tail</t>
        </is>
      </c>
      <c r="D267" s="708" t="inlineStr">
        <is>
          <t>4 — LOW (natural sellthrough)</t>
        </is>
      </c>
      <c r="E267" s="709" t="n">
        <v>1204.14</v>
      </c>
      <c r="F267" s="710" t="n">
        <v>9</v>
      </c>
      <c r="G267" s="711" t="n">
        <v>0</v>
      </c>
      <c r="H267" s="711" t="n">
        <v>28</v>
      </c>
      <c r="I267" s="711" t="n">
        <v>200</v>
      </c>
      <c r="J267" s="712" t="n">
        <v>28</v>
      </c>
      <c r="K267" s="711" t="n">
        <v>228</v>
      </c>
      <c r="L267" s="709" t="n">
        <v>15</v>
      </c>
      <c r="M267" s="713" t="n">
        <v>3420</v>
      </c>
      <c r="N267" s="710" t="n">
        <v>6</v>
      </c>
      <c r="O267" s="714" t="inlineStr">
        <is>
          <t>Transfer to China Market</t>
        </is>
      </c>
    </row>
    <row r="268" hidden="1" ht="18" customHeight="1" s="229">
      <c r="A268" s="715" t="inlineStr">
        <is>
          <t>Ballet Knitted Wool Turtleneck Pullover</t>
        </is>
      </c>
      <c r="B268" s="715" t="inlineStr">
        <is>
          <t>Active</t>
        </is>
      </c>
      <c r="C268" s="715" t="inlineStr">
        <is>
          <t>Active category rationalization</t>
        </is>
      </c>
      <c r="D268" s="732" t="inlineStr">
        <is>
          <t>4 — LOW (natural sellthrough)</t>
        </is>
      </c>
      <c r="E268" s="717" t="n">
        <v>1055.25</v>
      </c>
      <c r="F268" s="718" t="n">
        <v>20</v>
      </c>
      <c r="G268" s="719" t="n">
        <v>0</v>
      </c>
      <c r="H268" s="719" t="n">
        <v>20</v>
      </c>
      <c r="I268" s="719" t="n">
        <v>292</v>
      </c>
      <c r="J268" s="720" t="n">
        <v>20</v>
      </c>
      <c r="K268" s="719" t="n">
        <v>312</v>
      </c>
      <c r="L268" s="717" t="n">
        <v>18</v>
      </c>
      <c r="M268" s="721" t="n">
        <v>5616</v>
      </c>
      <c r="N268" s="718" t="n">
        <v>8</v>
      </c>
      <c r="O268" s="722" t="inlineStr">
        <is>
          <t>Transfer to China Market</t>
        </is>
      </c>
    </row>
    <row r="269" hidden="1" ht="18" customHeight="1" s="229">
      <c r="A269" s="690" t="inlineStr">
        <is>
          <t>Lyocell Long Pajama Robe</t>
        </is>
      </c>
      <c r="B269" s="690" t="inlineStr">
        <is>
          <t>Loungewear</t>
        </is>
      </c>
      <c r="C269" s="690" t="inlineStr">
        <is>
          <t>Very low sales (&lt;$500 in 90 days)</t>
        </is>
      </c>
      <c r="D269" s="691" t="inlineStr">
        <is>
          <t>4 — LOW (natural sellthrough)</t>
        </is>
      </c>
      <c r="E269" s="692" t="n">
        <v>352.98</v>
      </c>
      <c r="F269" s="693" t="n">
        <v>5</v>
      </c>
      <c r="G269" s="694" t="n">
        <v>0</v>
      </c>
      <c r="H269" s="694" t="n">
        <v>14</v>
      </c>
      <c r="I269" s="694" t="n">
        <v>190</v>
      </c>
      <c r="J269" s="695" t="n">
        <v>14</v>
      </c>
      <c r="K269" s="694" t="n">
        <v>204</v>
      </c>
      <c r="L269" s="692" t="n">
        <v>15</v>
      </c>
      <c r="M269" s="696" t="n">
        <v>3060</v>
      </c>
      <c r="N269" s="693" t="n">
        <v>4</v>
      </c>
      <c r="O269" s="697" t="inlineStr">
        <is>
          <t>Transfer to China Market</t>
        </is>
      </c>
    </row>
    <row r="270" hidden="1" ht="18" customHeight="1" s="229">
      <c r="A270" s="658" t="inlineStr">
        <is>
          <t>Basic Chic Bikini Brief</t>
        </is>
      </c>
      <c r="B270" s="658" t="inlineStr">
        <is>
          <t>Underwear</t>
        </is>
      </c>
      <c r="C270" s="658" t="inlineStr">
        <is>
          <t>Very low sales (&lt;$500 in 90 days)</t>
        </is>
      </c>
      <c r="D270" s="668" t="inlineStr">
        <is>
          <t>4 — LOW (natural sellthrough)</t>
        </is>
      </c>
      <c r="E270" s="660" t="n">
        <v>303.79</v>
      </c>
      <c r="F270" s="661" t="n">
        <v>26</v>
      </c>
      <c r="G270" s="662" t="n">
        <v>0</v>
      </c>
      <c r="H270" s="662" t="n">
        <v>25</v>
      </c>
      <c r="I270" s="662" t="n">
        <v>119</v>
      </c>
      <c r="J270" s="663" t="n">
        <v>25</v>
      </c>
      <c r="K270" s="662" t="n">
        <v>144</v>
      </c>
      <c r="L270" s="660" t="n">
        <v>10</v>
      </c>
      <c r="M270" s="669" t="n">
        <v>1440</v>
      </c>
      <c r="N270" s="661" t="n">
        <v>8</v>
      </c>
      <c r="O270" s="681" t="inlineStr">
        <is>
          <t>Transfer to China Market</t>
        </is>
      </c>
    </row>
    <row r="271" hidden="1" ht="18" customHeight="1" s="229">
      <c r="A271" s="682" t="inlineStr">
        <is>
          <t>Woven Fleece Pants</t>
        </is>
      </c>
      <c r="B271" s="682" t="inlineStr">
        <is>
          <t>Active</t>
        </is>
      </c>
      <c r="C271" s="682" t="inlineStr">
        <is>
          <t>Very low sales (&lt;$500 in 90 days)</t>
        </is>
      </c>
      <c r="D271" s="733" t="inlineStr">
        <is>
          <t>4 — LOW (natural sellthrough)</t>
        </is>
      </c>
      <c r="E271" s="684" t="n">
        <v>148</v>
      </c>
      <c r="F271" s="685" t="n">
        <v>1</v>
      </c>
      <c r="G271" s="686" t="n">
        <v>0</v>
      </c>
      <c r="H271" s="686" t="n">
        <v>73</v>
      </c>
      <c r="I271" s="686" t="n">
        <v>0</v>
      </c>
      <c r="J271" s="687" t="n">
        <v>73</v>
      </c>
      <c r="K271" s="686" t="n">
        <v>73</v>
      </c>
      <c r="L271" s="684" t="n">
        <v>18</v>
      </c>
      <c r="M271" s="688" t="n">
        <v>1314</v>
      </c>
      <c r="N271" s="685" t="n">
        <v>2</v>
      </c>
      <c r="O271" s="689" t="inlineStr">
        <is>
          <t>Transfer to China Market</t>
        </is>
      </c>
    </row>
    <row r="272" hidden="1" ht="18" customHeight="1" s="229">
      <c r="A272" s="651" t="inlineStr">
        <is>
          <t>Barely Zero Mid Waist Brief - TikTok</t>
        </is>
      </c>
      <c r="B272" s="651" t="inlineStr">
        <is>
          <t>Underwear</t>
        </is>
      </c>
      <c r="C272" s="651" t="inlineStr">
        <is>
          <t>TikTok duplicate — massive dead inventory</t>
        </is>
      </c>
      <c r="D272" s="652" t="inlineStr">
        <is>
          <t>4 — LOW (natural sellthrough)</t>
        </is>
      </c>
      <c r="E272" s="653" t="n">
        <v>13.12</v>
      </c>
      <c r="F272" s="654" t="n">
        <v>1</v>
      </c>
      <c r="G272" s="655" t="n">
        <v>0</v>
      </c>
      <c r="H272" s="655" t="n">
        <v>0</v>
      </c>
      <c r="I272" s="655" t="n">
        <v>0</v>
      </c>
      <c r="J272" s="656" t="n">
        <v>0</v>
      </c>
      <c r="K272" s="655" t="n">
        <v>0</v>
      </c>
      <c r="L272" s="653" t="n">
        <v>10</v>
      </c>
      <c r="M272" s="653">
        <f>K272*L272</f>
        <v/>
      </c>
      <c r="N272" s="654" t="n">
        <v>1</v>
      </c>
      <c r="O272" s="657" t="inlineStr">
        <is>
          <t>Data Pending — Verify</t>
        </is>
      </c>
    </row>
    <row r="273" hidden="1" ht="18" customHeight="1" s="229">
      <c r="A273" s="658" t="inlineStr">
        <is>
          <t>Basic Chic Thong</t>
        </is>
      </c>
      <c r="B273" s="658" t="inlineStr">
        <is>
          <t>Underwear</t>
        </is>
      </c>
      <c r="C273" s="658" t="inlineStr">
        <is>
          <t>Negligible sales (&lt;$100 in 90 days)</t>
        </is>
      </c>
      <c r="D273" s="668" t="inlineStr">
        <is>
          <t>4 — LOW (natural sellthrough)</t>
        </is>
      </c>
      <c r="E273" s="660" t="n">
        <v>45</v>
      </c>
      <c r="F273" s="661" t="n">
        <v>3</v>
      </c>
      <c r="G273" s="662" t="n">
        <v>0</v>
      </c>
      <c r="H273" s="662" t="n">
        <v>10</v>
      </c>
      <c r="I273" s="662" t="n">
        <v>8</v>
      </c>
      <c r="J273" s="663" t="n">
        <v>10</v>
      </c>
      <c r="K273" s="662" t="n">
        <v>18</v>
      </c>
      <c r="L273" s="660" t="n">
        <v>10</v>
      </c>
      <c r="M273" s="669" t="n">
        <v>180</v>
      </c>
      <c r="N273" s="661" t="n">
        <v>1</v>
      </c>
      <c r="O273" s="681" t="inlineStr">
        <is>
          <t>Transfer to China Market</t>
        </is>
      </c>
    </row>
    <row r="274" hidden="1" ht="18" customHeight="1" s="229">
      <c r="A274" s="715" t="inlineStr">
        <is>
          <t>Ballet Wool Wrap Sweater</t>
        </is>
      </c>
      <c r="B274" s="715" t="inlineStr">
        <is>
          <t>Active</t>
        </is>
      </c>
      <c r="C274" s="715" t="inlineStr">
        <is>
          <t>Active category rationalization</t>
        </is>
      </c>
      <c r="D274" s="732" t="inlineStr">
        <is>
          <t>4 — LOW (natural sellthrough)</t>
        </is>
      </c>
      <c r="E274" s="717" t="n">
        <v>1410</v>
      </c>
      <c r="F274" s="718" t="n">
        <v>16</v>
      </c>
      <c r="G274" s="719" t="n">
        <v>6</v>
      </c>
      <c r="H274" s="719" t="n">
        <v>8</v>
      </c>
      <c r="I274" s="719" t="n">
        <v>116</v>
      </c>
      <c r="J274" s="720" t="n">
        <v>14</v>
      </c>
      <c r="K274" s="719" t="n">
        <v>130</v>
      </c>
      <c r="L274" s="717" t="n">
        <v>18</v>
      </c>
      <c r="M274" s="721" t="n">
        <v>2340</v>
      </c>
      <c r="N274" s="718" t="n">
        <v>6</v>
      </c>
      <c r="O274" s="736" t="inlineStr">
        <is>
          <t>Split: Flash Sale (US) + Transfer to China</t>
        </is>
      </c>
    </row>
    <row r="275" hidden="1" ht="18" customHeight="1" s="229">
      <c r="A275" s="707" t="inlineStr">
        <is>
          <t>Laid Back U-Neck Padded Camisole</t>
        </is>
      </c>
      <c r="B275" s="707" t="inlineStr">
        <is>
          <t>Loungewear</t>
        </is>
      </c>
      <c r="C275" s="707" t="inlineStr">
        <is>
          <t>Very low sales (&lt;$500 in 90 days)</t>
        </is>
      </c>
      <c r="D275" s="708" t="inlineStr">
        <is>
          <t>4 — LOW (natural sellthrough)</t>
        </is>
      </c>
      <c r="E275" s="709" t="n">
        <v>183.61</v>
      </c>
      <c r="F275" s="710" t="n">
        <v>8</v>
      </c>
      <c r="G275" s="711" t="n">
        <v>10</v>
      </c>
      <c r="H275" s="711" t="n">
        <v>0</v>
      </c>
      <c r="I275" s="711" t="n">
        <v>38</v>
      </c>
      <c r="J275" s="712" t="n">
        <v>10</v>
      </c>
      <c r="K275" s="711" t="n">
        <v>48</v>
      </c>
      <c r="L275" s="709" t="n">
        <v>15</v>
      </c>
      <c r="M275" s="713" t="n">
        <v>720</v>
      </c>
      <c r="N275" s="710" t="n">
        <v>3</v>
      </c>
      <c r="O275" s="749" t="inlineStr">
        <is>
          <t>Split: Flash Sale (US) + Transfer to China</t>
        </is>
      </c>
    </row>
    <row r="276" hidden="1" ht="18" customHeight="1" s="229">
      <c r="A276" s="682" t="inlineStr">
        <is>
          <t>Seamless Biker Shorts</t>
        </is>
      </c>
      <c r="B276" s="682" t="inlineStr">
        <is>
          <t>Active</t>
        </is>
      </c>
      <c r="C276" s="682" t="inlineStr">
        <is>
          <t>Low sales (&lt;$1K in 90 days)</t>
        </is>
      </c>
      <c r="D276" s="733" t="inlineStr">
        <is>
          <t>4 — LOW (natural sellthrough)</t>
        </is>
      </c>
      <c r="E276" s="684" t="n">
        <v>550.22</v>
      </c>
      <c r="F276" s="685" t="n">
        <v>22</v>
      </c>
      <c r="G276" s="686" t="n">
        <v>0</v>
      </c>
      <c r="H276" s="686" t="n">
        <v>11</v>
      </c>
      <c r="I276" s="686" t="n">
        <v>108</v>
      </c>
      <c r="J276" s="687" t="n">
        <v>11</v>
      </c>
      <c r="K276" s="686" t="n">
        <v>119</v>
      </c>
      <c r="L276" s="684" t="n">
        <v>18</v>
      </c>
      <c r="M276" s="688" t="n">
        <v>2142</v>
      </c>
      <c r="N276" s="685" t="n">
        <v>4</v>
      </c>
      <c r="O276" s="689" t="inlineStr">
        <is>
          <t>Transfer to China Market</t>
        </is>
      </c>
    </row>
    <row r="277" hidden="1" ht="18" customHeight="1" s="229">
      <c r="A277" s="715" t="inlineStr">
        <is>
          <t>High Support Leggings</t>
        </is>
      </c>
      <c r="B277" s="715" t="inlineStr">
        <is>
          <t>Active</t>
        </is>
      </c>
      <c r="C277" s="715" t="inlineStr">
        <is>
          <t>Very low sales (&lt;$500 in 90 days)</t>
        </is>
      </c>
      <c r="D277" s="732" t="inlineStr">
        <is>
          <t>4 — LOW (natural sellthrough)</t>
        </is>
      </c>
      <c r="E277" s="717" t="n">
        <v>227.7</v>
      </c>
      <c r="F277" s="718" t="n">
        <v>3</v>
      </c>
      <c r="G277" s="719" t="n">
        <v>0</v>
      </c>
      <c r="H277" s="719" t="n">
        <v>52</v>
      </c>
      <c r="I277" s="719" t="n">
        <v>168</v>
      </c>
      <c r="J277" s="720" t="n">
        <v>52</v>
      </c>
      <c r="K277" s="719" t="n">
        <v>220</v>
      </c>
      <c r="L277" s="717" t="n">
        <v>18</v>
      </c>
      <c r="M277" s="721" t="n">
        <v>3960</v>
      </c>
      <c r="N277" s="718" t="n">
        <v>4</v>
      </c>
      <c r="O277" s="722" t="inlineStr">
        <is>
          <t>Transfer to China Market</t>
        </is>
      </c>
    </row>
    <row r="278" hidden="1" ht="18" customHeight="1" s="229">
      <c r="A278" s="682" t="inlineStr">
        <is>
          <t>Long Bikini Top</t>
        </is>
      </c>
      <c r="B278" s="682" t="inlineStr">
        <is>
          <t>Active</t>
        </is>
      </c>
      <c r="C278" s="682" t="inlineStr">
        <is>
          <t>Very low sales (&lt;$500 in 90 days)</t>
        </is>
      </c>
      <c r="D278" s="733" t="inlineStr">
        <is>
          <t>4 — LOW (natural sellthrough)</t>
        </is>
      </c>
      <c r="E278" s="684" t="n">
        <v>158.59</v>
      </c>
      <c r="F278" s="685" t="n">
        <v>4</v>
      </c>
      <c r="G278" s="686" t="n">
        <v>21</v>
      </c>
      <c r="H278" s="686" t="n">
        <v>0</v>
      </c>
      <c r="I278" s="686" t="n">
        <v>21</v>
      </c>
      <c r="J278" s="687" t="n">
        <v>21</v>
      </c>
      <c r="K278" s="686" t="n">
        <v>42</v>
      </c>
      <c r="L278" s="684" t="n">
        <v>18</v>
      </c>
      <c r="M278" s="688" t="n">
        <v>756</v>
      </c>
      <c r="N278" s="685" t="n">
        <v>5</v>
      </c>
      <c r="O278" s="738" t="inlineStr">
        <is>
          <t>Split: Flash Sale (US) + Transfer to China</t>
        </is>
      </c>
    </row>
    <row r="279" hidden="1" ht="18" customHeight="1" s="229">
      <c r="A279" s="690" t="inlineStr">
        <is>
          <t>Ribbed Boucl√© Tank</t>
        </is>
      </c>
      <c r="B279" s="690" t="inlineStr">
        <is>
          <t>Loungewear</t>
        </is>
      </c>
      <c r="C279" s="690" t="inlineStr">
        <is>
          <t>Very low sales (&lt;$500 in 90 days)</t>
        </is>
      </c>
      <c r="D279" s="691" t="inlineStr">
        <is>
          <t>4 — LOW (natural sellthrough)</t>
        </is>
      </c>
      <c r="E279" s="692" t="n">
        <v>429.68</v>
      </c>
      <c r="F279" s="693" t="n">
        <v>7</v>
      </c>
      <c r="G279" s="694" t="n">
        <v>0</v>
      </c>
      <c r="H279" s="694" t="n">
        <v>28</v>
      </c>
      <c r="I279" s="694" t="n">
        <v>118</v>
      </c>
      <c r="J279" s="695" t="n">
        <v>28</v>
      </c>
      <c r="K279" s="694" t="n">
        <v>146</v>
      </c>
      <c r="L279" s="692" t="n">
        <v>15</v>
      </c>
      <c r="M279" s="696" t="n">
        <v>2190</v>
      </c>
      <c r="N279" s="693" t="n">
        <v>4</v>
      </c>
      <c r="O279" s="697" t="inlineStr">
        <is>
          <t>Transfer to China Market</t>
        </is>
      </c>
    </row>
    <row r="280" hidden="1" ht="18" customHeight="1" s="229">
      <c r="A280" s="699" t="inlineStr">
        <is>
          <t>Men's Thermal Set</t>
        </is>
      </c>
      <c r="B280" s="699" t="inlineStr">
        <is>
          <t>Men</t>
        </is>
      </c>
      <c r="C280" s="699" t="inlineStr">
        <is>
          <t>Low sales (&lt;$1K in 90 days)</t>
        </is>
      </c>
      <c r="D280" s="700" t="inlineStr">
        <is>
          <t>4 — LOW (natural sellthrough)</t>
        </is>
      </c>
      <c r="E280" s="701" t="n">
        <v>767.5599999999999</v>
      </c>
      <c r="F280" s="702" t="n">
        <v>22</v>
      </c>
      <c r="G280" s="703" t="n">
        <v>0</v>
      </c>
      <c r="H280" s="703" t="n">
        <v>27</v>
      </c>
      <c r="I280" s="703" t="n">
        <v>257</v>
      </c>
      <c r="J280" s="704" t="n">
        <v>27</v>
      </c>
      <c r="K280" s="703" t="n">
        <v>284</v>
      </c>
      <c r="L280" s="701" t="n">
        <v>8</v>
      </c>
      <c r="M280" s="705" t="n">
        <v>2272</v>
      </c>
      <c r="N280" s="702" t="n">
        <v>9</v>
      </c>
      <c r="O280" s="706" t="inlineStr">
        <is>
          <t>Transfer to China Market</t>
        </is>
      </c>
    </row>
    <row r="281" hidden="1" ht="18" customHeight="1" s="229">
      <c r="A281" s="715" t="inlineStr">
        <is>
          <t>NEIWAI ACTIVE X NYCB Foldover Flare Leggings</t>
        </is>
      </c>
      <c r="B281" s="715" t="inlineStr">
        <is>
          <t>Active</t>
        </is>
      </c>
      <c r="C281" s="715" t="inlineStr">
        <is>
          <t>NYCB collab — dead inventory, no velocity</t>
        </is>
      </c>
      <c r="D281" s="732" t="inlineStr">
        <is>
          <t>4 — LOW (natural sellthrough)</t>
        </is>
      </c>
      <c r="E281" s="717" t="n">
        <v>354.25</v>
      </c>
      <c r="F281" s="718" t="n">
        <v>4</v>
      </c>
      <c r="G281" s="719" t="n">
        <v>2</v>
      </c>
      <c r="H281" s="719" t="n">
        <v>9</v>
      </c>
      <c r="I281" s="719" t="n">
        <v>0</v>
      </c>
      <c r="J281" s="720" t="n">
        <v>11</v>
      </c>
      <c r="K281" s="719" t="n">
        <v>11</v>
      </c>
      <c r="L281" s="717" t="n">
        <v>18</v>
      </c>
      <c r="M281" s="721" t="n">
        <v>198</v>
      </c>
      <c r="N281" s="718" t="n">
        <v>2</v>
      </c>
      <c r="O281" s="736" t="inlineStr">
        <is>
          <t>Split: Flash Sale (US) + Transfer to China</t>
        </is>
      </c>
    </row>
    <row r="282" hidden="1" ht="18" customHeight="1" s="229">
      <c r="A282" s="707" t="inlineStr">
        <is>
          <t>Cotton Cozy Pajama Set</t>
        </is>
      </c>
      <c r="B282" s="707" t="inlineStr">
        <is>
          <t>Loungewear</t>
        </is>
      </c>
      <c r="C282" s="707" t="inlineStr">
        <is>
          <t>Below threshold — long tail</t>
        </is>
      </c>
      <c r="D282" s="708" t="inlineStr">
        <is>
          <t>4 — LOW (natural sellthrough)</t>
        </is>
      </c>
      <c r="E282" s="709" t="n">
        <v>3595.11</v>
      </c>
      <c r="F282" s="710" t="n">
        <v>60</v>
      </c>
      <c r="G282" s="711" t="n">
        <v>0</v>
      </c>
      <c r="H282" s="711" t="n">
        <v>10</v>
      </c>
      <c r="I282" s="711" t="n">
        <v>200</v>
      </c>
      <c r="J282" s="712" t="n">
        <v>10</v>
      </c>
      <c r="K282" s="711" t="n">
        <v>210</v>
      </c>
      <c r="L282" s="709" t="n">
        <v>15</v>
      </c>
      <c r="M282" s="713" t="n">
        <v>3150</v>
      </c>
      <c r="N282" s="710" t="n">
        <v>7</v>
      </c>
      <c r="O282" s="714" t="inlineStr">
        <is>
          <t>Transfer to China Market</t>
        </is>
      </c>
    </row>
    <row r="283" hidden="1" ht="18" customHeight="1" s="229">
      <c r="A283" s="682" t="inlineStr">
        <is>
          <t>Mousse Hooded Jacket</t>
        </is>
      </c>
      <c r="B283" s="682" t="inlineStr">
        <is>
          <t>Active</t>
        </is>
      </c>
      <c r="C283" s="682" t="inlineStr">
        <is>
          <t>Very low sales (&lt;$500 in 90 days)</t>
        </is>
      </c>
      <c r="D283" s="733" t="inlineStr">
        <is>
          <t>4 — LOW (natural sellthrough)</t>
        </is>
      </c>
      <c r="E283" s="684" t="n">
        <v>231.53</v>
      </c>
      <c r="F283" s="685" t="n">
        <v>2</v>
      </c>
      <c r="G283" s="686" t="n">
        <v>0</v>
      </c>
      <c r="H283" s="686" t="n">
        <v>20</v>
      </c>
      <c r="I283" s="686" t="n">
        <v>170</v>
      </c>
      <c r="J283" s="687" t="n">
        <v>20</v>
      </c>
      <c r="K283" s="686" t="n">
        <v>190</v>
      </c>
      <c r="L283" s="684" t="n">
        <v>18</v>
      </c>
      <c r="M283" s="688" t="n">
        <v>3420</v>
      </c>
      <c r="N283" s="685" t="n">
        <v>4</v>
      </c>
      <c r="O283" s="689" t="inlineStr">
        <is>
          <t>Transfer to China Market</t>
        </is>
      </c>
    </row>
    <row r="284" hidden="1" ht="18" customHeight="1" s="229">
      <c r="A284" s="651" t="inlineStr">
        <is>
          <t>Shimmer Plunge Bra</t>
        </is>
      </c>
      <c r="B284" s="651" t="inlineStr">
        <is>
          <t>Underwear</t>
        </is>
      </c>
      <c r="C284" s="651" t="inlineStr">
        <is>
          <t>Very low sales (&lt;$500 in 90 days)</t>
        </is>
      </c>
      <c r="D284" s="652" t="inlineStr">
        <is>
          <t>4 — LOW (natural sellthrough)</t>
        </is>
      </c>
      <c r="E284" s="653" t="n">
        <v>178.65</v>
      </c>
      <c r="F284" s="654" t="n">
        <v>4</v>
      </c>
      <c r="G284" s="655" t="n">
        <v>9</v>
      </c>
      <c r="H284" s="655" t="n">
        <v>0</v>
      </c>
      <c r="I284" s="655" t="n">
        <v>26</v>
      </c>
      <c r="J284" s="656" t="n">
        <v>9</v>
      </c>
      <c r="K284" s="655" t="n">
        <v>35</v>
      </c>
      <c r="L284" s="653" t="n">
        <v>10</v>
      </c>
      <c r="M284" s="666" t="n">
        <v>350</v>
      </c>
      <c r="N284" s="654" t="n">
        <v>2</v>
      </c>
      <c r="O284" s="667" t="inlineStr">
        <is>
          <t>Split: Flash Sale (US) + Transfer to China</t>
        </is>
      </c>
    </row>
    <row r="285" hidden="1" ht="18" customHeight="1" s="229">
      <c r="A285" s="715" t="inlineStr">
        <is>
          <t>NEIWAI ACTIVE X Andrea Jiapei Li Stirrup Leggings</t>
        </is>
      </c>
      <c r="B285" s="715" t="inlineStr">
        <is>
          <t>Active</t>
        </is>
      </c>
      <c r="C285" s="715" t="inlineStr">
        <is>
          <t>Very low sales (&lt;$500 in 90 days)</t>
        </is>
      </c>
      <c r="D285" s="732" t="inlineStr">
        <is>
          <t>4 — LOW (natural sellthrough)</t>
        </is>
      </c>
      <c r="E285" s="717" t="n">
        <v>203.18</v>
      </c>
      <c r="F285" s="718" t="n">
        <v>3</v>
      </c>
      <c r="G285" s="719" t="n">
        <v>0</v>
      </c>
      <c r="H285" s="719" t="n">
        <v>8</v>
      </c>
      <c r="I285" s="719" t="n">
        <v>899</v>
      </c>
      <c r="J285" s="720" t="n">
        <v>8</v>
      </c>
      <c r="K285" s="719" t="n">
        <v>907</v>
      </c>
      <c r="L285" s="717" t="n">
        <v>18</v>
      </c>
      <c r="M285" s="721" t="n">
        <v>16326</v>
      </c>
      <c r="N285" s="718" t="n">
        <v>4</v>
      </c>
      <c r="O285" s="722" t="inlineStr">
        <is>
          <t>Transfer to China Market</t>
        </is>
      </c>
    </row>
    <row r="286" hidden="1" ht="18" customHeight="1" s="229">
      <c r="A286" s="682" t="inlineStr">
        <is>
          <t>Mousse Drawstring Wide Leg Pants</t>
        </is>
      </c>
      <c r="B286" s="682" t="inlineStr">
        <is>
          <t>Active</t>
        </is>
      </c>
      <c r="C286" s="682" t="inlineStr">
        <is>
          <t>Low sales (&lt;$1K in 90 days)</t>
        </is>
      </c>
      <c r="D286" s="733" t="inlineStr">
        <is>
          <t>4 — LOW (natural sellthrough)</t>
        </is>
      </c>
      <c r="E286" s="684" t="n">
        <v>842.27</v>
      </c>
      <c r="F286" s="685" t="n">
        <v>17</v>
      </c>
      <c r="G286" s="686" t="n">
        <v>9</v>
      </c>
      <c r="H286" s="686" t="n">
        <v>0</v>
      </c>
      <c r="I286" s="686" t="n">
        <v>88</v>
      </c>
      <c r="J286" s="687" t="n">
        <v>9</v>
      </c>
      <c r="K286" s="686" t="n">
        <v>97</v>
      </c>
      <c r="L286" s="684" t="n">
        <v>18</v>
      </c>
      <c r="M286" s="688" t="n">
        <v>1746</v>
      </c>
      <c r="N286" s="685" t="n">
        <v>3</v>
      </c>
      <c r="O286" s="738" t="inlineStr">
        <is>
          <t>Split: Flash Sale (US) + Transfer to China</t>
        </is>
      </c>
    </row>
    <row r="287" hidden="1" ht="18" customHeight="1" s="229">
      <c r="A287" s="723" t="inlineStr">
        <is>
          <t>Men's Briefs Gift Set</t>
        </is>
      </c>
      <c r="B287" s="723" t="inlineStr">
        <is>
          <t>Men</t>
        </is>
      </c>
      <c r="C287" s="723" t="inlineStr">
        <is>
          <t>Bundle/Gift Set — low velocity</t>
        </is>
      </c>
      <c r="D287" s="724" t="inlineStr">
        <is>
          <t>4 — LOW (natural sellthrough)</t>
        </is>
      </c>
      <c r="E287" s="725" t="n">
        <v>3818.35</v>
      </c>
      <c r="F287" s="726" t="n">
        <v>207</v>
      </c>
      <c r="G287" s="727" t="n">
        <v>0</v>
      </c>
      <c r="H287" s="727" t="n">
        <v>8</v>
      </c>
      <c r="I287" s="727" t="n">
        <v>79</v>
      </c>
      <c r="J287" s="728" t="n">
        <v>8</v>
      </c>
      <c r="K287" s="727" t="n">
        <v>87</v>
      </c>
      <c r="L287" s="725" t="n">
        <v>8</v>
      </c>
      <c r="M287" s="729" t="n">
        <v>696</v>
      </c>
      <c r="N287" s="726" t="n">
        <v>5</v>
      </c>
      <c r="O287" s="730" t="inlineStr">
        <is>
          <t>Transfer to China Market</t>
        </is>
      </c>
    </row>
    <row r="288" hidden="1" ht="18" customHeight="1" s="229">
      <c r="A288" s="690" t="inlineStr">
        <is>
          <t>Silky Knit Tank</t>
        </is>
      </c>
      <c r="B288" s="690" t="inlineStr">
        <is>
          <t>Loungewear</t>
        </is>
      </c>
      <c r="C288" s="690" t="inlineStr">
        <is>
          <t>Very low sales (&lt;$500 in 90 days)</t>
        </is>
      </c>
      <c r="D288" s="691" t="inlineStr">
        <is>
          <t>4 — LOW (natural sellthrough)</t>
        </is>
      </c>
      <c r="E288" s="692" t="n">
        <v>352.14</v>
      </c>
      <c r="F288" s="693" t="n">
        <v>6</v>
      </c>
      <c r="G288" s="694" t="n">
        <v>3</v>
      </c>
      <c r="H288" s="694" t="n">
        <v>8</v>
      </c>
      <c r="I288" s="694" t="n">
        <v>385</v>
      </c>
      <c r="J288" s="695" t="n">
        <v>11</v>
      </c>
      <c r="K288" s="694" t="n">
        <v>396</v>
      </c>
      <c r="L288" s="692" t="n">
        <v>15</v>
      </c>
      <c r="M288" s="696" t="n">
        <v>5940</v>
      </c>
      <c r="N288" s="693" t="n">
        <v>5</v>
      </c>
      <c r="O288" s="737" t="inlineStr">
        <is>
          <t>Split: Flash Sale (US) + Transfer to China</t>
        </is>
      </c>
    </row>
    <row r="289" hidden="1" ht="18" customHeight="1" s="229">
      <c r="A289" s="707" t="inlineStr">
        <is>
          <t>Dreamy Cotton Modal Cami Lounge Set</t>
        </is>
      </c>
      <c r="B289" s="707" t="inlineStr">
        <is>
          <t>Loungewear</t>
        </is>
      </c>
      <c r="C289" s="707" t="inlineStr">
        <is>
          <t>Very low sales (&lt;$500 in 90 days)</t>
        </is>
      </c>
      <c r="D289" s="708" t="inlineStr">
        <is>
          <t>4 — LOW (natural sellthrough)</t>
        </is>
      </c>
      <c r="E289" s="709" t="n">
        <v>387.1</v>
      </c>
      <c r="F289" s="710" t="n">
        <v>8</v>
      </c>
      <c r="G289" s="711" t="n">
        <v>0</v>
      </c>
      <c r="H289" s="711" t="n">
        <v>19</v>
      </c>
      <c r="I289" s="711" t="n">
        <v>87</v>
      </c>
      <c r="J289" s="712" t="n">
        <v>19</v>
      </c>
      <c r="K289" s="711" t="n">
        <v>106</v>
      </c>
      <c r="L289" s="709" t="n">
        <v>15</v>
      </c>
      <c r="M289" s="713" t="n">
        <v>1590</v>
      </c>
      <c r="N289" s="710" t="n">
        <v>7</v>
      </c>
      <c r="O289" s="714" t="inlineStr">
        <is>
          <t>Transfer to China Market</t>
        </is>
      </c>
    </row>
    <row r="290" hidden="1" ht="18" customHeight="1" s="229">
      <c r="A290" s="699" t="inlineStr">
        <is>
          <t>Men's Polo Shirt</t>
        </is>
      </c>
      <c r="B290" s="699" t="inlineStr">
        <is>
          <t>Men</t>
        </is>
      </c>
      <c r="C290" s="699" t="inlineStr">
        <is>
          <t>Very low sales (&lt;$500 in 90 days)</t>
        </is>
      </c>
      <c r="D290" s="700" t="inlineStr">
        <is>
          <t>4 — LOW (natural sellthrough)</t>
        </is>
      </c>
      <c r="E290" s="701" t="n">
        <v>278.94</v>
      </c>
      <c r="F290" s="702" t="n">
        <v>6</v>
      </c>
      <c r="G290" s="703" t="n">
        <v>0</v>
      </c>
      <c r="H290" s="703" t="n">
        <v>51</v>
      </c>
      <c r="I290" s="703" t="n">
        <v>246</v>
      </c>
      <c r="J290" s="704" t="n">
        <v>51</v>
      </c>
      <c r="K290" s="703" t="n">
        <v>297</v>
      </c>
      <c r="L290" s="701" t="n">
        <v>8</v>
      </c>
      <c r="M290" s="705" t="n">
        <v>2376</v>
      </c>
      <c r="N290" s="702" t="n">
        <v>7</v>
      </c>
      <c r="O290" s="706" t="inlineStr">
        <is>
          <t>Transfer to China Market</t>
        </is>
      </c>
    </row>
    <row r="291" hidden="1" ht="18" customHeight="1" s="229">
      <c r="A291" s="690" t="inlineStr">
        <is>
          <t>Cashmere Turtleneck Vest</t>
        </is>
      </c>
      <c r="B291" s="690" t="inlineStr">
        <is>
          <t>Loungewear</t>
        </is>
      </c>
      <c r="C291" s="690" t="inlineStr">
        <is>
          <t>Low sales (&lt;$1K in 90 days)</t>
        </is>
      </c>
      <c r="D291" s="691" t="inlineStr">
        <is>
          <t>4 — LOW (natural sellthrough)</t>
        </is>
      </c>
      <c r="E291" s="692" t="n">
        <v>741.2</v>
      </c>
      <c r="F291" s="693" t="n">
        <v>10</v>
      </c>
      <c r="G291" s="694" t="n">
        <v>0</v>
      </c>
      <c r="H291" s="694" t="n">
        <v>20</v>
      </c>
      <c r="I291" s="694" t="n">
        <v>253</v>
      </c>
      <c r="J291" s="695" t="n">
        <v>20</v>
      </c>
      <c r="K291" s="694" t="n">
        <v>273</v>
      </c>
      <c r="L291" s="692" t="n">
        <v>15</v>
      </c>
      <c r="M291" s="696" t="n">
        <v>4095</v>
      </c>
      <c r="N291" s="693" t="n">
        <v>5</v>
      </c>
      <c r="O291" s="697" t="inlineStr">
        <is>
          <t>Transfer to China Market</t>
        </is>
      </c>
    </row>
    <row r="292" hidden="1" ht="18" customHeight="1" s="229">
      <c r="A292" s="715" t="inlineStr">
        <is>
          <t>Ski Leggings</t>
        </is>
      </c>
      <c r="B292" s="715" t="inlineStr">
        <is>
          <t>Active</t>
        </is>
      </c>
      <c r="C292" s="715" t="inlineStr">
        <is>
          <t>Low sales (&lt;$1K in 90 days)</t>
        </is>
      </c>
      <c r="D292" s="732" t="inlineStr">
        <is>
          <t>4 — LOW (natural sellthrough)</t>
        </is>
      </c>
      <c r="E292" s="717" t="n">
        <v>981.3299999999999</v>
      </c>
      <c r="F292" s="718" t="n">
        <v>18</v>
      </c>
      <c r="G292" s="719" t="n">
        <v>6</v>
      </c>
      <c r="H292" s="719" t="n">
        <v>5</v>
      </c>
      <c r="I292" s="719" t="n">
        <v>94</v>
      </c>
      <c r="J292" s="720" t="n">
        <v>11</v>
      </c>
      <c r="K292" s="719" t="n">
        <v>105</v>
      </c>
      <c r="L292" s="717" t="n">
        <v>18</v>
      </c>
      <c r="M292" s="721" t="n">
        <v>1890</v>
      </c>
      <c r="N292" s="718" t="n">
        <v>4</v>
      </c>
      <c r="O292" s="736" t="inlineStr">
        <is>
          <t>Split: Flash Sale (US) + Transfer to China</t>
        </is>
      </c>
    </row>
    <row r="293" hidden="1" ht="18" customHeight="1" s="229">
      <c r="A293" s="658" t="inlineStr">
        <is>
          <t>Nude Shape Mesh Bra</t>
        </is>
      </c>
      <c r="B293" s="658" t="inlineStr">
        <is>
          <t>Underwear</t>
        </is>
      </c>
      <c r="C293" s="658" t="inlineStr">
        <is>
          <t>Below threshold — long tail</t>
        </is>
      </c>
      <c r="D293" s="668" t="inlineStr">
        <is>
          <t>4 — LOW (natural sellthrough)</t>
        </is>
      </c>
      <c r="E293" s="660" t="n">
        <v>1019.96</v>
      </c>
      <c r="F293" s="661" t="n">
        <v>12</v>
      </c>
      <c r="G293" s="662" t="n">
        <v>2</v>
      </c>
      <c r="H293" s="662" t="n">
        <v>41</v>
      </c>
      <c r="I293" s="662" t="n">
        <v>345</v>
      </c>
      <c r="J293" s="663" t="n">
        <v>43</v>
      </c>
      <c r="K293" s="662" t="n">
        <v>388</v>
      </c>
      <c r="L293" s="660" t="n">
        <v>10</v>
      </c>
      <c r="M293" s="669" t="n">
        <v>3880</v>
      </c>
      <c r="N293" s="661" t="n">
        <v>12</v>
      </c>
      <c r="O293" s="670" t="inlineStr">
        <is>
          <t>Split: Flash Sale (US) + Transfer to China</t>
        </is>
      </c>
    </row>
    <row r="294" hidden="1" ht="18" customHeight="1" s="229">
      <c r="A294" s="707" t="inlineStr">
        <is>
          <t>Cotton Cozy Long Sleeve Shirt</t>
        </is>
      </c>
      <c r="B294" s="707" t="inlineStr">
        <is>
          <t>Loungewear</t>
        </is>
      </c>
      <c r="C294" s="707" t="inlineStr">
        <is>
          <t>Below threshold — long tail</t>
        </is>
      </c>
      <c r="D294" s="708" t="inlineStr">
        <is>
          <t>4 — LOW (natural sellthrough)</t>
        </is>
      </c>
      <c r="E294" s="709" t="n">
        <v>2074.51</v>
      </c>
      <c r="F294" s="710" t="n">
        <v>103</v>
      </c>
      <c r="G294" s="711" t="n">
        <v>8</v>
      </c>
      <c r="H294" s="711" t="n">
        <v>8</v>
      </c>
      <c r="I294" s="711" t="n">
        <v>147</v>
      </c>
      <c r="J294" s="712" t="n">
        <v>16</v>
      </c>
      <c r="K294" s="711" t="n">
        <v>163</v>
      </c>
      <c r="L294" s="709" t="n">
        <v>15</v>
      </c>
      <c r="M294" s="713" t="n">
        <v>2445</v>
      </c>
      <c r="N294" s="710" t="n">
        <v>12</v>
      </c>
      <c r="O294" s="749" t="inlineStr">
        <is>
          <t>Split: Flash Sale (US) + Transfer to China</t>
        </is>
      </c>
    </row>
    <row r="295" hidden="1" ht="18" customHeight="1" s="229">
      <c r="A295" s="682" t="inlineStr">
        <is>
          <t>Ballet Wool Jacket</t>
        </is>
      </c>
      <c r="B295" s="682" t="inlineStr">
        <is>
          <t>Active</t>
        </is>
      </c>
      <c r="C295" s="682" t="inlineStr">
        <is>
          <t>Active category rationalization</t>
        </is>
      </c>
      <c r="D295" s="733" t="inlineStr">
        <is>
          <t>4 — LOW (natural sellthrough)</t>
        </is>
      </c>
      <c r="E295" s="684" t="n">
        <v>1574.63</v>
      </c>
      <c r="F295" s="685" t="n">
        <v>29</v>
      </c>
      <c r="G295" s="686" t="n">
        <v>0</v>
      </c>
      <c r="H295" s="686" t="n">
        <v>9</v>
      </c>
      <c r="I295" s="686" t="n">
        <v>147</v>
      </c>
      <c r="J295" s="687" t="n">
        <v>9</v>
      </c>
      <c r="K295" s="686" t="n">
        <v>156</v>
      </c>
      <c r="L295" s="684" t="n">
        <v>18</v>
      </c>
      <c r="M295" s="688" t="n">
        <v>2808</v>
      </c>
      <c r="N295" s="685" t="n">
        <v>6</v>
      </c>
      <c r="O295" s="689" t="inlineStr">
        <is>
          <t>Transfer to China Market</t>
        </is>
      </c>
    </row>
    <row r="296" hidden="1" ht="18" customHeight="1" s="229">
      <c r="A296" s="723" t="inlineStr">
        <is>
          <t>Men's Knitted Sweater</t>
        </is>
      </c>
      <c r="B296" s="723" t="inlineStr">
        <is>
          <t>Men</t>
        </is>
      </c>
      <c r="C296" s="723" t="inlineStr">
        <is>
          <t>Low sales (&lt;$1K in 90 days)</t>
        </is>
      </c>
      <c r="D296" s="724" t="inlineStr">
        <is>
          <t>4 — LOW (natural sellthrough)</t>
        </is>
      </c>
      <c r="E296" s="725" t="n">
        <v>648.27</v>
      </c>
      <c r="F296" s="726" t="n">
        <v>7</v>
      </c>
      <c r="G296" s="727" t="n">
        <v>0</v>
      </c>
      <c r="H296" s="727" t="n">
        <v>31</v>
      </c>
      <c r="I296" s="727" t="n">
        <v>463</v>
      </c>
      <c r="J296" s="728" t="n">
        <v>31</v>
      </c>
      <c r="K296" s="727" t="n">
        <v>494</v>
      </c>
      <c r="L296" s="725" t="n">
        <v>8</v>
      </c>
      <c r="M296" s="729" t="n">
        <v>3952</v>
      </c>
      <c r="N296" s="726" t="n">
        <v>5</v>
      </c>
      <c r="O296" s="730" t="inlineStr">
        <is>
          <t>Transfer to China Market</t>
        </is>
      </c>
    </row>
    <row r="297" hidden="1" ht="18" customHeight="1" s="229">
      <c r="A297" s="651" t="inlineStr">
        <is>
          <t>Postpartum High Waist Shaping Brief</t>
        </is>
      </c>
      <c r="B297" s="651" t="inlineStr">
        <is>
          <t>Underwear</t>
        </is>
      </c>
      <c r="C297" s="651" t="inlineStr">
        <is>
          <t>Low sales (&lt;$1K in 90 days)</t>
        </is>
      </c>
      <c r="D297" s="652" t="inlineStr">
        <is>
          <t>4 — LOW (natural sellthrough)</t>
        </is>
      </c>
      <c r="E297" s="653" t="n">
        <v>715.9300000000001</v>
      </c>
      <c r="F297" s="654" t="n">
        <v>27</v>
      </c>
      <c r="G297" s="655" t="n">
        <v>0</v>
      </c>
      <c r="H297" s="655" t="n">
        <v>14</v>
      </c>
      <c r="I297" s="655" t="n">
        <v>265</v>
      </c>
      <c r="J297" s="656" t="n">
        <v>14</v>
      </c>
      <c r="K297" s="655" t="n">
        <v>279</v>
      </c>
      <c r="L297" s="653" t="n">
        <v>10</v>
      </c>
      <c r="M297" s="666" t="n">
        <v>2790</v>
      </c>
      <c r="N297" s="654" t="n">
        <v>7</v>
      </c>
      <c r="O297" s="680" t="inlineStr">
        <is>
          <t>Transfer to China Market</t>
        </is>
      </c>
    </row>
    <row r="298" hidden="1" ht="18" customHeight="1" s="229">
      <c r="A298" s="658" t="inlineStr">
        <is>
          <t>Tempting Low Waist Brief</t>
        </is>
      </c>
      <c r="B298" s="658" t="inlineStr">
        <is>
          <t>Underwear</t>
        </is>
      </c>
      <c r="C298" s="658" t="inlineStr">
        <is>
          <t>Very low sales (&lt;$500 in 90 days)</t>
        </is>
      </c>
      <c r="D298" s="668" t="inlineStr">
        <is>
          <t>4 — LOW (natural sellthrough)</t>
        </is>
      </c>
      <c r="E298" s="660" t="n">
        <v>479.4</v>
      </c>
      <c r="F298" s="661" t="n">
        <v>23</v>
      </c>
      <c r="G298" s="662" t="n">
        <v>0</v>
      </c>
      <c r="H298" s="662" t="n">
        <v>11</v>
      </c>
      <c r="I298" s="662" t="n">
        <v>159</v>
      </c>
      <c r="J298" s="663" t="n">
        <v>11</v>
      </c>
      <c r="K298" s="662" t="n">
        <v>170</v>
      </c>
      <c r="L298" s="660" t="n">
        <v>10</v>
      </c>
      <c r="M298" s="669" t="n">
        <v>1700</v>
      </c>
      <c r="N298" s="661" t="n">
        <v>6</v>
      </c>
      <c r="O298" s="681" t="inlineStr">
        <is>
          <t>Transfer to China Market</t>
        </is>
      </c>
    </row>
    <row r="299" hidden="1" ht="18" customHeight="1" s="229">
      <c r="A299" s="715" t="inlineStr">
        <is>
          <t>NEIWAI ACTIVE X NYCB Bomber Jacket</t>
        </is>
      </c>
      <c r="B299" s="715" t="inlineStr">
        <is>
          <t>Active</t>
        </is>
      </c>
      <c r="C299" s="715" t="inlineStr">
        <is>
          <t>NYCB collab — dead inventory, no velocity</t>
        </is>
      </c>
      <c r="D299" s="732" t="inlineStr">
        <is>
          <t>4 — LOW (natural sellthrough)</t>
        </is>
      </c>
      <c r="E299" s="717" t="n">
        <v>185.5</v>
      </c>
      <c r="F299" s="718" t="n">
        <v>1</v>
      </c>
      <c r="G299" s="719" t="n">
        <v>0</v>
      </c>
      <c r="H299" s="719" t="n">
        <v>68</v>
      </c>
      <c r="I299" s="719" t="n">
        <v>0</v>
      </c>
      <c r="J299" s="720" t="n">
        <v>68</v>
      </c>
      <c r="K299" s="719" t="n">
        <v>68</v>
      </c>
      <c r="L299" s="717" t="n">
        <v>18</v>
      </c>
      <c r="M299" s="721" t="n">
        <v>1224</v>
      </c>
      <c r="N299" s="718" t="n">
        <v>2</v>
      </c>
      <c r="O299" s="722" t="inlineStr">
        <is>
          <t>Transfer to China Market</t>
        </is>
      </c>
    </row>
    <row r="300" hidden="1" ht="18" customHeight="1" s="229">
      <c r="A300" s="751" t="inlineStr">
        <is>
          <t>Visor</t>
        </is>
      </c>
      <c r="B300" s="751" t="inlineStr">
        <is>
          <t>Accessories</t>
        </is>
      </c>
      <c r="C300" s="751" t="inlineStr">
        <is>
          <t>Very low sales (&lt;$500 in 90 days)</t>
        </is>
      </c>
      <c r="D300" s="752" t="inlineStr">
        <is>
          <t>4 — LOW (natural sellthrough)</t>
        </is>
      </c>
      <c r="E300" s="753" t="n">
        <v>189.35</v>
      </c>
      <c r="F300" s="754" t="n">
        <v>8</v>
      </c>
      <c r="G300" s="755" t="n">
        <v>0</v>
      </c>
      <c r="H300" s="755" t="n">
        <v>10</v>
      </c>
      <c r="I300" s="755" t="n">
        <v>18</v>
      </c>
      <c r="J300" s="756" t="n">
        <v>10</v>
      </c>
      <c r="K300" s="755" t="n">
        <v>28</v>
      </c>
      <c r="L300" s="753" t="n">
        <v>8</v>
      </c>
      <c r="M300" s="757" t="n">
        <v>224</v>
      </c>
      <c r="N300" s="754" t="n">
        <v>2</v>
      </c>
      <c r="O300" s="758" t="inlineStr">
        <is>
          <t>Transfer to China Market</t>
        </is>
      </c>
    </row>
    <row r="301" hidden="1" ht="18" customHeight="1" s="229">
      <c r="A301" s="682" t="inlineStr">
        <is>
          <t>Mousse Light Support Sports Bra</t>
        </is>
      </c>
      <c r="B301" s="682" t="inlineStr">
        <is>
          <t>Active</t>
        </is>
      </c>
      <c r="C301" s="682" t="inlineStr">
        <is>
          <t>Very low sales (&lt;$500 in 90 days)</t>
        </is>
      </c>
      <c r="D301" s="733" t="inlineStr">
        <is>
          <t>4 — LOW (natural sellthrough)</t>
        </is>
      </c>
      <c r="E301" s="684" t="n">
        <v>407.75</v>
      </c>
      <c r="F301" s="685" t="n">
        <v>8</v>
      </c>
      <c r="G301" s="686" t="n">
        <v>0</v>
      </c>
      <c r="H301" s="686" t="n">
        <v>22</v>
      </c>
      <c r="I301" s="686" t="n">
        <v>40</v>
      </c>
      <c r="J301" s="687" t="n">
        <v>22</v>
      </c>
      <c r="K301" s="686" t="n">
        <v>62</v>
      </c>
      <c r="L301" s="684" t="n">
        <v>18</v>
      </c>
      <c r="M301" s="688" t="n">
        <v>1116</v>
      </c>
      <c r="N301" s="685" t="n">
        <v>3</v>
      </c>
      <c r="O301" s="689" t="inlineStr">
        <is>
          <t>Transfer to China Market</t>
        </is>
      </c>
    </row>
    <row r="302" hidden="1" ht="18" customHeight="1" s="229">
      <c r="A302" s="715" t="inlineStr">
        <is>
          <t>Urban Sport Casual Sweater</t>
        </is>
      </c>
      <c r="B302" s="715" t="inlineStr">
        <is>
          <t>Active</t>
        </is>
      </c>
      <c r="C302" s="715" t="inlineStr">
        <is>
          <t>Low sales (&lt;$1K in 90 days)</t>
        </is>
      </c>
      <c r="D302" s="732" t="inlineStr">
        <is>
          <t>4 — LOW (natural sellthrough)</t>
        </is>
      </c>
      <c r="E302" s="717" t="n">
        <v>588.6</v>
      </c>
      <c r="F302" s="718" t="n">
        <v>15</v>
      </c>
      <c r="G302" s="719" t="n">
        <v>0</v>
      </c>
      <c r="H302" s="719" t="n">
        <v>22</v>
      </c>
      <c r="I302" s="719" t="n">
        <v>285</v>
      </c>
      <c r="J302" s="720" t="n">
        <v>22</v>
      </c>
      <c r="K302" s="719" t="n">
        <v>307</v>
      </c>
      <c r="L302" s="717" t="n">
        <v>18</v>
      </c>
      <c r="M302" s="721" t="n">
        <v>5526</v>
      </c>
      <c r="N302" s="718" t="n">
        <v>6</v>
      </c>
      <c r="O302" s="722" t="inlineStr">
        <is>
          <t>Transfer to China Market</t>
        </is>
      </c>
    </row>
    <row r="303" hidden="1" ht="18" customHeight="1" s="229">
      <c r="A303" s="682" t="inlineStr">
        <is>
          <t>NEIWAI ACTIVE X NYCB Polartec Fleece Hooded Jacket</t>
        </is>
      </c>
      <c r="B303" s="682" t="inlineStr">
        <is>
          <t>Active</t>
        </is>
      </c>
      <c r="C303" s="682" t="inlineStr">
        <is>
          <t>NYCB collab — dead inventory, no velocity</t>
        </is>
      </c>
      <c r="D303" s="733" t="inlineStr">
        <is>
          <t>4 — LOW (natural sellthrough)</t>
        </is>
      </c>
      <c r="E303" s="684" t="n">
        <v>412.5</v>
      </c>
      <c r="F303" s="685" t="n">
        <v>3</v>
      </c>
      <c r="G303" s="686" t="n">
        <v>0</v>
      </c>
      <c r="H303" s="686" t="n">
        <v>152</v>
      </c>
      <c r="I303" s="686" t="n">
        <v>0</v>
      </c>
      <c r="J303" s="687" t="n">
        <v>152</v>
      </c>
      <c r="K303" s="686" t="n">
        <v>152</v>
      </c>
      <c r="L303" s="684" t="n">
        <v>18</v>
      </c>
      <c r="M303" s="688" t="n">
        <v>2736</v>
      </c>
      <c r="N303" s="685" t="n">
        <v>2</v>
      </c>
      <c r="O303" s="689" t="inlineStr">
        <is>
          <t>Transfer to China Market</t>
        </is>
      </c>
    </row>
    <row r="304" hidden="1" ht="18" customHeight="1" s="229">
      <c r="A304" s="715" t="inlineStr">
        <is>
          <t>Breeze Half Zip Crop Top</t>
        </is>
      </c>
      <c r="B304" s="715" t="inlineStr">
        <is>
          <t>Active</t>
        </is>
      </c>
      <c r="C304" s="715" t="inlineStr">
        <is>
          <t>Negligible sales (&lt;$100 in 90 days)</t>
        </is>
      </c>
      <c r="D304" s="732" t="inlineStr">
        <is>
          <t>4 — LOW (natural sellthrough)</t>
        </is>
      </c>
      <c r="E304" s="717" t="n">
        <v>44.13</v>
      </c>
      <c r="F304" s="718" t="n">
        <v>1</v>
      </c>
      <c r="G304" s="719" t="n">
        <v>0</v>
      </c>
      <c r="H304" s="719" t="n">
        <v>39</v>
      </c>
      <c r="I304" s="719" t="n">
        <v>118</v>
      </c>
      <c r="J304" s="720" t="n">
        <v>39</v>
      </c>
      <c r="K304" s="719" t="n">
        <v>157</v>
      </c>
      <c r="L304" s="717" t="n">
        <v>18</v>
      </c>
      <c r="M304" s="721" t="n">
        <v>2826</v>
      </c>
      <c r="N304" s="718" t="n">
        <v>3</v>
      </c>
      <c r="O304" s="722" t="inlineStr">
        <is>
          <t>Transfer to China Market</t>
        </is>
      </c>
    </row>
    <row r="305" hidden="1" ht="18" customHeight="1" s="229">
      <c r="A305" s="682" t="inlineStr">
        <is>
          <t>Urban Sport Active Running Legging</t>
        </is>
      </c>
      <c r="B305" s="682" t="inlineStr">
        <is>
          <t>Active</t>
        </is>
      </c>
      <c r="C305" s="682" t="inlineStr">
        <is>
          <t>Negligible sales (&lt;$100 in 90 days)</t>
        </is>
      </c>
      <c r="D305" s="733" t="inlineStr">
        <is>
          <t>4 — LOW (natural sellthrough)</t>
        </is>
      </c>
      <c r="E305" s="684" t="n">
        <v>84.24000000000001</v>
      </c>
      <c r="F305" s="685" t="n">
        <v>2</v>
      </c>
      <c r="G305" s="686" t="n">
        <v>0</v>
      </c>
      <c r="H305" s="686" t="n">
        <v>41</v>
      </c>
      <c r="I305" s="686" t="n">
        <v>0</v>
      </c>
      <c r="J305" s="687" t="n">
        <v>41</v>
      </c>
      <c r="K305" s="686" t="n">
        <v>41</v>
      </c>
      <c r="L305" s="684" t="n">
        <v>18</v>
      </c>
      <c r="M305" s="688" t="n">
        <v>738</v>
      </c>
      <c r="N305" s="685" t="n">
        <v>2</v>
      </c>
      <c r="O305" s="689" t="inlineStr">
        <is>
          <t>Transfer to China Market</t>
        </is>
      </c>
    </row>
    <row r="306" hidden="1" ht="18" customHeight="1" s="229">
      <c r="A306" s="690" t="inlineStr">
        <is>
          <t>Satin Pajama Set</t>
        </is>
      </c>
      <c r="B306" s="690" t="inlineStr">
        <is>
          <t>Loungewear</t>
        </is>
      </c>
      <c r="C306" s="690" t="inlineStr">
        <is>
          <t>Very low sales (&lt;$500 in 90 days)</t>
        </is>
      </c>
      <c r="D306" s="691" t="inlineStr">
        <is>
          <t>4 — LOW (natural sellthrough)</t>
        </is>
      </c>
      <c r="E306" s="692" t="n">
        <v>333.88</v>
      </c>
      <c r="F306" s="693" t="n">
        <v>4</v>
      </c>
      <c r="G306" s="694" t="n">
        <v>0</v>
      </c>
      <c r="H306" s="694" t="n">
        <v>38</v>
      </c>
      <c r="I306" s="694" t="n">
        <v>164</v>
      </c>
      <c r="J306" s="695" t="n">
        <v>38</v>
      </c>
      <c r="K306" s="694" t="n">
        <v>202</v>
      </c>
      <c r="L306" s="692" t="n">
        <v>15</v>
      </c>
      <c r="M306" s="696" t="n">
        <v>3030</v>
      </c>
      <c r="N306" s="693" t="n">
        <v>4</v>
      </c>
      <c r="O306" s="697" t="inlineStr">
        <is>
          <t>Transfer to China Market</t>
        </is>
      </c>
    </row>
    <row r="307" hidden="1" ht="18" customHeight="1" s="229">
      <c r="A307" s="715" t="inlineStr">
        <is>
          <t>Wool Seamless Mock Neck Top</t>
        </is>
      </c>
      <c r="B307" s="715" t="inlineStr">
        <is>
          <t>Active</t>
        </is>
      </c>
      <c r="C307" s="715" t="inlineStr">
        <is>
          <t>Active category rationalization</t>
        </is>
      </c>
      <c r="D307" s="732" t="inlineStr">
        <is>
          <t>4 — LOW (natural sellthrough)</t>
        </is>
      </c>
      <c r="E307" s="717" t="n">
        <v>1813.53</v>
      </c>
      <c r="F307" s="718" t="n">
        <v>34</v>
      </c>
      <c r="G307" s="719" t="n">
        <v>0</v>
      </c>
      <c r="H307" s="719" t="n">
        <v>7</v>
      </c>
      <c r="I307" s="719" t="n">
        <v>88</v>
      </c>
      <c r="J307" s="720" t="n">
        <v>7</v>
      </c>
      <c r="K307" s="719" t="n">
        <v>95</v>
      </c>
      <c r="L307" s="717" t="n">
        <v>18</v>
      </c>
      <c r="M307" s="721" t="n">
        <v>1710</v>
      </c>
      <c r="N307" s="718" t="n">
        <v>4</v>
      </c>
      <c r="O307" s="722" t="inlineStr">
        <is>
          <t>Transfer to China Market</t>
        </is>
      </c>
    </row>
    <row r="308" hidden="1" ht="18" customHeight="1" s="229">
      <c r="A308" s="699" t="inlineStr">
        <is>
          <t>Men's Cotton Briefs (3-Pack)</t>
        </is>
      </c>
      <c r="B308" s="699" t="inlineStr">
        <is>
          <t>Men</t>
        </is>
      </c>
      <c r="C308" s="699" t="inlineStr">
        <is>
          <t>Men's category exit</t>
        </is>
      </c>
      <c r="D308" s="700" t="inlineStr">
        <is>
          <t>4 — LOW (natural sellthrough)</t>
        </is>
      </c>
      <c r="E308" s="701" t="n">
        <v>1798.15</v>
      </c>
      <c r="F308" s="702" t="n">
        <v>62</v>
      </c>
      <c r="G308" s="703" t="n">
        <v>0</v>
      </c>
      <c r="H308" s="703" t="n">
        <v>9</v>
      </c>
      <c r="I308" s="703" t="n">
        <v>47</v>
      </c>
      <c r="J308" s="704" t="n">
        <v>9</v>
      </c>
      <c r="K308" s="703" t="n">
        <v>56</v>
      </c>
      <c r="L308" s="701" t="n">
        <v>8</v>
      </c>
      <c r="M308" s="705" t="n">
        <v>448</v>
      </c>
      <c r="N308" s="702" t="n">
        <v>4</v>
      </c>
      <c r="O308" s="706" t="inlineStr">
        <is>
          <t>Transfer to China Market</t>
        </is>
      </c>
    </row>
    <row r="309" hidden="1" ht="18" customHeight="1" s="229">
      <c r="A309" s="651" t="inlineStr">
        <is>
          <t>Pure Beauty Bridal Low Waist Brief</t>
        </is>
      </c>
      <c r="B309" s="651" t="inlineStr">
        <is>
          <t>Underwear</t>
        </is>
      </c>
      <c r="C309" s="651" t="inlineStr">
        <is>
          <t>Very low sales (&lt;$500 in 90 days)</t>
        </is>
      </c>
      <c r="D309" s="652" t="inlineStr">
        <is>
          <t>4 — LOW (natural sellthrough)</t>
        </is>
      </c>
      <c r="E309" s="653" t="n">
        <v>127.38</v>
      </c>
      <c r="F309" s="654" t="n">
        <v>6</v>
      </c>
      <c r="G309" s="655" t="n">
        <v>0</v>
      </c>
      <c r="H309" s="655" t="n">
        <v>7</v>
      </c>
      <c r="I309" s="655" t="n">
        <v>0</v>
      </c>
      <c r="J309" s="656" t="n">
        <v>7</v>
      </c>
      <c r="K309" s="655" t="n">
        <v>7</v>
      </c>
      <c r="L309" s="653" t="n">
        <v>10</v>
      </c>
      <c r="M309" s="666" t="n">
        <v>70</v>
      </c>
      <c r="N309" s="654" t="n">
        <v>2</v>
      </c>
      <c r="O309" s="680" t="inlineStr">
        <is>
          <t>Transfer to China Market</t>
        </is>
      </c>
    </row>
    <row r="310" hidden="1" ht="18" customHeight="1" s="229">
      <c r="A310" s="682" t="inlineStr">
        <is>
          <t>Ballet Pleated Bustier</t>
        </is>
      </c>
      <c r="B310" s="682" t="inlineStr">
        <is>
          <t>Active</t>
        </is>
      </c>
      <c r="C310" s="682" t="inlineStr">
        <is>
          <t>Low sales (&lt;$1K in 90 days)</t>
        </is>
      </c>
      <c r="D310" s="733" t="inlineStr">
        <is>
          <t>4 — LOW (natural sellthrough)</t>
        </is>
      </c>
      <c r="E310" s="684" t="n">
        <v>574.05</v>
      </c>
      <c r="F310" s="685" t="n">
        <v>15</v>
      </c>
      <c r="G310" s="686" t="n">
        <v>2</v>
      </c>
      <c r="H310" s="686" t="n">
        <v>5</v>
      </c>
      <c r="I310" s="686" t="n">
        <v>0</v>
      </c>
      <c r="J310" s="687" t="n">
        <v>7</v>
      </c>
      <c r="K310" s="686" t="n">
        <v>7</v>
      </c>
      <c r="L310" s="684" t="n">
        <v>18</v>
      </c>
      <c r="M310" s="688" t="n">
        <v>126</v>
      </c>
      <c r="N310" s="685" t="n">
        <v>3</v>
      </c>
      <c r="O310" s="738" t="inlineStr">
        <is>
          <t>Split: Flash Sale (US) + Transfer to China</t>
        </is>
      </c>
    </row>
    <row r="311" hidden="1" ht="18" customHeight="1" s="229">
      <c r="A311" s="658" t="inlineStr">
        <is>
          <t>Cooling Briefs (3-Pack)</t>
        </is>
      </c>
      <c r="B311" s="658" t="inlineStr">
        <is>
          <t>Underwear</t>
        </is>
      </c>
      <c r="C311" s="658" t="inlineStr">
        <is>
          <t>Very low sales (&lt;$500 in 90 days)</t>
        </is>
      </c>
      <c r="D311" s="668" t="inlineStr">
        <is>
          <t>4 — LOW (natural sellthrough)</t>
        </is>
      </c>
      <c r="E311" s="660" t="n">
        <v>253.79</v>
      </c>
      <c r="F311" s="661" t="n">
        <v>9</v>
      </c>
      <c r="G311" s="662" t="n">
        <v>0</v>
      </c>
      <c r="H311" s="662" t="n">
        <v>9</v>
      </c>
      <c r="I311" s="662" t="n">
        <v>20</v>
      </c>
      <c r="J311" s="663" t="n">
        <v>9</v>
      </c>
      <c r="K311" s="662" t="n">
        <v>29</v>
      </c>
      <c r="L311" s="660" t="n">
        <v>10</v>
      </c>
      <c r="M311" s="669" t="n">
        <v>290</v>
      </c>
      <c r="N311" s="661" t="n">
        <v>3</v>
      </c>
      <c r="O311" s="681" t="inlineStr">
        <is>
          <t>Transfer to China Market</t>
        </is>
      </c>
    </row>
    <row r="312" hidden="1" ht="18" customHeight="1" s="229">
      <c r="A312" s="715" t="inlineStr">
        <is>
          <t>NEIWAI ACTIVE X Andrea Jiapei Li Cutout Short Sleeve T-shirt</t>
        </is>
      </c>
      <c r="B312" s="715" t="inlineStr">
        <is>
          <t>Active</t>
        </is>
      </c>
      <c r="C312" s="715" t="inlineStr">
        <is>
          <t>Very low sales (&lt;$500 in 90 days)</t>
        </is>
      </c>
      <c r="D312" s="732" t="inlineStr">
        <is>
          <t>4 — LOW (natural sellthrough)</t>
        </is>
      </c>
      <c r="E312" s="717" t="n">
        <v>189.18</v>
      </c>
      <c r="F312" s="718" t="n">
        <v>4</v>
      </c>
      <c r="G312" s="719" t="n">
        <v>0</v>
      </c>
      <c r="H312" s="719" t="n">
        <v>36</v>
      </c>
      <c r="I312" s="719" t="n">
        <v>77</v>
      </c>
      <c r="J312" s="720" t="n">
        <v>36</v>
      </c>
      <c r="K312" s="719" t="n">
        <v>113</v>
      </c>
      <c r="L312" s="717" t="n">
        <v>18</v>
      </c>
      <c r="M312" s="721" t="n">
        <v>2034</v>
      </c>
      <c r="N312" s="718" t="n">
        <v>5</v>
      </c>
      <c r="O312" s="722" t="inlineStr">
        <is>
          <t>Transfer to China Market</t>
        </is>
      </c>
    </row>
    <row r="313" hidden="1" ht="18" customHeight="1" s="229">
      <c r="A313" s="651" t="inlineStr">
        <is>
          <t>Pliss√© Deep V Bra</t>
        </is>
      </c>
      <c r="B313" s="651" t="inlineStr">
        <is>
          <t>Underwear</t>
        </is>
      </c>
      <c r="C313" s="651" t="inlineStr">
        <is>
          <t>Below threshold — long tail</t>
        </is>
      </c>
      <c r="D313" s="652" t="inlineStr">
        <is>
          <t>4 — LOW (natural sellthrough)</t>
        </is>
      </c>
      <c r="E313" s="653" t="n">
        <v>1097.71</v>
      </c>
      <c r="F313" s="654" t="n">
        <v>29</v>
      </c>
      <c r="G313" s="655" t="n">
        <v>0</v>
      </c>
      <c r="H313" s="655" t="n">
        <v>10</v>
      </c>
      <c r="I313" s="655" t="n">
        <v>239</v>
      </c>
      <c r="J313" s="656" t="n">
        <v>10</v>
      </c>
      <c r="K313" s="655" t="n">
        <v>249</v>
      </c>
      <c r="L313" s="653" t="n">
        <v>10</v>
      </c>
      <c r="M313" s="666" t="n">
        <v>2490</v>
      </c>
      <c r="N313" s="654" t="n">
        <v>6</v>
      </c>
      <c r="O313" s="680" t="inlineStr">
        <is>
          <t>Transfer to China Market</t>
        </is>
      </c>
    </row>
    <row r="314" hidden="1" ht="18" customHeight="1" s="229">
      <c r="A314" s="707" t="inlineStr">
        <is>
          <t>Classic Cozy Fleece Robe 2.0</t>
        </is>
      </c>
      <c r="B314" s="707" t="inlineStr">
        <is>
          <t>Loungewear</t>
        </is>
      </c>
      <c r="C314" s="707" t="inlineStr">
        <is>
          <t>Below threshold — long tail</t>
        </is>
      </c>
      <c r="D314" s="708" t="inlineStr">
        <is>
          <t>4 — LOW (natural sellthrough)</t>
        </is>
      </c>
      <c r="E314" s="709" t="n">
        <v>1942.89</v>
      </c>
      <c r="F314" s="710" t="n">
        <v>41</v>
      </c>
      <c r="G314" s="711" t="n">
        <v>2</v>
      </c>
      <c r="H314" s="711" t="n">
        <v>5</v>
      </c>
      <c r="I314" s="711" t="n">
        <v>122</v>
      </c>
      <c r="J314" s="712" t="n">
        <v>7</v>
      </c>
      <c r="K314" s="711" t="n">
        <v>129</v>
      </c>
      <c r="L314" s="709" t="n">
        <v>15</v>
      </c>
      <c r="M314" s="713" t="n">
        <v>1935</v>
      </c>
      <c r="N314" s="710" t="n">
        <v>8</v>
      </c>
      <c r="O314" s="749" t="inlineStr">
        <is>
          <t>Split: Flash Sale (US) + Transfer to China</t>
        </is>
      </c>
    </row>
    <row r="315" hidden="1" ht="18" customHeight="1" s="229">
      <c r="A315" s="658" t="inlineStr">
        <is>
          <t>Tempting Deep V Bra</t>
        </is>
      </c>
      <c r="B315" s="658" t="inlineStr">
        <is>
          <t>Underwear</t>
        </is>
      </c>
      <c r="C315" s="658" t="inlineStr">
        <is>
          <t>Below threshold — long tail</t>
        </is>
      </c>
      <c r="D315" s="668" t="inlineStr">
        <is>
          <t>4 — LOW (natural sellthrough)</t>
        </is>
      </c>
      <c r="E315" s="660" t="n">
        <v>1889.39</v>
      </c>
      <c r="F315" s="661" t="n">
        <v>41</v>
      </c>
      <c r="G315" s="662" t="n">
        <v>0</v>
      </c>
      <c r="H315" s="662" t="n">
        <v>8</v>
      </c>
      <c r="I315" s="662" t="n">
        <v>145</v>
      </c>
      <c r="J315" s="663" t="n">
        <v>8</v>
      </c>
      <c r="K315" s="662" t="n">
        <v>153</v>
      </c>
      <c r="L315" s="660" t="n">
        <v>10</v>
      </c>
      <c r="M315" s="669" t="n">
        <v>1530</v>
      </c>
      <c r="N315" s="661" t="n">
        <v>6</v>
      </c>
      <c r="O315" s="681" t="inlineStr">
        <is>
          <t>Transfer to China Market</t>
        </is>
      </c>
    </row>
    <row r="316" hidden="1" ht="18" customHeight="1" s="229">
      <c r="A316" s="690" t="inlineStr">
        <is>
          <t>Hang Out Cotton Casual Shorts</t>
        </is>
      </c>
      <c r="B316" s="690" t="inlineStr">
        <is>
          <t>Loungewear</t>
        </is>
      </c>
      <c r="C316" s="690" t="inlineStr">
        <is>
          <t>Very low sales (&lt;$500 in 90 days)</t>
        </is>
      </c>
      <c r="D316" s="691" t="inlineStr">
        <is>
          <t>4 — LOW (natural sellthrough)</t>
        </is>
      </c>
      <c r="E316" s="692" t="n">
        <v>203.82</v>
      </c>
      <c r="F316" s="693" t="n">
        <v>6</v>
      </c>
      <c r="G316" s="694" t="n">
        <v>0</v>
      </c>
      <c r="H316" s="694" t="n">
        <v>12</v>
      </c>
      <c r="I316" s="694" t="n">
        <v>93</v>
      </c>
      <c r="J316" s="695" t="n">
        <v>12</v>
      </c>
      <c r="K316" s="694" t="n">
        <v>105</v>
      </c>
      <c r="L316" s="692" t="n">
        <v>15</v>
      </c>
      <c r="M316" s="696" t="n">
        <v>1575</v>
      </c>
      <c r="N316" s="693" t="n">
        <v>3</v>
      </c>
      <c r="O316" s="697" t="inlineStr">
        <is>
          <t>Transfer to China Market</t>
        </is>
      </c>
    </row>
    <row r="317" hidden="1" ht="18" customHeight="1" s="229">
      <c r="A317" s="682" t="inlineStr">
        <is>
          <t>NEIWAI ACTIVE X NYCB Ribbed Zip Cardigan</t>
        </is>
      </c>
      <c r="B317" s="682" t="inlineStr">
        <is>
          <t>Active</t>
        </is>
      </c>
      <c r="C317" s="682" t="inlineStr">
        <is>
          <t>NYCB collab — dead inventory, no velocity</t>
        </is>
      </c>
      <c r="D317" s="733" t="inlineStr">
        <is>
          <t>4 — LOW (natural sellthrough)</t>
        </is>
      </c>
      <c r="E317" s="684" t="n">
        <v>593</v>
      </c>
      <c r="F317" s="685" t="n">
        <v>5</v>
      </c>
      <c r="G317" s="686" t="n">
        <v>1</v>
      </c>
      <c r="H317" s="686" t="n">
        <v>9</v>
      </c>
      <c r="I317" s="686" t="n">
        <v>0</v>
      </c>
      <c r="J317" s="687" t="n">
        <v>10</v>
      </c>
      <c r="K317" s="686" t="n">
        <v>10</v>
      </c>
      <c r="L317" s="684" t="n">
        <v>18</v>
      </c>
      <c r="M317" s="688" t="n">
        <v>180</v>
      </c>
      <c r="N317" s="685" t="n">
        <v>2</v>
      </c>
      <c r="O317" s="738" t="inlineStr">
        <is>
          <t>Split: Flash Sale (US) + Transfer to China</t>
        </is>
      </c>
    </row>
    <row r="318" hidden="1" ht="18" customHeight="1" s="229">
      <c r="A318" s="707" t="inlineStr">
        <is>
          <t>Hang Out Summer Shirt</t>
        </is>
      </c>
      <c r="B318" s="707" t="inlineStr">
        <is>
          <t>Loungewear</t>
        </is>
      </c>
      <c r="C318" s="707" t="inlineStr">
        <is>
          <t>Very low sales (&lt;$500 in 90 days)</t>
        </is>
      </c>
      <c r="D318" s="708" t="inlineStr">
        <is>
          <t>4 — LOW (natural sellthrough)</t>
        </is>
      </c>
      <c r="E318" s="709" t="n">
        <v>124.26</v>
      </c>
      <c r="F318" s="710" t="n">
        <v>3</v>
      </c>
      <c r="G318" s="711" t="n">
        <v>0</v>
      </c>
      <c r="H318" s="711" t="n">
        <v>28</v>
      </c>
      <c r="I318" s="711" t="n">
        <v>185</v>
      </c>
      <c r="J318" s="712" t="n">
        <v>28</v>
      </c>
      <c r="K318" s="711" t="n">
        <v>213</v>
      </c>
      <c r="L318" s="709" t="n">
        <v>15</v>
      </c>
      <c r="M318" s="713" t="n">
        <v>3195</v>
      </c>
      <c r="N318" s="710" t="n">
        <v>4</v>
      </c>
      <c r="O318" s="714" t="inlineStr">
        <is>
          <t>Transfer to China Market</t>
        </is>
      </c>
    </row>
    <row r="319" hidden="1" ht="18" customHeight="1" s="229">
      <c r="A319" s="715" t="inlineStr">
        <is>
          <t>Breeze High Waist Bermuda Shorts</t>
        </is>
      </c>
      <c r="B319" s="715" t="inlineStr">
        <is>
          <t>Active</t>
        </is>
      </c>
      <c r="C319" s="715" t="inlineStr">
        <is>
          <t>Zero/negative sales</t>
        </is>
      </c>
      <c r="D319" s="716" t="inlineStr">
        <is>
          <t>2 — HIGH (dead product)</t>
        </is>
      </c>
      <c r="E319" s="717" t="n">
        <v>0</v>
      </c>
      <c r="F319" s="718" t="n">
        <v>0</v>
      </c>
      <c r="G319" s="719" t="n">
        <v>1</v>
      </c>
      <c r="H319" s="719" t="n">
        <v>28</v>
      </c>
      <c r="I319" s="719" t="n">
        <v>68</v>
      </c>
      <c r="J319" s="720" t="n">
        <v>29</v>
      </c>
      <c r="K319" s="719" t="n">
        <v>97</v>
      </c>
      <c r="L319" s="717" t="n">
        <v>18</v>
      </c>
      <c r="M319" s="721" t="n">
        <v>1746</v>
      </c>
      <c r="N319" s="718" t="n">
        <v>3</v>
      </c>
      <c r="O319" s="736" t="inlineStr">
        <is>
          <t>Split: Flash Sale (US) + Transfer to China</t>
        </is>
      </c>
    </row>
    <row r="320" hidden="1" ht="18" customHeight="1" s="229">
      <c r="A320" s="682" t="inlineStr">
        <is>
          <t>Dance Sport Leggings</t>
        </is>
      </c>
      <c r="B320" s="682" t="inlineStr">
        <is>
          <t>Active</t>
        </is>
      </c>
      <c r="C320" s="682" t="inlineStr">
        <is>
          <t>Very low sales (&lt;$500 in 90 days)</t>
        </is>
      </c>
      <c r="D320" s="733" t="inlineStr">
        <is>
          <t>4 — LOW (natural sellthrough)</t>
        </is>
      </c>
      <c r="E320" s="684" t="n">
        <v>305.2</v>
      </c>
      <c r="F320" s="685" t="n">
        <v>6</v>
      </c>
      <c r="G320" s="686" t="n">
        <v>0</v>
      </c>
      <c r="H320" s="686" t="n">
        <v>41</v>
      </c>
      <c r="I320" s="686" t="n">
        <v>153</v>
      </c>
      <c r="J320" s="687" t="n">
        <v>41</v>
      </c>
      <c r="K320" s="686" t="n">
        <v>194</v>
      </c>
      <c r="L320" s="684" t="n">
        <v>18</v>
      </c>
      <c r="M320" s="688" t="n">
        <v>3492</v>
      </c>
      <c r="N320" s="685" t="n">
        <v>4</v>
      </c>
      <c r="O320" s="689" t="inlineStr">
        <is>
          <t>Transfer to China Market</t>
        </is>
      </c>
    </row>
    <row r="321" hidden="1" ht="18" customHeight="1" s="229">
      <c r="A321" s="715" t="inlineStr">
        <is>
          <t>Relaxed Fit Sweat Cardigan</t>
        </is>
      </c>
      <c r="B321" s="715" t="inlineStr">
        <is>
          <t>Active</t>
        </is>
      </c>
      <c r="C321" s="715" t="inlineStr">
        <is>
          <t>Very low sales (&lt;$500 in 90 days)</t>
        </is>
      </c>
      <c r="D321" s="732" t="inlineStr">
        <is>
          <t>4 — LOW (natural sellthrough)</t>
        </is>
      </c>
      <c r="E321" s="717" t="n">
        <v>224.42</v>
      </c>
      <c r="F321" s="718" t="n">
        <v>2</v>
      </c>
      <c r="G321" s="719" t="n">
        <v>0</v>
      </c>
      <c r="H321" s="719" t="n">
        <v>19</v>
      </c>
      <c r="I321" s="719" t="n">
        <v>80</v>
      </c>
      <c r="J321" s="720" t="n">
        <v>19</v>
      </c>
      <c r="K321" s="719" t="n">
        <v>99</v>
      </c>
      <c r="L321" s="717" t="n">
        <v>18</v>
      </c>
      <c r="M321" s="721" t="n">
        <v>1782</v>
      </c>
      <c r="N321" s="718" t="n">
        <v>2</v>
      </c>
      <c r="O321" s="722" t="inlineStr">
        <is>
          <t>Transfer to China Market</t>
        </is>
      </c>
    </row>
    <row r="322" hidden="1" ht="18" customHeight="1" s="229">
      <c r="A322" s="682" t="inlineStr">
        <is>
          <t>Ballet Pleated Plunge Bra Top</t>
        </is>
      </c>
      <c r="B322" s="682" t="inlineStr">
        <is>
          <t>Active</t>
        </is>
      </c>
      <c r="C322" s="682" t="inlineStr">
        <is>
          <t>Very low sales (&lt;$500 in 90 days)</t>
        </is>
      </c>
      <c r="D322" s="733" t="inlineStr">
        <is>
          <t>4 — LOW (natural sellthrough)</t>
        </is>
      </c>
      <c r="E322" s="684" t="n">
        <v>380.76</v>
      </c>
      <c r="F322" s="685" t="n">
        <v>6</v>
      </c>
      <c r="G322" s="686" t="n">
        <v>3</v>
      </c>
      <c r="H322" s="686" t="n">
        <v>5</v>
      </c>
      <c r="I322" s="686" t="n">
        <v>67</v>
      </c>
      <c r="J322" s="687" t="n">
        <v>8</v>
      </c>
      <c r="K322" s="686" t="n">
        <v>75</v>
      </c>
      <c r="L322" s="684" t="n">
        <v>18</v>
      </c>
      <c r="M322" s="688" t="n">
        <v>1350</v>
      </c>
      <c r="N322" s="685" t="n">
        <v>2</v>
      </c>
      <c r="O322" s="738" t="inlineStr">
        <is>
          <t>Split: Flash Sale (US) + Transfer to China</t>
        </is>
      </c>
    </row>
    <row r="323" hidden="1" ht="18" customHeight="1" s="229">
      <c r="A323" s="715" t="inlineStr">
        <is>
          <t>Ballet Slit Joggers</t>
        </is>
      </c>
      <c r="B323" s="715" t="inlineStr">
        <is>
          <t>Active</t>
        </is>
      </c>
      <c r="C323" s="715" t="inlineStr">
        <is>
          <t>Active category rationalization</t>
        </is>
      </c>
      <c r="D323" s="732" t="inlineStr">
        <is>
          <t>4 — LOW (natural sellthrough)</t>
        </is>
      </c>
      <c r="E323" s="717" t="n">
        <v>1553.29</v>
      </c>
      <c r="F323" s="718" t="n">
        <v>28</v>
      </c>
      <c r="G323" s="719" t="n">
        <v>2</v>
      </c>
      <c r="H323" s="719" t="n">
        <v>5</v>
      </c>
      <c r="I323" s="719" t="n">
        <v>73</v>
      </c>
      <c r="J323" s="720" t="n">
        <v>7</v>
      </c>
      <c r="K323" s="719" t="n">
        <v>80</v>
      </c>
      <c r="L323" s="717" t="n">
        <v>18</v>
      </c>
      <c r="M323" s="721" t="n">
        <v>1440</v>
      </c>
      <c r="N323" s="718" t="n">
        <v>5</v>
      </c>
      <c r="O323" s="736" t="inlineStr">
        <is>
          <t>Split: Flash Sale (US) + Transfer to China</t>
        </is>
      </c>
    </row>
    <row r="324" hidden="1" ht="18" customHeight="1" s="229">
      <c r="A324" s="682" t="inlineStr">
        <is>
          <t>Ballet V-Neck Wool Tee</t>
        </is>
      </c>
      <c r="B324" s="682" t="inlineStr">
        <is>
          <t>Active</t>
        </is>
      </c>
      <c r="C324" s="682" t="inlineStr">
        <is>
          <t>Low sales (&lt;$1K in 90 days)</t>
        </is>
      </c>
      <c r="D324" s="733" t="inlineStr">
        <is>
          <t>4 — LOW (natural sellthrough)</t>
        </is>
      </c>
      <c r="E324" s="684" t="n">
        <v>717.49</v>
      </c>
      <c r="F324" s="685" t="n">
        <v>21</v>
      </c>
      <c r="G324" s="686" t="n">
        <v>0</v>
      </c>
      <c r="H324" s="686" t="n">
        <v>6</v>
      </c>
      <c r="I324" s="686" t="n">
        <v>49</v>
      </c>
      <c r="J324" s="687" t="n">
        <v>6</v>
      </c>
      <c r="K324" s="686" t="n">
        <v>55</v>
      </c>
      <c r="L324" s="684" t="n">
        <v>18</v>
      </c>
      <c r="M324" s="688" t="n">
        <v>990</v>
      </c>
      <c r="N324" s="685" t="n">
        <v>3</v>
      </c>
      <c r="O324" s="689" t="inlineStr">
        <is>
          <t>Transfer to China Market</t>
        </is>
      </c>
    </row>
    <row r="325" hidden="1" ht="18" customHeight="1" s="229">
      <c r="A325" s="651" t="inlineStr">
        <is>
          <t>Pure Comfort Premium Triangle Bra</t>
        </is>
      </c>
      <c r="B325" s="651" t="inlineStr">
        <is>
          <t>Underwear</t>
        </is>
      </c>
      <c r="C325" s="651" t="inlineStr">
        <is>
          <t>Low sales (&lt;$1K in 90 days)</t>
        </is>
      </c>
      <c r="D325" s="652" t="inlineStr">
        <is>
          <t>4 — LOW (natural sellthrough)</t>
        </is>
      </c>
      <c r="E325" s="653" t="n">
        <v>855.95</v>
      </c>
      <c r="F325" s="654" t="n">
        <v>16</v>
      </c>
      <c r="G325" s="655" t="n">
        <v>2</v>
      </c>
      <c r="H325" s="655" t="n">
        <v>4</v>
      </c>
      <c r="I325" s="655" t="n">
        <v>65</v>
      </c>
      <c r="J325" s="656" t="n">
        <v>6</v>
      </c>
      <c r="K325" s="655" t="n">
        <v>71</v>
      </c>
      <c r="L325" s="653" t="n">
        <v>10</v>
      </c>
      <c r="M325" s="666" t="n">
        <v>710</v>
      </c>
      <c r="N325" s="654" t="n">
        <v>4</v>
      </c>
      <c r="O325" s="667" t="inlineStr">
        <is>
          <t>Split: Flash Sale (US) + Transfer to China</t>
        </is>
      </c>
    </row>
    <row r="326" hidden="1" ht="18" customHeight="1" s="229">
      <c r="A326" s="658" t="inlineStr">
        <is>
          <t>Belle Lace Triangle Bra</t>
        </is>
      </c>
      <c r="B326" s="658" t="inlineStr">
        <is>
          <t>Underwear</t>
        </is>
      </c>
      <c r="C326" s="658" t="inlineStr">
        <is>
          <t>Below threshold — long tail</t>
        </is>
      </c>
      <c r="D326" s="668" t="inlineStr">
        <is>
          <t>4 — LOW (natural sellthrough)</t>
        </is>
      </c>
      <c r="E326" s="660" t="n">
        <v>1585.86</v>
      </c>
      <c r="F326" s="661" t="n">
        <v>39</v>
      </c>
      <c r="G326" s="662" t="n">
        <v>5</v>
      </c>
      <c r="H326" s="662" t="n">
        <v>3</v>
      </c>
      <c r="I326" s="662" t="n">
        <v>47</v>
      </c>
      <c r="J326" s="663" t="n">
        <v>8</v>
      </c>
      <c r="K326" s="662" t="n">
        <v>55</v>
      </c>
      <c r="L326" s="660" t="n">
        <v>10</v>
      </c>
      <c r="M326" s="669" t="n">
        <v>550</v>
      </c>
      <c r="N326" s="661" t="n">
        <v>3</v>
      </c>
      <c r="O326" s="670" t="inlineStr">
        <is>
          <t>Split: Flash Sale (US) + Transfer to China</t>
        </is>
      </c>
    </row>
    <row r="327" hidden="1" ht="18" customHeight="1" s="229">
      <c r="A327" s="690" t="inlineStr">
        <is>
          <t>Sofa Shorts</t>
        </is>
      </c>
      <c r="B327" s="690" t="inlineStr">
        <is>
          <t>Loungewear</t>
        </is>
      </c>
      <c r="C327" s="690" t="inlineStr">
        <is>
          <t>Very low sales (&lt;$500 in 90 days)</t>
        </is>
      </c>
      <c r="D327" s="691" t="inlineStr">
        <is>
          <t>4 — LOW (natural sellthrough)</t>
        </is>
      </c>
      <c r="E327" s="692" t="n">
        <v>273.9</v>
      </c>
      <c r="F327" s="693" t="n">
        <v>11</v>
      </c>
      <c r="G327" s="694" t="n">
        <v>0</v>
      </c>
      <c r="H327" s="694" t="n">
        <v>9</v>
      </c>
      <c r="I327" s="694" t="n">
        <v>102</v>
      </c>
      <c r="J327" s="695" t="n">
        <v>9</v>
      </c>
      <c r="K327" s="694" t="n">
        <v>111</v>
      </c>
      <c r="L327" s="692" t="n">
        <v>15</v>
      </c>
      <c r="M327" s="696" t="n">
        <v>1665</v>
      </c>
      <c r="N327" s="693" t="n">
        <v>4</v>
      </c>
      <c r="O327" s="697" t="inlineStr">
        <is>
          <t>Transfer to China Market</t>
        </is>
      </c>
    </row>
    <row r="328" hidden="1" ht="18" customHeight="1" s="229">
      <c r="A328" s="651" t="inlineStr">
        <is>
          <t>Velvet Low-Waist Brief</t>
        </is>
      </c>
      <c r="B328" s="651" t="inlineStr">
        <is>
          <t>Underwear</t>
        </is>
      </c>
      <c r="C328" s="651" t="inlineStr">
        <is>
          <t>Very low sales (&lt;$500 in 90 days)</t>
        </is>
      </c>
      <c r="D328" s="652" t="inlineStr">
        <is>
          <t>4 — LOW (natural sellthrough)</t>
        </is>
      </c>
      <c r="E328" s="653" t="n">
        <v>104.38</v>
      </c>
      <c r="F328" s="654" t="n">
        <v>11</v>
      </c>
      <c r="G328" s="655" t="n">
        <v>0</v>
      </c>
      <c r="H328" s="655" t="n">
        <v>6</v>
      </c>
      <c r="I328" s="655" t="n">
        <v>0</v>
      </c>
      <c r="J328" s="656" t="n">
        <v>6</v>
      </c>
      <c r="K328" s="655" t="n">
        <v>6</v>
      </c>
      <c r="L328" s="653" t="n">
        <v>10</v>
      </c>
      <c r="M328" s="666" t="n">
        <v>60</v>
      </c>
      <c r="N328" s="654" t="n">
        <v>2</v>
      </c>
      <c r="O328" s="680" t="inlineStr">
        <is>
          <t>Transfer to China Market</t>
        </is>
      </c>
    </row>
    <row r="329" hidden="1" ht="18" customHeight="1" s="229">
      <c r="A329" s="715" t="inlineStr">
        <is>
          <t>Core Training Skort</t>
        </is>
      </c>
      <c r="B329" s="715" t="inlineStr">
        <is>
          <t>Active</t>
        </is>
      </c>
      <c r="C329" s="715" t="inlineStr">
        <is>
          <t>Very low sales (&lt;$500 in 90 days)</t>
        </is>
      </c>
      <c r="D329" s="732" t="inlineStr">
        <is>
          <t>4 — LOW (natural sellthrough)</t>
        </is>
      </c>
      <c r="E329" s="717" t="n">
        <v>273.38</v>
      </c>
      <c r="F329" s="718" t="n">
        <v>7</v>
      </c>
      <c r="G329" s="719" t="n">
        <v>0</v>
      </c>
      <c r="H329" s="719" t="n">
        <v>34</v>
      </c>
      <c r="I329" s="719" t="n">
        <v>197</v>
      </c>
      <c r="J329" s="720" t="n">
        <v>34</v>
      </c>
      <c r="K329" s="719" t="n">
        <v>231</v>
      </c>
      <c r="L329" s="717" t="n">
        <v>18</v>
      </c>
      <c r="M329" s="721" t="n">
        <v>4158</v>
      </c>
      <c r="N329" s="718" t="n">
        <v>5</v>
      </c>
      <c r="O329" s="722" t="inlineStr">
        <is>
          <t>Transfer to China Market</t>
        </is>
      </c>
    </row>
    <row r="330" hidden="1" ht="18" customHeight="1" s="229">
      <c r="A330" s="658" t="inlineStr">
        <is>
          <t>Lightweight Unpadded¬†Triangle Bra</t>
        </is>
      </c>
      <c r="B330" s="658" t="inlineStr">
        <is>
          <t>Underwear</t>
        </is>
      </c>
      <c r="C330" s="658" t="inlineStr">
        <is>
          <t>Very low sales (&lt;$500 in 90 days)</t>
        </is>
      </c>
      <c r="D330" s="668" t="inlineStr">
        <is>
          <t>4 — LOW (natural sellthrough)</t>
        </is>
      </c>
      <c r="E330" s="660" t="n">
        <v>260.7</v>
      </c>
      <c r="F330" s="661" t="n">
        <v>7</v>
      </c>
      <c r="G330" s="662" t="n">
        <v>6</v>
      </c>
      <c r="H330" s="662" t="n">
        <v>0</v>
      </c>
      <c r="I330" s="662" t="n">
        <v>0</v>
      </c>
      <c r="J330" s="663" t="n">
        <v>6</v>
      </c>
      <c r="K330" s="662" t="n">
        <v>6</v>
      </c>
      <c r="L330" s="660" t="n">
        <v>10</v>
      </c>
      <c r="M330" s="669" t="n">
        <v>60</v>
      </c>
      <c r="N330" s="661" t="n">
        <v>1</v>
      </c>
      <c r="O330" s="759" t="inlineStr">
        <is>
          <t>US Flash Sale</t>
        </is>
      </c>
    </row>
    <row r="331" hidden="1" ht="18" customHeight="1" s="229">
      <c r="A331" s="682" t="inlineStr">
        <is>
          <t>Breeze Cropped Sunblock Jacket</t>
        </is>
      </c>
      <c r="B331" s="682" t="inlineStr">
        <is>
          <t>Active</t>
        </is>
      </c>
      <c r="C331" s="682" t="inlineStr">
        <is>
          <t>Very low sales (&lt;$500 in 90 days)</t>
        </is>
      </c>
      <c r="D331" s="733" t="inlineStr">
        <is>
          <t>4 — LOW (natural sellthrough)</t>
        </is>
      </c>
      <c r="E331" s="684" t="n">
        <v>274.28</v>
      </c>
      <c r="F331" s="685" t="n">
        <v>3</v>
      </c>
      <c r="G331" s="686" t="n">
        <v>0</v>
      </c>
      <c r="H331" s="686" t="n">
        <v>20</v>
      </c>
      <c r="I331" s="686" t="n">
        <v>117</v>
      </c>
      <c r="J331" s="687" t="n">
        <v>20</v>
      </c>
      <c r="K331" s="686" t="n">
        <v>137</v>
      </c>
      <c r="L331" s="684" t="n">
        <v>18</v>
      </c>
      <c r="M331" s="688" t="n">
        <v>2466</v>
      </c>
      <c r="N331" s="685" t="n">
        <v>4</v>
      </c>
      <c r="O331" s="689" t="inlineStr">
        <is>
          <t>Transfer to China Market</t>
        </is>
      </c>
    </row>
    <row r="332" hidden="1" ht="18" customHeight="1" s="229">
      <c r="A332" s="715" t="inlineStr">
        <is>
          <t>Active Wool Knee Socks</t>
        </is>
      </c>
      <c r="B332" s="715" t="inlineStr">
        <is>
          <t>Active</t>
        </is>
      </c>
      <c r="C332" s="715" t="inlineStr">
        <is>
          <t>Very low sales (&lt;$500 in 90 days)</t>
        </is>
      </c>
      <c r="D332" s="732" t="inlineStr">
        <is>
          <t>4 — LOW (natural sellthrough)</t>
        </is>
      </c>
      <c r="E332" s="717" t="n">
        <v>346.28</v>
      </c>
      <c r="F332" s="718" t="n">
        <v>37</v>
      </c>
      <c r="G332" s="719" t="n">
        <v>0</v>
      </c>
      <c r="H332" s="719" t="n">
        <v>6</v>
      </c>
      <c r="I332" s="719" t="n">
        <v>124</v>
      </c>
      <c r="J332" s="720" t="n">
        <v>6</v>
      </c>
      <c r="K332" s="719" t="n">
        <v>130</v>
      </c>
      <c r="L332" s="717" t="n">
        <v>18</v>
      </c>
      <c r="M332" s="721" t="n">
        <v>2340</v>
      </c>
      <c r="N332" s="718" t="n">
        <v>2</v>
      </c>
      <c r="O332" s="722" t="inlineStr">
        <is>
          <t>Transfer to China Market</t>
        </is>
      </c>
    </row>
    <row r="333" hidden="1" ht="18" customHeight="1" s="229">
      <c r="A333" s="739" t="inlineStr">
        <is>
          <t>Mousse Headband</t>
        </is>
      </c>
      <c r="B333" s="739" t="inlineStr">
        <is>
          <t>Accessories</t>
        </is>
      </c>
      <c r="C333" s="739" t="inlineStr">
        <is>
          <t>Negligible sales (&lt;$100 in 90 days)</t>
        </is>
      </c>
      <c r="D333" s="760" t="inlineStr">
        <is>
          <t>4 — LOW (natural sellthrough)</t>
        </is>
      </c>
      <c r="E333" s="741" t="n">
        <v>91.2</v>
      </c>
      <c r="F333" s="742" t="n">
        <v>6</v>
      </c>
      <c r="G333" s="743" t="n">
        <v>0</v>
      </c>
      <c r="H333" s="743" t="n">
        <v>7</v>
      </c>
      <c r="I333" s="743" t="n">
        <v>0</v>
      </c>
      <c r="J333" s="744" t="n">
        <v>7</v>
      </c>
      <c r="K333" s="743" t="n">
        <v>7</v>
      </c>
      <c r="L333" s="741" t="n">
        <v>8</v>
      </c>
      <c r="M333" s="745" t="n">
        <v>56</v>
      </c>
      <c r="N333" s="742" t="n">
        <v>2</v>
      </c>
      <c r="O333" s="746" t="inlineStr">
        <is>
          <t>Transfer to China Market</t>
        </is>
      </c>
    </row>
    <row r="334" hidden="1" ht="18" customHeight="1" s="229">
      <c r="A334" s="707" t="inlineStr">
        <is>
          <t>Silky Wool Mock Neck Sleeveless Sweater</t>
        </is>
      </c>
      <c r="B334" s="707" t="inlineStr">
        <is>
          <t>Loungewear</t>
        </is>
      </c>
      <c r="C334" s="707" t="inlineStr">
        <is>
          <t>Below threshold — long tail</t>
        </is>
      </c>
      <c r="D334" s="708" t="inlineStr">
        <is>
          <t>4 — LOW (natural sellthrough)</t>
        </is>
      </c>
      <c r="E334" s="709" t="n">
        <v>1165.28</v>
      </c>
      <c r="F334" s="710" t="n">
        <v>13</v>
      </c>
      <c r="G334" s="711" t="n">
        <v>0</v>
      </c>
      <c r="H334" s="711" t="n">
        <v>20</v>
      </c>
      <c r="I334" s="711" t="n">
        <v>205</v>
      </c>
      <c r="J334" s="712" t="n">
        <v>20</v>
      </c>
      <c r="K334" s="711" t="n">
        <v>225</v>
      </c>
      <c r="L334" s="709" t="n">
        <v>15</v>
      </c>
      <c r="M334" s="713" t="n">
        <v>3375</v>
      </c>
      <c r="N334" s="710" t="n">
        <v>5</v>
      </c>
      <c r="O334" s="714" t="inlineStr">
        <is>
          <t>Transfer to China Market</t>
        </is>
      </c>
    </row>
    <row r="335" hidden="1" ht="18" customHeight="1" s="229">
      <c r="A335" s="690" t="inlineStr">
        <is>
          <t>Straight Leg Pajama Pants</t>
        </is>
      </c>
      <c r="B335" s="690" t="inlineStr">
        <is>
          <t>Loungewear</t>
        </is>
      </c>
      <c r="C335" s="690" t="inlineStr">
        <is>
          <t>Very low sales (&lt;$500 in 90 days)</t>
        </is>
      </c>
      <c r="D335" s="691" t="inlineStr">
        <is>
          <t>4 — LOW (natural sellthrough)</t>
        </is>
      </c>
      <c r="E335" s="692" t="n">
        <v>422.24</v>
      </c>
      <c r="F335" s="693" t="n">
        <v>18</v>
      </c>
      <c r="G335" s="694" t="n">
        <v>1</v>
      </c>
      <c r="H335" s="694" t="n">
        <v>8</v>
      </c>
      <c r="I335" s="694" t="n">
        <v>71</v>
      </c>
      <c r="J335" s="695" t="n">
        <v>9</v>
      </c>
      <c r="K335" s="694" t="n">
        <v>80</v>
      </c>
      <c r="L335" s="692" t="n">
        <v>15</v>
      </c>
      <c r="M335" s="696" t="n">
        <v>1200</v>
      </c>
      <c r="N335" s="693" t="n">
        <v>5</v>
      </c>
      <c r="O335" s="737" t="inlineStr">
        <is>
          <t>Split: Flash Sale (US) + Transfer to China</t>
        </is>
      </c>
    </row>
    <row r="336" hidden="1" ht="18" customHeight="1" s="229">
      <c r="A336" s="682" t="inlineStr">
        <is>
          <t>Ballet Fitted Hoodie</t>
        </is>
      </c>
      <c r="B336" s="682" t="inlineStr">
        <is>
          <t>Active</t>
        </is>
      </c>
      <c r="C336" s="682" t="inlineStr">
        <is>
          <t>Low sales (&lt;$1K in 90 days)</t>
        </is>
      </c>
      <c r="D336" s="733" t="inlineStr">
        <is>
          <t>4 — LOW (natural sellthrough)</t>
        </is>
      </c>
      <c r="E336" s="684" t="n">
        <v>820.75</v>
      </c>
      <c r="F336" s="685" t="n">
        <v>10</v>
      </c>
      <c r="G336" s="686" t="n">
        <v>0</v>
      </c>
      <c r="H336" s="686" t="n">
        <v>11</v>
      </c>
      <c r="I336" s="686" t="n">
        <v>46</v>
      </c>
      <c r="J336" s="687" t="n">
        <v>11</v>
      </c>
      <c r="K336" s="686" t="n">
        <v>57</v>
      </c>
      <c r="L336" s="684" t="n">
        <v>18</v>
      </c>
      <c r="M336" s="688" t="n">
        <v>1026</v>
      </c>
      <c r="N336" s="685" t="n">
        <v>4</v>
      </c>
      <c r="O336" s="689" t="inlineStr">
        <is>
          <t>Transfer to China Market</t>
        </is>
      </c>
    </row>
    <row r="337" hidden="1" ht="18" customHeight="1" s="229">
      <c r="A337" s="651" t="inlineStr">
        <is>
          <t>Maternity Crossover Low Waist Brief</t>
        </is>
      </c>
      <c r="B337" s="651" t="inlineStr">
        <is>
          <t>Underwear</t>
        </is>
      </c>
      <c r="C337" s="651" t="inlineStr">
        <is>
          <t>Negligible sales (&lt;$100 in 90 days)</t>
        </is>
      </c>
      <c r="D337" s="652" t="inlineStr">
        <is>
          <t>4 — LOW (natural sellthrough)</t>
        </is>
      </c>
      <c r="E337" s="653" t="n">
        <v>52.5</v>
      </c>
      <c r="F337" s="654" t="n">
        <v>3</v>
      </c>
      <c r="G337" s="655" t="n">
        <v>0</v>
      </c>
      <c r="H337" s="655" t="n">
        <v>8</v>
      </c>
      <c r="I337" s="655" t="n">
        <v>0</v>
      </c>
      <c r="J337" s="656" t="n">
        <v>8</v>
      </c>
      <c r="K337" s="655" t="n">
        <v>8</v>
      </c>
      <c r="L337" s="653" t="n">
        <v>10</v>
      </c>
      <c r="M337" s="666" t="n">
        <v>80</v>
      </c>
      <c r="N337" s="654" t="n">
        <v>2</v>
      </c>
      <c r="O337" s="680" t="inlineStr">
        <is>
          <t>Transfer to China Market</t>
        </is>
      </c>
    </row>
    <row r="338" hidden="1" ht="18" customHeight="1" s="229">
      <c r="A338" s="707" t="inlineStr">
        <is>
          <t>Stroll Pajama Shorts</t>
        </is>
      </c>
      <c r="B338" s="707" t="inlineStr">
        <is>
          <t>Loungewear</t>
        </is>
      </c>
      <c r="C338" s="707" t="inlineStr">
        <is>
          <t>Very low sales (&lt;$500 in 90 days)</t>
        </is>
      </c>
      <c r="D338" s="708" t="inlineStr">
        <is>
          <t>4 — LOW (natural sellthrough)</t>
        </is>
      </c>
      <c r="E338" s="709" t="n">
        <v>155.1</v>
      </c>
      <c r="F338" s="710" t="n">
        <v>7</v>
      </c>
      <c r="G338" s="711" t="n">
        <v>0</v>
      </c>
      <c r="H338" s="711" t="n">
        <v>12</v>
      </c>
      <c r="I338" s="711" t="n">
        <v>200</v>
      </c>
      <c r="J338" s="712" t="n">
        <v>12</v>
      </c>
      <c r="K338" s="711" t="n">
        <v>212</v>
      </c>
      <c r="L338" s="709" t="n">
        <v>15</v>
      </c>
      <c r="M338" s="713" t="n">
        <v>3180</v>
      </c>
      <c r="N338" s="710" t="n">
        <v>5</v>
      </c>
      <c r="O338" s="714" t="inlineStr">
        <is>
          <t>Transfer to China Market</t>
        </is>
      </c>
    </row>
    <row r="339" hidden="1" ht="18" customHeight="1" s="229">
      <c r="A339" s="690" t="inlineStr">
        <is>
          <t>Easy Knit Knitted Shorts</t>
        </is>
      </c>
      <c r="B339" s="690" t="inlineStr">
        <is>
          <t>Loungewear</t>
        </is>
      </c>
      <c r="C339" s="690" t="inlineStr">
        <is>
          <t>Very low sales (&lt;$500 in 90 days)</t>
        </is>
      </c>
      <c r="D339" s="691" t="inlineStr">
        <is>
          <t>4 — LOW (natural sellthrough)</t>
        </is>
      </c>
      <c r="E339" s="692" t="n">
        <v>268.14</v>
      </c>
      <c r="F339" s="693" t="n">
        <v>5</v>
      </c>
      <c r="G339" s="694" t="n">
        <v>0</v>
      </c>
      <c r="H339" s="694" t="n">
        <v>28</v>
      </c>
      <c r="I339" s="694" t="n">
        <v>319</v>
      </c>
      <c r="J339" s="695" t="n">
        <v>28</v>
      </c>
      <c r="K339" s="694" t="n">
        <v>347</v>
      </c>
      <c r="L339" s="692" t="n">
        <v>15</v>
      </c>
      <c r="M339" s="696" t="n">
        <v>5205</v>
      </c>
      <c r="N339" s="693" t="n">
        <v>5</v>
      </c>
      <c r="O339" s="697" t="inlineStr">
        <is>
          <t>Transfer to China Market</t>
        </is>
      </c>
    </row>
    <row r="340" hidden="1" ht="18" customHeight="1" s="229">
      <c r="A340" s="707" t="inlineStr">
        <is>
          <t>Hang Out Long Sleeve Polo Shirt</t>
        </is>
      </c>
      <c r="B340" s="707" t="inlineStr">
        <is>
          <t>Loungewear</t>
        </is>
      </c>
      <c r="C340" s="707" t="inlineStr">
        <is>
          <t>Very low sales (&lt;$500 in 90 days)</t>
        </is>
      </c>
      <c r="D340" s="708" t="inlineStr">
        <is>
          <t>4 — LOW (natural sellthrough)</t>
        </is>
      </c>
      <c r="E340" s="709" t="n">
        <v>296.37</v>
      </c>
      <c r="F340" s="710" t="n">
        <v>8</v>
      </c>
      <c r="G340" s="711" t="n">
        <v>0</v>
      </c>
      <c r="H340" s="711" t="n">
        <v>10</v>
      </c>
      <c r="I340" s="711" t="n">
        <v>197</v>
      </c>
      <c r="J340" s="712" t="n">
        <v>10</v>
      </c>
      <c r="K340" s="711" t="n">
        <v>207</v>
      </c>
      <c r="L340" s="709" t="n">
        <v>15</v>
      </c>
      <c r="M340" s="713" t="n">
        <v>3105</v>
      </c>
      <c r="N340" s="710" t="n">
        <v>5</v>
      </c>
      <c r="O340" s="714" t="inlineStr">
        <is>
          <t>Transfer to China Market</t>
        </is>
      </c>
    </row>
    <row r="341" hidden="1" ht="18" customHeight="1" s="229">
      <c r="A341" s="690" t="inlineStr">
        <is>
          <t>Cropped Pajama Top</t>
        </is>
      </c>
      <c r="B341" s="690" t="inlineStr">
        <is>
          <t>Loungewear</t>
        </is>
      </c>
      <c r="C341" s="690" t="inlineStr">
        <is>
          <t>Very low sales (&lt;$500 in 90 days)</t>
        </is>
      </c>
      <c r="D341" s="691" t="inlineStr">
        <is>
          <t>4 — LOW (natural sellthrough)</t>
        </is>
      </c>
      <c r="E341" s="692" t="n">
        <v>169.65</v>
      </c>
      <c r="F341" s="693" t="n">
        <v>6</v>
      </c>
      <c r="G341" s="694" t="n">
        <v>0</v>
      </c>
      <c r="H341" s="694" t="n">
        <v>12</v>
      </c>
      <c r="I341" s="694" t="n">
        <v>247</v>
      </c>
      <c r="J341" s="695" t="n">
        <v>12</v>
      </c>
      <c r="K341" s="694" t="n">
        <v>259</v>
      </c>
      <c r="L341" s="692" t="n">
        <v>15</v>
      </c>
      <c r="M341" s="696" t="n">
        <v>3885</v>
      </c>
      <c r="N341" s="693" t="n">
        <v>6</v>
      </c>
      <c r="O341" s="697" t="inlineStr">
        <is>
          <t>Transfer to China Market</t>
        </is>
      </c>
    </row>
    <row r="342" hidden="1" ht="18" customHeight="1" s="229">
      <c r="A342" s="715" t="inlineStr">
        <is>
          <t>Light Support Shorts</t>
        </is>
      </c>
      <c r="B342" s="715" t="inlineStr">
        <is>
          <t>Active</t>
        </is>
      </c>
      <c r="C342" s="715" t="inlineStr">
        <is>
          <t>Very low sales (&lt;$500 in 90 days)</t>
        </is>
      </c>
      <c r="D342" s="732" t="inlineStr">
        <is>
          <t>4 — LOW (natural sellthrough)</t>
        </is>
      </c>
      <c r="E342" s="717" t="n">
        <v>105.3</v>
      </c>
      <c r="F342" s="718" t="n">
        <v>4</v>
      </c>
      <c r="G342" s="719" t="n">
        <v>0</v>
      </c>
      <c r="H342" s="719" t="n">
        <v>16</v>
      </c>
      <c r="I342" s="719" t="n">
        <v>390</v>
      </c>
      <c r="J342" s="720" t="n">
        <v>16</v>
      </c>
      <c r="K342" s="719" t="n">
        <v>406</v>
      </c>
      <c r="L342" s="717" t="n">
        <v>18</v>
      </c>
      <c r="M342" s="721" t="n">
        <v>7308</v>
      </c>
      <c r="N342" s="718" t="n">
        <v>4</v>
      </c>
      <c r="O342" s="722" t="inlineStr">
        <is>
          <t>Transfer to China Market</t>
        </is>
      </c>
    </row>
    <row r="343" hidden="1" ht="18" customHeight="1" s="229">
      <c r="A343" s="682" t="inlineStr">
        <is>
          <t>Breeze Jacket</t>
        </is>
      </c>
      <c r="B343" s="682" t="inlineStr">
        <is>
          <t>Active</t>
        </is>
      </c>
      <c r="C343" s="682" t="inlineStr">
        <is>
          <t>Very low sales (&lt;$500 in 90 days)</t>
        </is>
      </c>
      <c r="D343" s="733" t="inlineStr">
        <is>
          <t>4 — LOW (natural sellthrough)</t>
        </is>
      </c>
      <c r="E343" s="684" t="n">
        <v>313.26</v>
      </c>
      <c r="F343" s="685" t="n">
        <v>3</v>
      </c>
      <c r="G343" s="686" t="n">
        <v>0</v>
      </c>
      <c r="H343" s="686" t="n">
        <v>24</v>
      </c>
      <c r="I343" s="686" t="n">
        <v>27</v>
      </c>
      <c r="J343" s="687" t="n">
        <v>24</v>
      </c>
      <c r="K343" s="686" t="n">
        <v>51</v>
      </c>
      <c r="L343" s="684" t="n">
        <v>18</v>
      </c>
      <c r="M343" s="688" t="n">
        <v>918</v>
      </c>
      <c r="N343" s="685" t="n">
        <v>2</v>
      </c>
      <c r="O343" s="689" t="inlineStr">
        <is>
          <t>Transfer to China Market</t>
        </is>
      </c>
    </row>
    <row r="344" hidden="1" ht="18" customHeight="1" s="229">
      <c r="A344" s="707" t="inlineStr">
        <is>
          <t>Boat Neck Merino Wool Sweater</t>
        </is>
      </c>
      <c r="B344" s="707" t="inlineStr">
        <is>
          <t>Loungewear</t>
        </is>
      </c>
      <c r="C344" s="707" t="inlineStr">
        <is>
          <t>Low sales (&lt;$1K in 90 days)</t>
        </is>
      </c>
      <c r="D344" s="708" t="inlineStr">
        <is>
          <t>4 — LOW (natural sellthrough)</t>
        </is>
      </c>
      <c r="E344" s="709" t="n">
        <v>907.41</v>
      </c>
      <c r="F344" s="710" t="n">
        <v>11</v>
      </c>
      <c r="G344" s="711" t="n">
        <v>0</v>
      </c>
      <c r="H344" s="711" t="n">
        <v>8</v>
      </c>
      <c r="I344" s="711" t="n">
        <v>90</v>
      </c>
      <c r="J344" s="712" t="n">
        <v>8</v>
      </c>
      <c r="K344" s="711" t="n">
        <v>98</v>
      </c>
      <c r="L344" s="709" t="n">
        <v>15</v>
      </c>
      <c r="M344" s="713" t="n">
        <v>1470</v>
      </c>
      <c r="N344" s="710" t="n">
        <v>3</v>
      </c>
      <c r="O344" s="714" t="inlineStr">
        <is>
          <t>Transfer to China Market</t>
        </is>
      </c>
    </row>
    <row r="345" hidden="1" ht="18" customHeight="1" s="229">
      <c r="A345" s="715" t="inlineStr">
        <is>
          <t>Medium Support M-Back Sports Bra</t>
        </is>
      </c>
      <c r="B345" s="715" t="inlineStr">
        <is>
          <t>Active</t>
        </is>
      </c>
      <c r="C345" s="715" t="inlineStr">
        <is>
          <t>Low sales (&lt;$1K in 90 days)</t>
        </is>
      </c>
      <c r="D345" s="732" t="inlineStr">
        <is>
          <t>4 — LOW (natural sellthrough)</t>
        </is>
      </c>
      <c r="E345" s="717" t="n">
        <v>876.4599999999999</v>
      </c>
      <c r="F345" s="718" t="n">
        <v>23</v>
      </c>
      <c r="G345" s="719" t="n">
        <v>2</v>
      </c>
      <c r="H345" s="719" t="n">
        <v>15</v>
      </c>
      <c r="I345" s="719" t="n">
        <v>37</v>
      </c>
      <c r="J345" s="720" t="n">
        <v>17</v>
      </c>
      <c r="K345" s="719" t="n">
        <v>54</v>
      </c>
      <c r="L345" s="717" t="n">
        <v>18</v>
      </c>
      <c r="M345" s="721" t="n">
        <v>972</v>
      </c>
      <c r="N345" s="718" t="n">
        <v>4</v>
      </c>
      <c r="O345" s="736" t="inlineStr">
        <is>
          <t>Split: Flash Sale (US) + Transfer to China</t>
        </is>
      </c>
    </row>
    <row r="346" hidden="1" ht="18" customHeight="1" s="229">
      <c r="A346" s="690" t="inlineStr">
        <is>
          <t>Teddy Fleece Jacket</t>
        </is>
      </c>
      <c r="B346" s="690" t="inlineStr">
        <is>
          <t>Loungewear</t>
        </is>
      </c>
      <c r="C346" s="690" t="inlineStr">
        <is>
          <t>Below threshold — long tail</t>
        </is>
      </c>
      <c r="D346" s="691" t="inlineStr">
        <is>
          <t>4 — LOW (natural sellthrough)</t>
        </is>
      </c>
      <c r="E346" s="692" t="n">
        <v>1322.63</v>
      </c>
      <c r="F346" s="693" t="n">
        <v>28</v>
      </c>
      <c r="G346" s="694" t="n">
        <v>0</v>
      </c>
      <c r="H346" s="694" t="n">
        <v>5</v>
      </c>
      <c r="I346" s="694" t="n">
        <v>111</v>
      </c>
      <c r="J346" s="695" t="n">
        <v>5</v>
      </c>
      <c r="K346" s="694" t="n">
        <v>116</v>
      </c>
      <c r="L346" s="692" t="n">
        <v>15</v>
      </c>
      <c r="M346" s="696" t="n">
        <v>1740</v>
      </c>
      <c r="N346" s="693" t="n">
        <v>5</v>
      </c>
      <c r="O346" s="697" t="inlineStr">
        <is>
          <t>Transfer to China Market</t>
        </is>
      </c>
    </row>
    <row r="347" hidden="1" ht="18" customHeight="1" s="229">
      <c r="A347" s="707" t="inlineStr">
        <is>
          <t>Hang Out Maxi Dress</t>
        </is>
      </c>
      <c r="B347" s="707" t="inlineStr">
        <is>
          <t>Loungewear</t>
        </is>
      </c>
      <c r="C347" s="707" t="inlineStr">
        <is>
          <t>Very low sales (&lt;$500 in 90 days)</t>
        </is>
      </c>
      <c r="D347" s="708" t="inlineStr">
        <is>
          <t>4 — LOW (natural sellthrough)</t>
        </is>
      </c>
      <c r="E347" s="709" t="n">
        <v>361.2</v>
      </c>
      <c r="F347" s="710" t="n">
        <v>5</v>
      </c>
      <c r="G347" s="711" t="n">
        <v>0</v>
      </c>
      <c r="H347" s="711" t="n">
        <v>15</v>
      </c>
      <c r="I347" s="711" t="n">
        <v>172</v>
      </c>
      <c r="J347" s="712" t="n">
        <v>15</v>
      </c>
      <c r="K347" s="711" t="n">
        <v>187</v>
      </c>
      <c r="L347" s="709" t="n">
        <v>15</v>
      </c>
      <c r="M347" s="713" t="n">
        <v>2805</v>
      </c>
      <c r="N347" s="710" t="n">
        <v>5</v>
      </c>
      <c r="O347" s="714" t="inlineStr">
        <is>
          <t>Transfer to China Market</t>
        </is>
      </c>
    </row>
    <row r="348" hidden="1" ht="18" customHeight="1" s="229">
      <c r="A348" s="682" t="inlineStr">
        <is>
          <t>Core High Support Leggings</t>
        </is>
      </c>
      <c r="B348" s="682" t="inlineStr">
        <is>
          <t>Active</t>
        </is>
      </c>
      <c r="C348" s="682" t="inlineStr">
        <is>
          <t>Very low sales (&lt;$500 in 90 days)</t>
        </is>
      </c>
      <c r="D348" s="733" t="inlineStr">
        <is>
          <t>4 — LOW (natural sellthrough)</t>
        </is>
      </c>
      <c r="E348" s="684" t="n">
        <v>398.44</v>
      </c>
      <c r="F348" s="685" t="n">
        <v>9</v>
      </c>
      <c r="G348" s="686" t="n">
        <v>0</v>
      </c>
      <c r="H348" s="686" t="n">
        <v>6</v>
      </c>
      <c r="I348" s="686" t="n">
        <v>111</v>
      </c>
      <c r="J348" s="687" t="n">
        <v>6</v>
      </c>
      <c r="K348" s="686" t="n">
        <v>117</v>
      </c>
      <c r="L348" s="684" t="n">
        <v>18</v>
      </c>
      <c r="M348" s="688" t="n">
        <v>2106</v>
      </c>
      <c r="N348" s="685" t="n">
        <v>4</v>
      </c>
      <c r="O348" s="689" t="inlineStr">
        <is>
          <t>Transfer to China Market</t>
        </is>
      </c>
    </row>
    <row r="349" hidden="1" ht="18" customHeight="1" s="229">
      <c r="A349" s="715" t="inlineStr">
        <is>
          <t>NEIWAI ACTIVE X NYCB Asymmetric Long Sleeve Top</t>
        </is>
      </c>
      <c r="B349" s="715" t="inlineStr">
        <is>
          <t>Active</t>
        </is>
      </c>
      <c r="C349" s="715" t="inlineStr">
        <is>
          <t>NYCB collab — dead inventory, no velocity</t>
        </is>
      </c>
      <c r="D349" s="732" t="inlineStr">
        <is>
          <t>4 — LOW (natural sellthrough)</t>
        </is>
      </c>
      <c r="E349" s="717" t="n">
        <v>445.05</v>
      </c>
      <c r="F349" s="718" t="n">
        <v>8</v>
      </c>
      <c r="G349" s="719" t="n">
        <v>0</v>
      </c>
      <c r="H349" s="719" t="n">
        <v>5</v>
      </c>
      <c r="I349" s="719" t="n">
        <v>0</v>
      </c>
      <c r="J349" s="720" t="n">
        <v>5</v>
      </c>
      <c r="K349" s="719" t="n">
        <v>5</v>
      </c>
      <c r="L349" s="717" t="n">
        <v>18</v>
      </c>
      <c r="M349" s="721" t="n">
        <v>90</v>
      </c>
      <c r="N349" s="718" t="n">
        <v>5</v>
      </c>
      <c r="O349" s="722" t="inlineStr">
        <is>
          <t>Transfer to China Market</t>
        </is>
      </c>
    </row>
    <row r="350" hidden="1" ht="18" customHeight="1" s="229">
      <c r="A350" s="690" t="inlineStr">
        <is>
          <t>Stroll Long Sleeve Pajama Top</t>
        </is>
      </c>
      <c r="B350" s="690" t="inlineStr">
        <is>
          <t>Loungewear</t>
        </is>
      </c>
      <c r="C350" s="690" t="inlineStr">
        <is>
          <t>Negligible sales (&lt;$100 in 90 days)</t>
        </is>
      </c>
      <c r="D350" s="691" t="inlineStr">
        <is>
          <t>4 — LOW (natural sellthrough)</t>
        </is>
      </c>
      <c r="E350" s="692" t="n">
        <v>53.82</v>
      </c>
      <c r="F350" s="693" t="n">
        <v>2</v>
      </c>
      <c r="G350" s="694" t="n">
        <v>0</v>
      </c>
      <c r="H350" s="694" t="n">
        <v>24</v>
      </c>
      <c r="I350" s="694" t="n">
        <v>65</v>
      </c>
      <c r="J350" s="695" t="n">
        <v>24</v>
      </c>
      <c r="K350" s="694" t="n">
        <v>89</v>
      </c>
      <c r="L350" s="692" t="n">
        <v>15</v>
      </c>
      <c r="M350" s="696" t="n">
        <v>1335</v>
      </c>
      <c r="N350" s="693" t="n">
        <v>3</v>
      </c>
      <c r="O350" s="697" t="inlineStr">
        <is>
          <t>Transfer to China Market</t>
        </is>
      </c>
    </row>
    <row r="351" hidden="1" ht="18" customHeight="1" s="229">
      <c r="A351" s="658" t="inlineStr">
        <is>
          <t>Pantie Pro Overnight Mid Waist Period Brief</t>
        </is>
      </c>
      <c r="B351" s="658" t="inlineStr">
        <is>
          <t>Underwear</t>
        </is>
      </c>
      <c r="C351" s="658" t="inlineStr">
        <is>
          <t>Very low sales (&lt;$500 in 90 days)</t>
        </is>
      </c>
      <c r="D351" s="668" t="inlineStr">
        <is>
          <t>4 — LOW (natural sellthrough)</t>
        </is>
      </c>
      <c r="E351" s="660" t="n">
        <v>202.91</v>
      </c>
      <c r="F351" s="661" t="n">
        <v>7</v>
      </c>
      <c r="G351" s="662" t="n">
        <v>0</v>
      </c>
      <c r="H351" s="662" t="n">
        <v>13</v>
      </c>
      <c r="I351" s="662" t="n">
        <v>125</v>
      </c>
      <c r="J351" s="663" t="n">
        <v>13</v>
      </c>
      <c r="K351" s="662" t="n">
        <v>138</v>
      </c>
      <c r="L351" s="660" t="n">
        <v>10</v>
      </c>
      <c r="M351" s="669" t="n">
        <v>1380</v>
      </c>
      <c r="N351" s="661" t="n">
        <v>6</v>
      </c>
      <c r="O351" s="681" t="inlineStr">
        <is>
          <t>Transfer to China Market</t>
        </is>
      </c>
    </row>
    <row r="352" hidden="1" ht="18" customHeight="1" s="229">
      <c r="A352" s="707" t="inlineStr">
        <is>
          <t>Essential Classic Tee</t>
        </is>
      </c>
      <c r="B352" s="707" t="inlineStr">
        <is>
          <t>Loungewear</t>
        </is>
      </c>
      <c r="C352" s="707" t="inlineStr">
        <is>
          <t>Very low sales (&lt;$500 in 90 days)</t>
        </is>
      </c>
      <c r="D352" s="708" t="inlineStr">
        <is>
          <t>4 — LOW (natural sellthrough)</t>
        </is>
      </c>
      <c r="E352" s="709" t="n">
        <v>228.1</v>
      </c>
      <c r="F352" s="710" t="n">
        <v>9</v>
      </c>
      <c r="G352" s="711" t="n">
        <v>2</v>
      </c>
      <c r="H352" s="711" t="n">
        <v>10</v>
      </c>
      <c r="I352" s="711" t="n">
        <v>122</v>
      </c>
      <c r="J352" s="712" t="n">
        <v>12</v>
      </c>
      <c r="K352" s="711" t="n">
        <v>134</v>
      </c>
      <c r="L352" s="709" t="n">
        <v>15</v>
      </c>
      <c r="M352" s="713" t="n">
        <v>2010</v>
      </c>
      <c r="N352" s="710" t="n">
        <v>3</v>
      </c>
      <c r="O352" s="749" t="inlineStr">
        <is>
          <t>Split: Flash Sale (US) + Transfer to China</t>
        </is>
      </c>
    </row>
    <row r="353" hidden="1" ht="18" customHeight="1" s="229">
      <c r="A353" s="690" t="inlineStr">
        <is>
          <t>Box Fit Pajama Top</t>
        </is>
      </c>
      <c r="B353" s="690" t="inlineStr">
        <is>
          <t>Loungewear</t>
        </is>
      </c>
      <c r="C353" s="690" t="inlineStr">
        <is>
          <t>Very low sales (&lt;$500 in 90 days)</t>
        </is>
      </c>
      <c r="D353" s="691" t="inlineStr">
        <is>
          <t>4 — LOW (natural sellthrough)</t>
        </is>
      </c>
      <c r="E353" s="692" t="n">
        <v>239.92</v>
      </c>
      <c r="F353" s="693" t="n">
        <v>8</v>
      </c>
      <c r="G353" s="694" t="n">
        <v>3</v>
      </c>
      <c r="H353" s="694" t="n">
        <v>7</v>
      </c>
      <c r="I353" s="694" t="n">
        <v>31</v>
      </c>
      <c r="J353" s="695" t="n">
        <v>10</v>
      </c>
      <c r="K353" s="694" t="n">
        <v>41</v>
      </c>
      <c r="L353" s="692" t="n">
        <v>15</v>
      </c>
      <c r="M353" s="696" t="n">
        <v>615</v>
      </c>
      <c r="N353" s="693" t="n">
        <v>3</v>
      </c>
      <c r="O353" s="737" t="inlineStr">
        <is>
          <t>Split: Flash Sale (US) + Transfer to China</t>
        </is>
      </c>
    </row>
    <row r="354" hidden="1" ht="18" customHeight="1" s="229">
      <c r="A354" s="707" t="inlineStr">
        <is>
          <t>Classic Merino Wool Sleeveless Turtleneck</t>
        </is>
      </c>
      <c r="B354" s="707" t="inlineStr">
        <is>
          <t>Loungewear</t>
        </is>
      </c>
      <c r="C354" s="707" t="inlineStr">
        <is>
          <t>Low sales (&lt;$1K in 90 days)</t>
        </is>
      </c>
      <c r="D354" s="708" t="inlineStr">
        <is>
          <t>4 — LOW (natural sellthrough)</t>
        </is>
      </c>
      <c r="E354" s="709" t="n">
        <v>569.63</v>
      </c>
      <c r="F354" s="710" t="n">
        <v>10</v>
      </c>
      <c r="G354" s="711" t="n">
        <v>0</v>
      </c>
      <c r="H354" s="711" t="n">
        <v>8</v>
      </c>
      <c r="I354" s="711" t="n">
        <v>327</v>
      </c>
      <c r="J354" s="712" t="n">
        <v>8</v>
      </c>
      <c r="K354" s="711" t="n">
        <v>335</v>
      </c>
      <c r="L354" s="709" t="n">
        <v>15</v>
      </c>
      <c r="M354" s="713" t="n">
        <v>5025</v>
      </c>
      <c r="N354" s="710" t="n">
        <v>3</v>
      </c>
      <c r="O354" s="714" t="inlineStr">
        <is>
          <t>Transfer to China Market</t>
        </is>
      </c>
    </row>
    <row r="355" hidden="1" ht="18" customHeight="1" s="229">
      <c r="A355" s="682" t="inlineStr">
        <is>
          <t>NEIWAI ACTIVE X NYCB Mousse Fixed Cup Light Support Sports Bra</t>
        </is>
      </c>
      <c r="B355" s="682" t="inlineStr">
        <is>
          <t>Active</t>
        </is>
      </c>
      <c r="C355" s="682" t="inlineStr">
        <is>
          <t>NYCB collab — dead inventory, no velocity</t>
        </is>
      </c>
      <c r="D355" s="733" t="inlineStr">
        <is>
          <t>4 — LOW (natural sellthrough)</t>
        </is>
      </c>
      <c r="E355" s="684" t="n">
        <v>186.81</v>
      </c>
      <c r="F355" s="685" t="n">
        <v>4</v>
      </c>
      <c r="G355" s="686" t="n">
        <v>16</v>
      </c>
      <c r="H355" s="686" t="n">
        <v>7</v>
      </c>
      <c r="I355" s="686" t="n">
        <v>7</v>
      </c>
      <c r="J355" s="687" t="n">
        <v>23</v>
      </c>
      <c r="K355" s="686" t="n">
        <v>30</v>
      </c>
      <c r="L355" s="684" t="n">
        <v>18</v>
      </c>
      <c r="M355" s="688" t="n">
        <v>540</v>
      </c>
      <c r="N355" s="685" t="n">
        <v>4</v>
      </c>
      <c r="O355" s="738" t="inlineStr">
        <is>
          <t>Split: Flash Sale (US) + Transfer to China</t>
        </is>
      </c>
    </row>
    <row r="356" hidden="1" ht="18" customHeight="1" s="229">
      <c r="A356" s="715" t="inlineStr">
        <is>
          <t>Breeze Light Sun Block Jacket</t>
        </is>
      </c>
      <c r="B356" s="715" t="inlineStr">
        <is>
          <t>Active</t>
        </is>
      </c>
      <c r="C356" s="715" t="inlineStr">
        <is>
          <t>Low sales (&lt;$1K in 90 days)</t>
        </is>
      </c>
      <c r="D356" s="732" t="inlineStr">
        <is>
          <t>4 — LOW (natural sellthrough)</t>
        </is>
      </c>
      <c r="E356" s="717" t="n">
        <v>718.35</v>
      </c>
      <c r="F356" s="718" t="n">
        <v>9</v>
      </c>
      <c r="G356" s="719" t="n">
        <v>0</v>
      </c>
      <c r="H356" s="719" t="n">
        <v>7</v>
      </c>
      <c r="I356" s="719" t="n">
        <v>52</v>
      </c>
      <c r="J356" s="720" t="n">
        <v>7</v>
      </c>
      <c r="K356" s="719" t="n">
        <v>59</v>
      </c>
      <c r="L356" s="717" t="n">
        <v>18</v>
      </c>
      <c r="M356" s="721" t="n">
        <v>1062</v>
      </c>
      <c r="N356" s="718" t="n">
        <v>3</v>
      </c>
      <c r="O356" s="722" t="inlineStr">
        <is>
          <t>Transfer to China Market</t>
        </is>
      </c>
    </row>
    <row r="357" hidden="1" ht="18" customHeight="1" s="229">
      <c r="A357" s="682" t="inlineStr">
        <is>
          <t>Ballet Drawstring Leggings</t>
        </is>
      </c>
      <c r="B357" s="682" t="inlineStr">
        <is>
          <t>Active</t>
        </is>
      </c>
      <c r="C357" s="682" t="inlineStr">
        <is>
          <t>Negligible sales (&lt;$100 in 90 days)</t>
        </is>
      </c>
      <c r="D357" s="733" t="inlineStr">
        <is>
          <t>4 — LOW (natural sellthrough)</t>
        </is>
      </c>
      <c r="E357" s="684" t="n">
        <v>90.3</v>
      </c>
      <c r="F357" s="685" t="n">
        <v>1</v>
      </c>
      <c r="G357" s="686" t="n">
        <v>0</v>
      </c>
      <c r="H357" s="686" t="n">
        <v>19</v>
      </c>
      <c r="I357" s="686" t="n">
        <v>20</v>
      </c>
      <c r="J357" s="687" t="n">
        <v>19</v>
      </c>
      <c r="K357" s="686" t="n">
        <v>39</v>
      </c>
      <c r="L357" s="684" t="n">
        <v>18</v>
      </c>
      <c r="M357" s="688" t="n">
        <v>702</v>
      </c>
      <c r="N357" s="685" t="n">
        <v>3</v>
      </c>
      <c r="O357" s="689" t="inlineStr">
        <is>
          <t>Transfer to China Market</t>
        </is>
      </c>
    </row>
    <row r="358" hidden="1" ht="18" customHeight="1" s="229">
      <c r="A358" s="715" t="inlineStr">
        <is>
          <t>NEIWAI ACTIVE X Andrea Jiapei Li Cutout Unitard</t>
        </is>
      </c>
      <c r="B358" s="715" t="inlineStr">
        <is>
          <t>Active</t>
        </is>
      </c>
      <c r="C358" s="715" t="inlineStr">
        <is>
          <t>Very low sales (&lt;$500 in 90 days)</t>
        </is>
      </c>
      <c r="D358" s="732" t="inlineStr">
        <is>
          <t>4 — LOW (natural sellthrough)</t>
        </is>
      </c>
      <c r="E358" s="717" t="n">
        <v>479.78</v>
      </c>
      <c r="F358" s="718" t="n">
        <v>6</v>
      </c>
      <c r="G358" s="719" t="n">
        <v>0</v>
      </c>
      <c r="H358" s="719" t="n">
        <v>17</v>
      </c>
      <c r="I358" s="719" t="n">
        <v>75</v>
      </c>
      <c r="J358" s="720" t="n">
        <v>17</v>
      </c>
      <c r="K358" s="719" t="n">
        <v>92</v>
      </c>
      <c r="L358" s="717" t="n">
        <v>18</v>
      </c>
      <c r="M358" s="721" t="n">
        <v>1656</v>
      </c>
      <c r="N358" s="718" t="n">
        <v>3</v>
      </c>
      <c r="O358" s="722" t="inlineStr">
        <is>
          <t>Transfer to China Market</t>
        </is>
      </c>
    </row>
    <row r="359" hidden="1" ht="18" customHeight="1" s="229">
      <c r="A359" s="690" t="inlineStr">
        <is>
          <t>Sofa Pajama Dress</t>
        </is>
      </c>
      <c r="B359" s="690" t="inlineStr">
        <is>
          <t>Loungewear</t>
        </is>
      </c>
      <c r="C359" s="690" t="inlineStr">
        <is>
          <t>Zero/negative sales</t>
        </is>
      </c>
      <c r="D359" s="734" t="inlineStr">
        <is>
          <t>2 — HIGH (dead product)</t>
        </is>
      </c>
      <c r="E359" s="692" t="n">
        <v>0</v>
      </c>
      <c r="F359" s="693" t="n">
        <v>0</v>
      </c>
      <c r="G359" s="694" t="n">
        <v>6</v>
      </c>
      <c r="H359" s="694" t="n">
        <v>0</v>
      </c>
      <c r="I359" s="694" t="n">
        <v>0</v>
      </c>
      <c r="J359" s="695" t="n">
        <v>6</v>
      </c>
      <c r="K359" s="694" t="n">
        <v>6</v>
      </c>
      <c r="L359" s="692" t="n">
        <v>15</v>
      </c>
      <c r="M359" s="696" t="n">
        <v>90</v>
      </c>
      <c r="N359" s="693" t="n">
        <v>2</v>
      </c>
      <c r="O359" s="761" t="inlineStr">
        <is>
          <t>US Flash Sale</t>
        </is>
      </c>
    </row>
    <row r="360" hidden="1" ht="18" customHeight="1" s="229">
      <c r="A360" s="651" t="inlineStr">
        <is>
          <t>Barely Zero Mid Waist Brief 2.0 - TikTok</t>
        </is>
      </c>
      <c r="B360" s="651" t="inlineStr">
        <is>
          <t>Underwear</t>
        </is>
      </c>
      <c r="C360" s="651" t="inlineStr">
        <is>
          <t>TikTok duplicate — massive dead inventory</t>
        </is>
      </c>
      <c r="D360" s="698" t="inlineStr">
        <is>
          <t>2 — HIGH (dead product)</t>
        </is>
      </c>
      <c r="E360" s="653" t="n">
        <v>0</v>
      </c>
      <c r="F360" s="654" t="n">
        <v>0</v>
      </c>
      <c r="G360" s="655" t="n">
        <v>0</v>
      </c>
      <c r="H360" s="655" t="n">
        <v>0</v>
      </c>
      <c r="I360" s="655" t="n">
        <v>0</v>
      </c>
      <c r="J360" s="656" t="n">
        <v>0</v>
      </c>
      <c r="K360" s="655" t="n">
        <v>0</v>
      </c>
      <c r="L360" s="653" t="n">
        <v>10</v>
      </c>
      <c r="M360" s="653">
        <f>K360*L360</f>
        <v/>
      </c>
      <c r="N360" s="654" t="n">
        <v>3</v>
      </c>
      <c r="O360" s="657" t="inlineStr">
        <is>
          <t>Data Pending — Verify</t>
        </is>
      </c>
    </row>
    <row r="361" hidden="1" ht="18" customHeight="1" s="229">
      <c r="A361" s="707" t="inlineStr">
        <is>
          <t>Stroll Short Sleeve Pajama Top</t>
        </is>
      </c>
      <c r="B361" s="707" t="inlineStr">
        <is>
          <t>Loungewear</t>
        </is>
      </c>
      <c r="C361" s="707" t="inlineStr">
        <is>
          <t>Negligible sales (&lt;$100 in 90 days)</t>
        </is>
      </c>
      <c r="D361" s="708" t="inlineStr">
        <is>
          <t>4 — LOW (natural sellthrough)</t>
        </is>
      </c>
      <c r="E361" s="709" t="n">
        <v>27.3</v>
      </c>
      <c r="F361" s="710" t="n">
        <v>1</v>
      </c>
      <c r="G361" s="711" t="n">
        <v>3</v>
      </c>
      <c r="H361" s="711" t="n">
        <v>8</v>
      </c>
      <c r="I361" s="711" t="n">
        <v>109</v>
      </c>
      <c r="J361" s="712" t="n">
        <v>11</v>
      </c>
      <c r="K361" s="711" t="n">
        <v>120</v>
      </c>
      <c r="L361" s="709" t="n">
        <v>15</v>
      </c>
      <c r="M361" s="713" t="n">
        <v>1800</v>
      </c>
      <c r="N361" s="710" t="n">
        <v>1</v>
      </c>
      <c r="O361" s="749" t="inlineStr">
        <is>
          <t>Split: Flash Sale (US) + Transfer to China</t>
        </is>
      </c>
    </row>
    <row r="362" hidden="1" ht="18" customHeight="1" s="229">
      <c r="A362" s="658" t="inlineStr">
        <is>
          <t>Thin¬†Strap¬†Low¬†Waist¬†Brief</t>
        </is>
      </c>
      <c r="B362" s="658" t="inlineStr">
        <is>
          <t>Underwear</t>
        </is>
      </c>
      <c r="C362" s="658" t="inlineStr">
        <is>
          <t>Very low sales (&lt;$500 in 90 days)</t>
        </is>
      </c>
      <c r="D362" s="668" t="inlineStr">
        <is>
          <t>4 — LOW (natural sellthrough)</t>
        </is>
      </c>
      <c r="E362" s="660" t="n">
        <v>120.51</v>
      </c>
      <c r="F362" s="661" t="n">
        <v>7</v>
      </c>
      <c r="G362" s="662" t="n">
        <v>0</v>
      </c>
      <c r="H362" s="662" t="n">
        <v>4</v>
      </c>
      <c r="I362" s="662" t="n">
        <v>33</v>
      </c>
      <c r="J362" s="663" t="n">
        <v>4</v>
      </c>
      <c r="K362" s="662" t="n">
        <v>37</v>
      </c>
      <c r="L362" s="660" t="n">
        <v>10</v>
      </c>
      <c r="M362" s="669" t="n">
        <v>370</v>
      </c>
      <c r="N362" s="661" t="n">
        <v>1</v>
      </c>
      <c r="O362" s="681" t="inlineStr">
        <is>
          <t>Transfer to China Market</t>
        </is>
      </c>
    </row>
    <row r="363" hidden="1" ht="18" customHeight="1" s="229">
      <c r="A363" s="690" t="inlineStr">
        <is>
          <t>Alpaca Wrap Cardigan</t>
        </is>
      </c>
      <c r="B363" s="690" t="inlineStr">
        <is>
          <t>Loungewear</t>
        </is>
      </c>
      <c r="C363" s="690" t="inlineStr">
        <is>
          <t>Below threshold — long tail</t>
        </is>
      </c>
      <c r="D363" s="691" t="inlineStr">
        <is>
          <t>4 — LOW (natural sellthrough)</t>
        </is>
      </c>
      <c r="E363" s="692" t="n">
        <v>1059.86</v>
      </c>
      <c r="F363" s="693" t="n">
        <v>8</v>
      </c>
      <c r="G363" s="694" t="n">
        <v>0</v>
      </c>
      <c r="H363" s="694" t="n">
        <v>11</v>
      </c>
      <c r="I363" s="694" t="n">
        <v>133</v>
      </c>
      <c r="J363" s="695" t="n">
        <v>11</v>
      </c>
      <c r="K363" s="694" t="n">
        <v>144</v>
      </c>
      <c r="L363" s="692" t="n">
        <v>15</v>
      </c>
      <c r="M363" s="696" t="n">
        <v>2160</v>
      </c>
      <c r="N363" s="693" t="n">
        <v>3</v>
      </c>
      <c r="O363" s="697" t="inlineStr">
        <is>
          <t>Transfer to China Market</t>
        </is>
      </c>
    </row>
    <row r="364" hidden="1" ht="18" customHeight="1" s="229">
      <c r="A364" s="682" t="inlineStr">
        <is>
          <t>Half-Zip Sweatshirt</t>
        </is>
      </c>
      <c r="B364" s="682" t="inlineStr">
        <is>
          <t>Active</t>
        </is>
      </c>
      <c r="C364" s="682" t="inlineStr">
        <is>
          <t>Very low sales (&lt;$500 in 90 days)</t>
        </is>
      </c>
      <c r="D364" s="733" t="inlineStr">
        <is>
          <t>4 — LOW (natural sellthrough)</t>
        </is>
      </c>
      <c r="E364" s="684" t="n">
        <v>129.5</v>
      </c>
      <c r="F364" s="685" t="n">
        <v>1</v>
      </c>
      <c r="G364" s="686" t="n">
        <v>0</v>
      </c>
      <c r="H364" s="686" t="n">
        <v>14</v>
      </c>
      <c r="I364" s="686" t="n">
        <v>192</v>
      </c>
      <c r="J364" s="687" t="n">
        <v>14</v>
      </c>
      <c r="K364" s="686" t="n">
        <v>206</v>
      </c>
      <c r="L364" s="684" t="n">
        <v>18</v>
      </c>
      <c r="M364" s="688" t="n">
        <v>3708</v>
      </c>
      <c r="N364" s="685" t="n">
        <v>2</v>
      </c>
      <c r="O364" s="689" t="inlineStr">
        <is>
          <t>Transfer to China Market</t>
        </is>
      </c>
    </row>
    <row r="365" hidden="1" ht="18" customHeight="1" s="229">
      <c r="A365" s="739" t="inlineStr">
        <is>
          <t>Laid Back Ribbed Pajama Top</t>
        </is>
      </c>
      <c r="B365" s="739" t="inlineStr">
        <is>
          <t>Sample</t>
        </is>
      </c>
      <c r="C365" s="739" t="inlineStr">
        <is>
          <t>Very low sales (&lt;$500 in 90 days)</t>
        </is>
      </c>
      <c r="D365" s="760" t="inlineStr">
        <is>
          <t>4 — LOW (natural sellthrough)</t>
        </is>
      </c>
      <c r="E365" s="741" t="n">
        <v>224.79</v>
      </c>
      <c r="F365" s="742" t="n">
        <v>7</v>
      </c>
      <c r="G365" s="743" t="n">
        <v>0</v>
      </c>
      <c r="H365" s="743" t="n">
        <v>26</v>
      </c>
      <c r="I365" s="743" t="n">
        <v>174</v>
      </c>
      <c r="J365" s="744" t="n">
        <v>26</v>
      </c>
      <c r="K365" s="743" t="n">
        <v>200</v>
      </c>
      <c r="L365" s="741" t="n">
        <v>8</v>
      </c>
      <c r="M365" s="745" t="n">
        <v>1600</v>
      </c>
      <c r="N365" s="742" t="n">
        <v>4</v>
      </c>
      <c r="O365" s="746" t="inlineStr">
        <is>
          <t>Transfer to China Market</t>
        </is>
      </c>
    </row>
    <row r="366" hidden="1" ht="18" customHeight="1" s="229">
      <c r="A366" s="715" t="inlineStr">
        <is>
          <t>Core Low-Intensity Seamless Leggings</t>
        </is>
      </c>
      <c r="B366" s="715" t="inlineStr">
        <is>
          <t>Active</t>
        </is>
      </c>
      <c r="C366" s="715" t="inlineStr">
        <is>
          <t>Negligible sales (&lt;$100 in 90 days)</t>
        </is>
      </c>
      <c r="D366" s="732" t="inlineStr">
        <is>
          <t>4 — LOW (natural sellthrough)</t>
        </is>
      </c>
      <c r="E366" s="717" t="n">
        <v>82.8</v>
      </c>
      <c r="F366" s="718" t="n">
        <v>3</v>
      </c>
      <c r="G366" s="719" t="n">
        <v>0</v>
      </c>
      <c r="H366" s="719" t="n">
        <v>9</v>
      </c>
      <c r="I366" s="719" t="n">
        <v>76</v>
      </c>
      <c r="J366" s="720" t="n">
        <v>9</v>
      </c>
      <c r="K366" s="719" t="n">
        <v>85</v>
      </c>
      <c r="L366" s="717" t="n">
        <v>18</v>
      </c>
      <c r="M366" s="721" t="n">
        <v>1530</v>
      </c>
      <c r="N366" s="718" t="n">
        <v>5</v>
      </c>
      <c r="O366" s="722" t="inlineStr">
        <is>
          <t>Transfer to China Market</t>
        </is>
      </c>
    </row>
    <row r="367" hidden="1" ht="18" customHeight="1" s="229">
      <c r="A367" s="707" t="inlineStr">
        <is>
          <t>Sherpa Fleece Pajama Set</t>
        </is>
      </c>
      <c r="B367" s="707" t="inlineStr">
        <is>
          <t>Loungewear</t>
        </is>
      </c>
      <c r="C367" s="707" t="inlineStr">
        <is>
          <t>Low sales (&lt;$1K in 90 days)</t>
        </is>
      </c>
      <c r="D367" s="708" t="inlineStr">
        <is>
          <t>4 — LOW (natural sellthrough)</t>
        </is>
      </c>
      <c r="E367" s="709" t="n">
        <v>517.45</v>
      </c>
      <c r="F367" s="710" t="n">
        <v>8</v>
      </c>
      <c r="G367" s="711" t="n">
        <v>0</v>
      </c>
      <c r="H367" s="711" t="n">
        <v>3</v>
      </c>
      <c r="I367" s="711" t="n">
        <v>0</v>
      </c>
      <c r="J367" s="712" t="n">
        <v>3</v>
      </c>
      <c r="K367" s="711" t="n">
        <v>3</v>
      </c>
      <c r="L367" s="709" t="n">
        <v>15</v>
      </c>
      <c r="M367" s="713" t="n">
        <v>45</v>
      </c>
      <c r="N367" s="710" t="n">
        <v>6</v>
      </c>
      <c r="O367" s="714" t="inlineStr">
        <is>
          <t>Transfer to China Market</t>
        </is>
      </c>
    </row>
    <row r="368" hidden="1" ht="18" customHeight="1" s="229">
      <c r="A368" s="682" t="inlineStr">
        <is>
          <t>Seamless Active T-Shirt</t>
        </is>
      </c>
      <c r="B368" s="682" t="inlineStr">
        <is>
          <t>Active</t>
        </is>
      </c>
      <c r="C368" s="682" t="inlineStr">
        <is>
          <t>Low sales (&lt;$1K in 90 days)</t>
        </is>
      </c>
      <c r="D368" s="733" t="inlineStr">
        <is>
          <t>4 — LOW (natural sellthrough)</t>
        </is>
      </c>
      <c r="E368" s="684" t="n">
        <v>649.7</v>
      </c>
      <c r="F368" s="685" t="n">
        <v>26</v>
      </c>
      <c r="G368" s="686" t="n">
        <v>0</v>
      </c>
      <c r="H368" s="686" t="n">
        <v>4</v>
      </c>
      <c r="I368" s="686" t="n">
        <v>102</v>
      </c>
      <c r="J368" s="687" t="n">
        <v>4</v>
      </c>
      <c r="K368" s="686" t="n">
        <v>106</v>
      </c>
      <c r="L368" s="684" t="n">
        <v>18</v>
      </c>
      <c r="M368" s="688" t="n">
        <v>1908</v>
      </c>
      <c r="N368" s="685" t="n">
        <v>3</v>
      </c>
      <c r="O368" s="689" t="inlineStr">
        <is>
          <t>Transfer to China Market</t>
        </is>
      </c>
    </row>
    <row r="369" hidden="1" ht="18" customHeight="1" s="229">
      <c r="A369" s="690" t="inlineStr">
        <is>
          <t>Hang Out 2-Way Dress</t>
        </is>
      </c>
      <c r="B369" s="690" t="inlineStr">
        <is>
          <t>Loungewear</t>
        </is>
      </c>
      <c r="C369" s="690" t="inlineStr">
        <is>
          <t>Negligible sales (&lt;$100 in 90 days)</t>
        </is>
      </c>
      <c r="D369" s="691" t="inlineStr">
        <is>
          <t>4 — LOW (natural sellthrough)</t>
        </is>
      </c>
      <c r="E369" s="692" t="n">
        <v>56.7</v>
      </c>
      <c r="F369" s="693" t="n">
        <v>1</v>
      </c>
      <c r="G369" s="694" t="n">
        <v>0</v>
      </c>
      <c r="H369" s="694" t="n">
        <v>17</v>
      </c>
      <c r="I369" s="694" t="n">
        <v>267</v>
      </c>
      <c r="J369" s="695" t="n">
        <v>17</v>
      </c>
      <c r="K369" s="694" t="n">
        <v>284</v>
      </c>
      <c r="L369" s="692" t="n">
        <v>15</v>
      </c>
      <c r="M369" s="696" t="n">
        <v>4260</v>
      </c>
      <c r="N369" s="693" t="n">
        <v>2</v>
      </c>
      <c r="O369" s="697" t="inlineStr">
        <is>
          <t>Transfer to China Market</t>
        </is>
      </c>
    </row>
    <row r="370" hidden="1" ht="18" customHeight="1" s="229">
      <c r="A370" s="715" t="inlineStr">
        <is>
          <t>Crew Neck Sweatshirt</t>
        </is>
      </c>
      <c r="B370" s="715" t="inlineStr">
        <is>
          <t>Active</t>
        </is>
      </c>
      <c r="C370" s="715" t="inlineStr">
        <is>
          <t>Negligible sales (&lt;$100 in 90 days)</t>
        </is>
      </c>
      <c r="D370" s="732" t="inlineStr">
        <is>
          <t>4 — LOW (natural sellthrough)</t>
        </is>
      </c>
      <c r="E370" s="717" t="n">
        <v>84.5</v>
      </c>
      <c r="F370" s="718" t="n">
        <v>1</v>
      </c>
      <c r="G370" s="719" t="n">
        <v>0</v>
      </c>
      <c r="H370" s="719" t="n">
        <v>15</v>
      </c>
      <c r="I370" s="719" t="n">
        <v>129</v>
      </c>
      <c r="J370" s="720" t="n">
        <v>15</v>
      </c>
      <c r="K370" s="719" t="n">
        <v>144</v>
      </c>
      <c r="L370" s="717" t="n">
        <v>18</v>
      </c>
      <c r="M370" s="721" t="n">
        <v>2592</v>
      </c>
      <c r="N370" s="718" t="n">
        <v>2</v>
      </c>
      <c r="O370" s="722" t="inlineStr">
        <is>
          <t>Transfer to China Market</t>
        </is>
      </c>
    </row>
    <row r="371" hidden="1" ht="18" customHeight="1" s="229">
      <c r="A371" s="651" t="inlineStr">
        <is>
          <t>Pantie Pro Light Mid Waist Period Brief</t>
        </is>
      </c>
      <c r="B371" s="651" t="inlineStr">
        <is>
          <t>Underwear</t>
        </is>
      </c>
      <c r="C371" s="651" t="inlineStr">
        <is>
          <t>Very low sales (&lt;$500 in 90 days)</t>
        </is>
      </c>
      <c r="D371" s="652" t="inlineStr">
        <is>
          <t>4 — LOW (natural sellthrough)</t>
        </is>
      </c>
      <c r="E371" s="653" t="n">
        <v>375.2</v>
      </c>
      <c r="F371" s="654" t="n">
        <v>15</v>
      </c>
      <c r="G371" s="655" t="n">
        <v>0</v>
      </c>
      <c r="H371" s="655" t="n">
        <v>2</v>
      </c>
      <c r="I371" s="655" t="n">
        <v>54</v>
      </c>
      <c r="J371" s="656" t="n">
        <v>2</v>
      </c>
      <c r="K371" s="655" t="n">
        <v>56</v>
      </c>
      <c r="L371" s="653" t="n">
        <v>10</v>
      </c>
      <c r="M371" s="666" t="n">
        <v>560</v>
      </c>
      <c r="N371" s="654" t="n">
        <v>5</v>
      </c>
      <c r="O371" s="680" t="inlineStr">
        <is>
          <t>Transfer to China Market</t>
        </is>
      </c>
    </row>
    <row r="372" hidden="1" ht="18" customHeight="1" s="229">
      <c r="A372" s="682" t="inlineStr">
        <is>
          <t>Dance Sports Bra</t>
        </is>
      </c>
      <c r="B372" s="682" t="inlineStr">
        <is>
          <t>Active</t>
        </is>
      </c>
      <c r="C372" s="682" t="inlineStr">
        <is>
          <t>Very low sales (&lt;$500 in 90 days)</t>
        </is>
      </c>
      <c r="D372" s="733" t="inlineStr">
        <is>
          <t>4 — LOW (natural sellthrough)</t>
        </is>
      </c>
      <c r="E372" s="684" t="n">
        <v>165.9</v>
      </c>
      <c r="F372" s="685" t="n">
        <v>3</v>
      </c>
      <c r="G372" s="686" t="n">
        <v>3</v>
      </c>
      <c r="H372" s="686" t="n">
        <v>3</v>
      </c>
      <c r="I372" s="686" t="n">
        <v>121</v>
      </c>
      <c r="J372" s="687" t="n">
        <v>6</v>
      </c>
      <c r="K372" s="686" t="n">
        <v>127</v>
      </c>
      <c r="L372" s="684" t="n">
        <v>18</v>
      </c>
      <c r="M372" s="688" t="n">
        <v>2286</v>
      </c>
      <c r="N372" s="685" t="n">
        <v>2</v>
      </c>
      <c r="O372" s="738" t="inlineStr">
        <is>
          <t>Split: Flash Sale (US) + Transfer to China</t>
        </is>
      </c>
    </row>
    <row r="373" hidden="1" ht="18" customHeight="1" s="229">
      <c r="A373" s="707" t="inlineStr">
        <is>
          <t>Vacation Slip Maxi Dress</t>
        </is>
      </c>
      <c r="B373" s="707" t="inlineStr">
        <is>
          <t>Loungewear</t>
        </is>
      </c>
      <c r="C373" s="707" t="inlineStr">
        <is>
          <t>Negligible sales (&lt;$100 in 90 days)</t>
        </is>
      </c>
      <c r="D373" s="708" t="inlineStr">
        <is>
          <t>4 — LOW (natural sellthrough)</t>
        </is>
      </c>
      <c r="E373" s="709" t="n">
        <v>66.78</v>
      </c>
      <c r="F373" s="710" t="n">
        <v>1</v>
      </c>
      <c r="G373" s="711" t="n">
        <v>0</v>
      </c>
      <c r="H373" s="711" t="n">
        <v>16</v>
      </c>
      <c r="I373" s="711" t="n">
        <v>31</v>
      </c>
      <c r="J373" s="712" t="n">
        <v>16</v>
      </c>
      <c r="K373" s="711" t="n">
        <v>47</v>
      </c>
      <c r="L373" s="709" t="n">
        <v>15</v>
      </c>
      <c r="M373" s="713" t="n">
        <v>705</v>
      </c>
      <c r="N373" s="710" t="n">
        <v>1</v>
      </c>
      <c r="O373" s="714" t="inlineStr">
        <is>
          <t>Transfer to China Market</t>
        </is>
      </c>
    </row>
    <row r="374" hidden="1" ht="18" customHeight="1" s="229">
      <c r="A374" s="715" t="inlineStr">
        <is>
          <t>Light Support V-Back Sports Bra</t>
        </is>
      </c>
      <c r="B374" s="715" t="inlineStr">
        <is>
          <t>Active</t>
        </is>
      </c>
      <c r="C374" s="715" t="inlineStr">
        <is>
          <t>Low sales (&lt;$1K in 90 days)</t>
        </is>
      </c>
      <c r="D374" s="732" t="inlineStr">
        <is>
          <t>4 — LOW (natural sellthrough)</t>
        </is>
      </c>
      <c r="E374" s="717" t="n">
        <v>645.84</v>
      </c>
      <c r="F374" s="718" t="n">
        <v>19</v>
      </c>
      <c r="G374" s="719" t="n">
        <v>0</v>
      </c>
      <c r="H374" s="719" t="n">
        <v>8</v>
      </c>
      <c r="I374" s="719" t="n">
        <v>10</v>
      </c>
      <c r="J374" s="720" t="n">
        <v>8</v>
      </c>
      <c r="K374" s="719" t="n">
        <v>18</v>
      </c>
      <c r="L374" s="717" t="n">
        <v>18</v>
      </c>
      <c r="M374" s="721" t="n">
        <v>324</v>
      </c>
      <c r="N374" s="718" t="n">
        <v>3</v>
      </c>
      <c r="O374" s="722" t="inlineStr">
        <is>
          <t>Transfer to China Market</t>
        </is>
      </c>
    </row>
    <row r="375" hidden="1" ht="18" customHeight="1" s="229">
      <c r="A375" s="658" t="inlineStr">
        <is>
          <t>Barely Zero Plunge Bra Red Gift Set</t>
        </is>
      </c>
      <c r="B375" s="658" t="inlineStr">
        <is>
          <t>Underwear</t>
        </is>
      </c>
      <c r="C375" s="658" t="inlineStr">
        <is>
          <t>Bundle/Gift Set — low velocity</t>
        </is>
      </c>
      <c r="D375" s="668" t="inlineStr">
        <is>
          <t>4 — LOW (natural sellthrough)</t>
        </is>
      </c>
      <c r="E375" s="660" t="n">
        <v>140.25</v>
      </c>
      <c r="F375" s="661" t="n">
        <v>3</v>
      </c>
      <c r="G375" s="662" t="n">
        <v>4</v>
      </c>
      <c r="H375" s="662" t="n">
        <v>0</v>
      </c>
      <c r="I375" s="662" t="n">
        <v>0</v>
      </c>
      <c r="J375" s="663" t="n">
        <v>4</v>
      </c>
      <c r="K375" s="662" t="n">
        <v>4</v>
      </c>
      <c r="L375" s="660" t="n">
        <v>10</v>
      </c>
      <c r="M375" s="669" t="n">
        <v>40</v>
      </c>
      <c r="N375" s="661" t="n">
        <v>1</v>
      </c>
      <c r="O375" s="759" t="inlineStr">
        <is>
          <t>US Flash Sale</t>
        </is>
      </c>
    </row>
    <row r="376" hidden="1" ht="18" customHeight="1" s="229">
      <c r="A376" s="690" t="inlineStr">
        <is>
          <t>Silk Cotton Slip Pajama Dress</t>
        </is>
      </c>
      <c r="B376" s="690" t="inlineStr">
        <is>
          <t>Loungewear</t>
        </is>
      </c>
      <c r="C376" s="690" t="inlineStr">
        <is>
          <t>Negligible sales (&lt;$100 in 90 days)</t>
        </is>
      </c>
      <c r="D376" s="691" t="inlineStr">
        <is>
          <t>4 — LOW (natural sellthrough)</t>
        </is>
      </c>
      <c r="E376" s="692" t="n">
        <v>35.64</v>
      </c>
      <c r="F376" s="693" t="n">
        <v>1</v>
      </c>
      <c r="G376" s="694" t="n">
        <v>4</v>
      </c>
      <c r="H376" s="694" t="n">
        <v>0</v>
      </c>
      <c r="I376" s="694" t="n">
        <v>0</v>
      </c>
      <c r="J376" s="695" t="n">
        <v>4</v>
      </c>
      <c r="K376" s="694" t="n">
        <v>4</v>
      </c>
      <c r="L376" s="692" t="n">
        <v>15</v>
      </c>
      <c r="M376" s="696" t="n">
        <v>60</v>
      </c>
      <c r="N376" s="693" t="n">
        <v>1</v>
      </c>
      <c r="O376" s="761" t="inlineStr">
        <is>
          <t>US Flash Sale</t>
        </is>
      </c>
    </row>
    <row r="377" hidden="1" ht="18" customHeight="1" s="229">
      <c r="A377" s="707" t="inlineStr">
        <is>
          <t>Silk Modal Tee</t>
        </is>
      </c>
      <c r="B377" s="707" t="inlineStr">
        <is>
          <t>Loungewear</t>
        </is>
      </c>
      <c r="C377" s="707" t="inlineStr">
        <is>
          <t>Very low sales (&lt;$500 in 90 days)</t>
        </is>
      </c>
      <c r="D377" s="708" t="inlineStr">
        <is>
          <t>4 — LOW (natural sellthrough)</t>
        </is>
      </c>
      <c r="E377" s="709" t="n">
        <v>401.74</v>
      </c>
      <c r="F377" s="710" t="n">
        <v>19</v>
      </c>
      <c r="G377" s="711" t="n">
        <v>0</v>
      </c>
      <c r="H377" s="711" t="n">
        <v>1</v>
      </c>
      <c r="I377" s="711" t="n">
        <v>1759</v>
      </c>
      <c r="J377" s="712" t="n">
        <v>1</v>
      </c>
      <c r="K377" s="711" t="n">
        <v>1760</v>
      </c>
      <c r="L377" s="709" t="n">
        <v>15</v>
      </c>
      <c r="M377" s="713" t="n">
        <v>26400</v>
      </c>
      <c r="N377" s="710" t="n">
        <v>3</v>
      </c>
      <c r="O377" s="714" t="inlineStr">
        <is>
          <t>Transfer to China Market</t>
        </is>
      </c>
    </row>
    <row r="378" hidden="1" ht="18" customHeight="1" s="229">
      <c r="A378" s="651" t="inlineStr">
        <is>
          <t>Barely Zero Plunge Bra Gift Set</t>
        </is>
      </c>
      <c r="B378" s="651" t="inlineStr">
        <is>
          <t>Underwear</t>
        </is>
      </c>
      <c r="C378" s="651" t="inlineStr">
        <is>
          <t>Bundle/Gift Set — low velocity</t>
        </is>
      </c>
      <c r="D378" s="652" t="inlineStr">
        <is>
          <t>4 — LOW (natural sellthrough)</t>
        </is>
      </c>
      <c r="E378" s="653" t="n">
        <v>38.5</v>
      </c>
      <c r="F378" s="654" t="n">
        <v>1</v>
      </c>
      <c r="G378" s="655" t="n">
        <v>3</v>
      </c>
      <c r="H378" s="655" t="n">
        <v>0</v>
      </c>
      <c r="I378" s="655" t="n">
        <v>0</v>
      </c>
      <c r="J378" s="656" t="n">
        <v>3</v>
      </c>
      <c r="K378" s="655" t="n">
        <v>3</v>
      </c>
      <c r="L378" s="653" t="n">
        <v>10</v>
      </c>
      <c r="M378" s="666" t="n">
        <v>30</v>
      </c>
      <c r="N378" s="654" t="n">
        <v>1</v>
      </c>
      <c r="O378" s="762" t="inlineStr">
        <is>
          <t>US Flash Sale</t>
        </is>
      </c>
    </row>
    <row r="379" hidden="1" ht="18" customHeight="1" s="229">
      <c r="A379" s="682" t="inlineStr">
        <is>
          <t>Ballet Pleated Boatneck Bra Top</t>
        </is>
      </c>
      <c r="B379" s="682" t="inlineStr">
        <is>
          <t>Active</t>
        </is>
      </c>
      <c r="C379" s="682" t="inlineStr">
        <is>
          <t>Negligible sales (&lt;$100 in 90 days)</t>
        </is>
      </c>
      <c r="D379" s="733" t="inlineStr">
        <is>
          <t>4 — LOW (natural sellthrough)</t>
        </is>
      </c>
      <c r="E379" s="684" t="n">
        <v>59.5</v>
      </c>
      <c r="F379" s="685" t="n">
        <v>1</v>
      </c>
      <c r="G379" s="686" t="n">
        <v>1</v>
      </c>
      <c r="H379" s="686" t="n">
        <v>0</v>
      </c>
      <c r="I379" s="686" t="n">
        <v>0</v>
      </c>
      <c r="J379" s="687" t="n">
        <v>1</v>
      </c>
      <c r="K379" s="686" t="n">
        <v>1</v>
      </c>
      <c r="L379" s="684" t="n">
        <v>18</v>
      </c>
      <c r="M379" s="688" t="n">
        <v>18</v>
      </c>
      <c r="N379" s="685" t="n">
        <v>1</v>
      </c>
      <c r="O379" s="763" t="inlineStr">
        <is>
          <t>US Flash Sale</t>
        </is>
      </c>
    </row>
    <row r="380" hidden="1" ht="18" customHeight="1" s="229">
      <c r="A380" s="658" t="inlineStr">
        <is>
          <t>UltraFlex Light Bra</t>
        </is>
      </c>
      <c r="B380" s="658" t="inlineStr">
        <is>
          <t>Underwear</t>
        </is>
      </c>
      <c r="C380" s="658" t="inlineStr">
        <is>
          <t>Below threshold — long tail</t>
        </is>
      </c>
      <c r="D380" s="668" t="inlineStr">
        <is>
          <t>4 — LOW (natural sellthrough)</t>
        </is>
      </c>
      <c r="E380" s="660" t="n">
        <v>4429.88</v>
      </c>
      <c r="F380" s="661" t="n">
        <v>149</v>
      </c>
      <c r="G380" s="662" t="n">
        <v>1</v>
      </c>
      <c r="H380" s="662" t="n">
        <v>1</v>
      </c>
      <c r="I380" s="662" t="n">
        <v>0</v>
      </c>
      <c r="J380" s="663" t="n">
        <v>2</v>
      </c>
      <c r="K380" s="662" t="n">
        <v>2</v>
      </c>
      <c r="L380" s="660" t="n">
        <v>10</v>
      </c>
      <c r="M380" s="669" t="n">
        <v>20</v>
      </c>
      <c r="N380" s="661" t="n">
        <v>12</v>
      </c>
      <c r="O380" s="670" t="inlineStr">
        <is>
          <t>Split: Flash Sale (US) + Transfer to China</t>
        </is>
      </c>
    </row>
    <row r="381" hidden="1" ht="18" customHeight="1" s="229">
      <c r="A381" s="651" t="inlineStr">
        <is>
          <t>Nude Shape Mid Waist Brief 2.0</t>
        </is>
      </c>
      <c r="B381" s="651" t="inlineStr">
        <is>
          <t>Underwear</t>
        </is>
      </c>
      <c r="C381" s="651" t="inlineStr">
        <is>
          <t>Low sales (&lt;$1K in 90 days)</t>
        </is>
      </c>
      <c r="D381" s="652" t="inlineStr">
        <is>
          <t>4 — LOW (natural sellthrough)</t>
        </is>
      </c>
      <c r="E381" s="653" t="n">
        <v>927.36</v>
      </c>
      <c r="F381" s="654" t="n">
        <v>96</v>
      </c>
      <c r="G381" s="655" t="n">
        <v>0</v>
      </c>
      <c r="H381" s="655" t="n">
        <v>1</v>
      </c>
      <c r="I381" s="655" t="n">
        <v>103</v>
      </c>
      <c r="J381" s="656" t="n">
        <v>1</v>
      </c>
      <c r="K381" s="655" t="n">
        <v>104</v>
      </c>
      <c r="L381" s="653" t="n">
        <v>10</v>
      </c>
      <c r="M381" s="666" t="n">
        <v>1040</v>
      </c>
      <c r="N381" s="654" t="n">
        <v>5</v>
      </c>
      <c r="O381" s="680" t="inlineStr">
        <is>
          <t>Transfer to China Market</t>
        </is>
      </c>
    </row>
    <row r="382" hidden="1" ht="18" customHeight="1" s="229">
      <c r="A382" s="715" t="inlineStr">
        <is>
          <t>NEIWAI ACTIVE X NYCB Maxi Dress</t>
        </is>
      </c>
      <c r="B382" s="715" t="inlineStr">
        <is>
          <t>Active</t>
        </is>
      </c>
      <c r="C382" s="715" t="inlineStr">
        <is>
          <t>NYCB collab — dead inventory, no velocity</t>
        </is>
      </c>
      <c r="D382" s="732" t="inlineStr">
        <is>
          <t>4 — LOW (natural sellthrough)</t>
        </is>
      </c>
      <c r="E382" s="717" t="n">
        <v>149</v>
      </c>
      <c r="F382" s="718" t="n">
        <v>1</v>
      </c>
      <c r="G382" s="719" t="n">
        <v>0</v>
      </c>
      <c r="H382" s="719" t="n">
        <v>6</v>
      </c>
      <c r="I382" s="719" t="n">
        <v>0</v>
      </c>
      <c r="J382" s="720" t="n">
        <v>6</v>
      </c>
      <c r="K382" s="719" t="n">
        <v>6</v>
      </c>
      <c r="L382" s="717" t="n">
        <v>18</v>
      </c>
      <c r="M382" s="721" t="n">
        <v>108</v>
      </c>
      <c r="N382" s="718" t="n">
        <v>2</v>
      </c>
      <c r="O382" s="722" t="inlineStr">
        <is>
          <t>Transfer to China Market</t>
        </is>
      </c>
    </row>
    <row r="383" hidden="1" ht="18" customHeight="1" s="229">
      <c r="A383" s="690" t="inlineStr">
        <is>
          <t>Linen-Blend Bermuda Shorts</t>
        </is>
      </c>
      <c r="B383" s="690" t="inlineStr">
        <is>
          <t>Loungewear</t>
        </is>
      </c>
      <c r="C383" s="690" t="inlineStr">
        <is>
          <t>Zero/negative sales</t>
        </is>
      </c>
      <c r="D383" s="734" t="inlineStr">
        <is>
          <t>2 — HIGH (dead product)</t>
        </is>
      </c>
      <c r="E383" s="692" t="n">
        <v>0</v>
      </c>
      <c r="F383" s="693" t="n">
        <v>0</v>
      </c>
      <c r="G383" s="694" t="n">
        <v>1</v>
      </c>
      <c r="H383" s="694" t="n">
        <v>164</v>
      </c>
      <c r="I383" s="694" t="n">
        <v>0</v>
      </c>
      <c r="J383" s="695" t="n">
        <v>165</v>
      </c>
      <c r="K383" s="694" t="n">
        <v>165</v>
      </c>
      <c r="L383" s="692" t="n">
        <v>15</v>
      </c>
      <c r="M383" s="696" t="n">
        <v>2475</v>
      </c>
      <c r="N383" s="693" t="n">
        <v>1</v>
      </c>
      <c r="O383" s="737" t="inlineStr">
        <is>
          <t>Split: Flash Sale (US) + Transfer to China</t>
        </is>
      </c>
    </row>
    <row r="384" hidden="1" ht="18" customHeight="1" s="229">
      <c r="A384" s="658" t="inlineStr">
        <is>
          <t>Barely Zero Classic Bra</t>
        </is>
      </c>
      <c r="B384" s="658" t="inlineStr">
        <is>
          <t>Underwear</t>
        </is>
      </c>
      <c r="C384" s="658" t="inlineStr">
        <is>
          <t>Negligible sales (&lt;$100 in 90 days)</t>
        </is>
      </c>
      <c r="D384" s="668" t="inlineStr">
        <is>
          <t>4 — LOW (natural sellthrough)</t>
        </is>
      </c>
      <c r="E384" s="660" t="n">
        <v>60.45</v>
      </c>
      <c r="F384" s="661" t="n">
        <v>2</v>
      </c>
      <c r="G384" s="662" t="n">
        <v>2</v>
      </c>
      <c r="H384" s="662" t="n">
        <v>0</v>
      </c>
      <c r="I384" s="662" t="n">
        <v>0</v>
      </c>
      <c r="J384" s="663" t="n">
        <v>2</v>
      </c>
      <c r="K384" s="662" t="n">
        <v>2</v>
      </c>
      <c r="L384" s="660" t="n">
        <v>10</v>
      </c>
      <c r="M384" s="669" t="n">
        <v>20</v>
      </c>
      <c r="N384" s="661" t="n">
        <v>4</v>
      </c>
      <c r="O384" s="759" t="inlineStr">
        <is>
          <t>US Flash Sale</t>
        </is>
      </c>
    </row>
    <row r="385" hidden="1" ht="18" customHeight="1" s="229">
      <c r="A385" s="751" t="inlineStr">
        <is>
          <t>Mesh Hairband</t>
        </is>
      </c>
      <c r="B385" s="751" t="inlineStr">
        <is>
          <t>Accessories</t>
        </is>
      </c>
      <c r="C385" s="751" t="inlineStr">
        <is>
          <t>Negligible sales (&lt;$100 in 90 days)</t>
        </is>
      </c>
      <c r="D385" s="752" t="inlineStr">
        <is>
          <t>4 — LOW (natural sellthrough)</t>
        </is>
      </c>
      <c r="E385" s="753" t="n">
        <v>37.33</v>
      </c>
      <c r="F385" s="754" t="n">
        <v>3</v>
      </c>
      <c r="G385" s="755" t="n">
        <v>0</v>
      </c>
      <c r="H385" s="755" t="n">
        <v>1</v>
      </c>
      <c r="I385" s="755" t="n">
        <v>8</v>
      </c>
      <c r="J385" s="756" t="n">
        <v>1</v>
      </c>
      <c r="K385" s="755" t="n">
        <v>9</v>
      </c>
      <c r="L385" s="753" t="n">
        <v>8</v>
      </c>
      <c r="M385" s="757" t="n">
        <v>72</v>
      </c>
      <c r="N385" s="754" t="n">
        <v>1</v>
      </c>
      <c r="O385" s="758" t="inlineStr">
        <is>
          <t>Transfer to China Market</t>
        </is>
      </c>
    </row>
    <row r="386" hidden="1" ht="18" customHeight="1" s="229">
      <c r="A386" s="707" t="inlineStr">
        <is>
          <t>Low-Rise Trousers</t>
        </is>
      </c>
      <c r="B386" s="707" t="inlineStr">
        <is>
          <t>Loungewear</t>
        </is>
      </c>
      <c r="C386" s="707" t="inlineStr">
        <is>
          <t>Zero/negative sales</t>
        </is>
      </c>
      <c r="D386" s="735" t="inlineStr">
        <is>
          <t>2 — HIGH (dead product)</t>
        </is>
      </c>
      <c r="E386" s="709" t="n">
        <v>0</v>
      </c>
      <c r="F386" s="710" t="n">
        <v>0</v>
      </c>
      <c r="G386" s="711" t="n">
        <v>5</v>
      </c>
      <c r="H386" s="711" t="n">
        <v>38</v>
      </c>
      <c r="I386" s="711" t="n">
        <v>48</v>
      </c>
      <c r="J386" s="712" t="n">
        <v>43</v>
      </c>
      <c r="K386" s="711" t="n">
        <v>91</v>
      </c>
      <c r="L386" s="709" t="n">
        <v>15</v>
      </c>
      <c r="M386" s="713" t="n">
        <v>1365</v>
      </c>
      <c r="N386" s="710" t="n">
        <v>1</v>
      </c>
      <c r="O386" s="749" t="inlineStr">
        <is>
          <t>Split: Flash Sale (US) + Transfer to China</t>
        </is>
      </c>
    </row>
    <row r="387" hidden="1" ht="18" customHeight="1" s="229">
      <c r="A387" s="690" t="inlineStr">
        <is>
          <t>NEIWAI X SAVISLOOK Knit Camisole</t>
        </is>
      </c>
      <c r="B387" s="690" t="inlineStr">
        <is>
          <t>Loungewear</t>
        </is>
      </c>
      <c r="C387" s="690" t="inlineStr">
        <is>
          <t>Negligible sales (&lt;$100 in 90 days)</t>
        </is>
      </c>
      <c r="D387" s="691" t="inlineStr">
        <is>
          <t>4 — LOW (natural sellthrough)</t>
        </is>
      </c>
      <c r="E387" s="692" t="n">
        <v>36.96</v>
      </c>
      <c r="F387" s="693" t="n">
        <v>1</v>
      </c>
      <c r="G387" s="694" t="n">
        <v>2</v>
      </c>
      <c r="H387" s="694" t="n">
        <v>0</v>
      </c>
      <c r="I387" s="694" t="n">
        <v>0</v>
      </c>
      <c r="J387" s="695" t="n">
        <v>2</v>
      </c>
      <c r="K387" s="694" t="n">
        <v>2</v>
      </c>
      <c r="L387" s="692" t="n">
        <v>15</v>
      </c>
      <c r="M387" s="696" t="n">
        <v>30</v>
      </c>
      <c r="N387" s="693" t="n">
        <v>1</v>
      </c>
      <c r="O387" s="761" t="inlineStr">
        <is>
          <t>US Flash Sale</t>
        </is>
      </c>
    </row>
    <row r="388" hidden="1" ht="18" customHeight="1" s="229">
      <c r="A388" s="651" t="inlineStr">
        <is>
          <t>Barely Zero T-Shirt Bra</t>
        </is>
      </c>
      <c r="B388" s="651" t="inlineStr">
        <is>
          <t>Underwear</t>
        </is>
      </c>
      <c r="C388" s="651" t="inlineStr">
        <is>
          <t>Zero/negative sales</t>
        </is>
      </c>
      <c r="D388" s="698" t="inlineStr">
        <is>
          <t>2 — HIGH (dead product)</t>
        </is>
      </c>
      <c r="E388" s="653" t="n">
        <v>0</v>
      </c>
      <c r="F388" s="654" t="n">
        <v>0</v>
      </c>
      <c r="G388" s="655" t="n">
        <v>1</v>
      </c>
      <c r="H388" s="655" t="n">
        <v>0</v>
      </c>
      <c r="I388" s="655" t="n">
        <v>0</v>
      </c>
      <c r="J388" s="656" t="n">
        <v>1</v>
      </c>
      <c r="K388" s="655" t="n">
        <v>1</v>
      </c>
      <c r="L388" s="653" t="n">
        <v>10</v>
      </c>
      <c r="M388" s="666" t="n">
        <v>10</v>
      </c>
      <c r="N388" s="654" t="n">
        <v>4</v>
      </c>
      <c r="O388" s="762" t="inlineStr">
        <is>
          <t>US Flash Sale</t>
        </is>
      </c>
    </row>
    <row r="389" hidden="1" ht="18" customHeight="1" s="229">
      <c r="A389" s="671" t="inlineStr">
        <is>
          <t>Barely Zero Fixed Cup Clasp Bra Bundle</t>
        </is>
      </c>
      <c r="B389" s="671" t="inlineStr">
        <is>
          <t>Bundle</t>
        </is>
      </c>
      <c r="C389" s="671" t="inlineStr">
        <is>
          <t>Bundle/Gift Set — low velocity</t>
        </is>
      </c>
      <c r="D389" s="764" t="inlineStr">
        <is>
          <t>2 — HIGH (dead product)</t>
        </is>
      </c>
      <c r="E389" s="673" t="n">
        <v>0</v>
      </c>
      <c r="F389" s="674" t="n">
        <v>0</v>
      </c>
      <c r="G389" s="675" t="n">
        <v>0</v>
      </c>
      <c r="H389" s="675" t="n">
        <v>0</v>
      </c>
      <c r="I389" s="675" t="n">
        <v>0</v>
      </c>
      <c r="J389" s="676" t="n">
        <v>0</v>
      </c>
      <c r="K389" s="675" t="n">
        <v>0</v>
      </c>
      <c r="L389" s="673" t="n">
        <v>8</v>
      </c>
      <c r="M389" s="677" t="n">
        <v>0</v>
      </c>
      <c r="N389" s="674" t="n">
        <v>1</v>
      </c>
      <c r="O389" s="765" t="inlineStr">
        <is>
          <t>Delist — Zero Inventory</t>
        </is>
      </c>
    </row>
    <row r="390" hidden="1" ht="18" customHeight="1" s="229">
      <c r="A390" s="658" t="inlineStr">
        <is>
          <t>Barely Zero Plunge Bra</t>
        </is>
      </c>
      <c r="B390" s="658" t="inlineStr">
        <is>
          <t>Underwear</t>
        </is>
      </c>
      <c r="C390" s="658" t="inlineStr">
        <is>
          <t>Zero/negative sales</t>
        </is>
      </c>
      <c r="D390" s="659" t="inlineStr">
        <is>
          <t>2 — HIGH (dead product)</t>
        </is>
      </c>
      <c r="E390" s="660" t="n">
        <v>0</v>
      </c>
      <c r="F390" s="661" t="n">
        <v>0</v>
      </c>
      <c r="G390" s="662" t="n">
        <v>0</v>
      </c>
      <c r="H390" s="662" t="n">
        <v>0</v>
      </c>
      <c r="I390" s="662" t="n">
        <v>0</v>
      </c>
      <c r="J390" s="663" t="n">
        <v>0</v>
      </c>
      <c r="K390" s="662" t="n">
        <v>0</v>
      </c>
      <c r="L390" s="660" t="n">
        <v>10</v>
      </c>
      <c r="M390" s="669" t="n">
        <v>0</v>
      </c>
      <c r="N390" s="661" t="n">
        <v>1</v>
      </c>
      <c r="O390" s="748" t="inlineStr">
        <is>
          <t>Delist — Zero Inventory</t>
        </is>
      </c>
    </row>
    <row r="391" hidden="1" ht="18" customHeight="1" s="229">
      <c r="A391" s="766" t="inlineStr">
        <is>
          <t>Barely Zero T-Shirt Bra XS-S Peach Pure</t>
        </is>
      </c>
      <c r="B391" s="766" t="n"/>
      <c r="C391" s="766" t="inlineStr">
        <is>
          <t>Zero/negative sales</t>
        </is>
      </c>
      <c r="D391" s="767" t="inlineStr">
        <is>
          <t>2 — HIGH (dead product)</t>
        </is>
      </c>
      <c r="E391" s="768" t="n">
        <v>0</v>
      </c>
      <c r="F391" s="769" t="n">
        <v>0</v>
      </c>
      <c r="G391" s="770" t="n">
        <v>0</v>
      </c>
      <c r="H391" s="770" t="n">
        <v>0</v>
      </c>
      <c r="I391" s="770" t="n">
        <v>0</v>
      </c>
      <c r="J391" s="771" t="n">
        <v>0</v>
      </c>
      <c r="K391" s="770" t="n">
        <v>0</v>
      </c>
      <c r="L391" s="768" t="n">
        <v>8</v>
      </c>
      <c r="M391" s="772" t="n">
        <v>0</v>
      </c>
      <c r="N391" s="769" t="n">
        <v>0</v>
      </c>
      <c r="O391" s="773" t="inlineStr">
        <is>
          <t>Delist — Zero Inventory</t>
        </is>
      </c>
    </row>
    <row r="392" hidden="1" ht="18" customHeight="1" s="229">
      <c r="A392" s="671" t="inlineStr">
        <is>
          <t>Barely Zero Plunge Bra - One Size / Black</t>
        </is>
      </c>
      <c r="B392" s="671" t="n"/>
      <c r="C392" s="671" t="inlineStr">
        <is>
          <t>Zero/negative sales</t>
        </is>
      </c>
      <c r="D392" s="764" t="inlineStr">
        <is>
          <t>2 — HIGH (dead product)</t>
        </is>
      </c>
      <c r="E392" s="673" t="n">
        <v>0</v>
      </c>
      <c r="F392" s="674" t="n">
        <v>0</v>
      </c>
      <c r="G392" s="675" t="n">
        <v>0</v>
      </c>
      <c r="H392" s="675" t="n">
        <v>0</v>
      </c>
      <c r="I392" s="675" t="n">
        <v>0</v>
      </c>
      <c r="J392" s="676" t="n">
        <v>0</v>
      </c>
      <c r="K392" s="675" t="n">
        <v>0</v>
      </c>
      <c r="L392" s="673" t="n">
        <v>8</v>
      </c>
      <c r="M392" s="677" t="n">
        <v>0</v>
      </c>
      <c r="N392" s="674" t="n">
        <v>0</v>
      </c>
      <c r="O392" s="765" t="inlineStr">
        <is>
          <t>Delist — Zero Inventory</t>
        </is>
      </c>
    </row>
    <row r="393" hidden="1" ht="18" customHeight="1" s="229">
      <c r="A393" s="766" t="inlineStr">
        <is>
          <t>Active Ballet Stirrup Drawstring Leggings S / Black</t>
        </is>
      </c>
      <c r="B393" s="766" t="n"/>
      <c r="C393" s="766" t="inlineStr">
        <is>
          <t>Zero/negative sales</t>
        </is>
      </c>
      <c r="D393" s="767" t="inlineStr">
        <is>
          <t>2 — HIGH (dead product)</t>
        </is>
      </c>
      <c r="E393" s="768" t="n">
        <v>0</v>
      </c>
      <c r="F393" s="769" t="n">
        <v>1</v>
      </c>
      <c r="G393" s="770" t="n">
        <v>0</v>
      </c>
      <c r="H393" s="770" t="n">
        <v>0</v>
      </c>
      <c r="I393" s="770" t="n">
        <v>0</v>
      </c>
      <c r="J393" s="771" t="n">
        <v>0</v>
      </c>
      <c r="K393" s="770" t="n">
        <v>0</v>
      </c>
      <c r="L393" s="768" t="n">
        <v>8</v>
      </c>
      <c r="M393" s="772" t="n">
        <v>0</v>
      </c>
      <c r="N393" s="769" t="n">
        <v>0</v>
      </c>
      <c r="O393" s="773" t="inlineStr">
        <is>
          <t>Delist — Zero Inventory</t>
        </is>
      </c>
    </row>
    <row r="394" hidden="1" ht="18" customHeight="1" s="229">
      <c r="A394" s="682" t="inlineStr">
        <is>
          <t>Urban Sport Casual Wool Coat</t>
        </is>
      </c>
      <c r="B394" s="682" t="inlineStr">
        <is>
          <t>Active</t>
        </is>
      </c>
      <c r="C394" s="682" t="inlineStr">
        <is>
          <t>Low sales (&lt;$1K in 90 days)</t>
        </is>
      </c>
      <c r="D394" s="733" t="inlineStr">
        <is>
          <t>4 — LOW (natural sellthrough)</t>
        </is>
      </c>
      <c r="E394" s="684" t="n">
        <v>510.3</v>
      </c>
      <c r="F394" s="685" t="n">
        <v>4</v>
      </c>
      <c r="G394" s="686" t="n">
        <v>1</v>
      </c>
      <c r="H394" s="686" t="n">
        <v>0</v>
      </c>
      <c r="I394" s="686" t="n">
        <v>0</v>
      </c>
      <c r="J394" s="687" t="n">
        <v>1</v>
      </c>
      <c r="K394" s="686" t="n">
        <v>1</v>
      </c>
      <c r="L394" s="684" t="n">
        <v>18</v>
      </c>
      <c r="M394" s="688" t="n">
        <v>18</v>
      </c>
      <c r="N394" s="685" t="n">
        <v>2</v>
      </c>
      <c r="O394" s="763" t="inlineStr">
        <is>
          <t>US Flash Sale</t>
        </is>
      </c>
    </row>
    <row r="395" hidden="1" ht="18" customHeight="1" s="229">
      <c r="A395" s="671" t="inlineStr">
        <is>
          <t>NW241WL2701-123-M / Silky Knit Hoodie - M / Sandcastle</t>
        </is>
      </c>
      <c r="B395" s="671" t="n"/>
      <c r="C395" s="671" t="inlineStr">
        <is>
          <t>Zero/negative sales</t>
        </is>
      </c>
      <c r="D395" s="764" t="inlineStr">
        <is>
          <t>2 — HIGH (dead product)</t>
        </is>
      </c>
      <c r="E395" s="673" t="n">
        <v>0</v>
      </c>
      <c r="F395" s="674" t="n">
        <v>0</v>
      </c>
      <c r="G395" s="675" t="n">
        <v>0</v>
      </c>
      <c r="H395" s="675" t="n">
        <v>0</v>
      </c>
      <c r="I395" s="675" t="n">
        <v>0</v>
      </c>
      <c r="J395" s="676" t="n">
        <v>0</v>
      </c>
      <c r="K395" s="675" t="n">
        <v>0</v>
      </c>
      <c r="L395" s="673" t="n">
        <v>8</v>
      </c>
      <c r="M395" s="677" t="n">
        <v>0</v>
      </c>
      <c r="N395" s="674" t="n">
        <v>0</v>
      </c>
      <c r="O395" s="765" t="inlineStr">
        <is>
          <t>Delist — Zero Inventory</t>
        </is>
      </c>
    </row>
    <row r="396" hidden="1" ht="18" customHeight="1" s="229">
      <c r="A396" s="707" t="inlineStr">
        <is>
          <t>Plushy Pajama Pants</t>
        </is>
      </c>
      <c r="B396" s="707" t="inlineStr">
        <is>
          <t>Loungewear</t>
        </is>
      </c>
      <c r="C396" s="707" t="inlineStr">
        <is>
          <t>Low sales (&lt;$1K in 90 days)</t>
        </is>
      </c>
      <c r="D396" s="708" t="inlineStr">
        <is>
          <t>4 — LOW (natural sellthrough)</t>
        </is>
      </c>
      <c r="E396" s="709" t="n">
        <v>627.08</v>
      </c>
      <c r="F396" s="710" t="n">
        <v>30</v>
      </c>
      <c r="G396" s="711" t="n">
        <v>0</v>
      </c>
      <c r="H396" s="711" t="n">
        <v>0</v>
      </c>
      <c r="I396" s="711" t="n">
        <v>0</v>
      </c>
      <c r="J396" s="712" t="n">
        <v>0</v>
      </c>
      <c r="K396" s="711" t="n">
        <v>0</v>
      </c>
      <c r="L396" s="709" t="n">
        <v>15</v>
      </c>
      <c r="M396" s="713" t="n">
        <v>0</v>
      </c>
      <c r="N396" s="710" t="n">
        <v>3</v>
      </c>
      <c r="O396" s="774" t="inlineStr">
        <is>
          <t>Delist — Zero Inventory</t>
        </is>
      </c>
    </row>
    <row r="397" hidden="1" ht="18" customHeight="1" s="229">
      <c r="A397" s="690" t="inlineStr">
        <is>
          <t>Caf√© Print Pajama Shirt</t>
        </is>
      </c>
      <c r="B397" s="690" t="inlineStr">
        <is>
          <t>Loungewear</t>
        </is>
      </c>
      <c r="C397" s="690" t="inlineStr">
        <is>
          <t>Very low sales (&lt;$500 in 90 days)</t>
        </is>
      </c>
      <c r="D397" s="691" t="inlineStr">
        <is>
          <t>4 — LOW (natural sellthrough)</t>
        </is>
      </c>
      <c r="E397" s="692" t="n">
        <v>385.02</v>
      </c>
      <c r="F397" s="693" t="n">
        <v>14</v>
      </c>
      <c r="G397" s="694" t="n">
        <v>0</v>
      </c>
      <c r="H397" s="694" t="n">
        <v>0</v>
      </c>
      <c r="I397" s="694" t="n">
        <v>0</v>
      </c>
      <c r="J397" s="695" t="n">
        <v>0</v>
      </c>
      <c r="K397" s="694" t="n">
        <v>0</v>
      </c>
      <c r="L397" s="692" t="n">
        <v>15</v>
      </c>
      <c r="M397" s="696" t="n">
        <v>0</v>
      </c>
      <c r="N397" s="693" t="n">
        <v>2</v>
      </c>
      <c r="O397" s="775" t="inlineStr">
        <is>
          <t>Delist — Zero Inventory</t>
        </is>
      </c>
    </row>
    <row r="398" hidden="1" ht="18" customHeight="1" s="229">
      <c r="A398" s="766" t="inlineStr">
        <is>
          <t>Maternity Leggings/S-M / Black</t>
        </is>
      </c>
      <c r="B398" s="766" t="n"/>
      <c r="C398" s="766" t="inlineStr">
        <is>
          <t>Zero/negative sales</t>
        </is>
      </c>
      <c r="D398" s="767" t="inlineStr">
        <is>
          <t>2 — HIGH (dead product)</t>
        </is>
      </c>
      <c r="E398" s="768" t="n">
        <v>0</v>
      </c>
      <c r="F398" s="769" t="n">
        <v>0</v>
      </c>
      <c r="G398" s="770" t="n">
        <v>0</v>
      </c>
      <c r="H398" s="770" t="n">
        <v>0</v>
      </c>
      <c r="I398" s="770" t="n">
        <v>0</v>
      </c>
      <c r="J398" s="771" t="n">
        <v>0</v>
      </c>
      <c r="K398" s="770" t="n">
        <v>0</v>
      </c>
      <c r="L398" s="768" t="n">
        <v>8</v>
      </c>
      <c r="M398" s="772" t="n">
        <v>0</v>
      </c>
      <c r="N398" s="769" t="n">
        <v>0</v>
      </c>
      <c r="O398" s="773" t="inlineStr">
        <is>
          <t>Delist — Zero Inventory</t>
        </is>
      </c>
    </row>
    <row r="399" hidden="1" ht="18" customHeight="1" s="229">
      <c r="A399" s="651" t="inlineStr">
        <is>
          <t>Women's Briefs Gift Set</t>
        </is>
      </c>
      <c r="B399" s="651" t="inlineStr">
        <is>
          <t>Underwear</t>
        </is>
      </c>
      <c r="C399" s="651" t="inlineStr">
        <is>
          <t>Bundle/Gift Set — low velocity</t>
        </is>
      </c>
      <c r="D399" s="652" t="inlineStr">
        <is>
          <t>4 — LOW (natural sellthrough)</t>
        </is>
      </c>
      <c r="E399" s="653" t="n">
        <v>5494.84</v>
      </c>
      <c r="F399" s="654" t="n">
        <v>344</v>
      </c>
      <c r="G399" s="655" t="n">
        <v>0</v>
      </c>
      <c r="H399" s="655" t="n">
        <v>0</v>
      </c>
      <c r="I399" s="655" t="n">
        <v>70</v>
      </c>
      <c r="J399" s="656" t="n">
        <v>0</v>
      </c>
      <c r="K399" s="655" t="n">
        <v>70</v>
      </c>
      <c r="L399" s="653" t="n">
        <v>10</v>
      </c>
      <c r="M399" s="666" t="n">
        <v>700</v>
      </c>
      <c r="N399" s="654" t="n">
        <v>5</v>
      </c>
      <c r="O399" s="680" t="inlineStr">
        <is>
          <t>Transfer to China Market</t>
        </is>
      </c>
    </row>
    <row r="400" hidden="1" ht="18" customHeight="1" s="229">
      <c r="A400" s="715" t="inlineStr">
        <is>
          <t>NEIWAI ACTIVE X Andrea Jiapei Li Cutout Long Sleeve T-shirt</t>
        </is>
      </c>
      <c r="B400" s="715" t="inlineStr">
        <is>
          <t>Active</t>
        </is>
      </c>
      <c r="C400" s="715" t="inlineStr">
        <is>
          <t>Zero/negative sales</t>
        </is>
      </c>
      <c r="D400" s="716" t="inlineStr">
        <is>
          <t>2 — HIGH (dead product)</t>
        </is>
      </c>
      <c r="E400" s="717" t="n">
        <v>0</v>
      </c>
      <c r="F400" s="718" t="n">
        <v>0</v>
      </c>
      <c r="G400" s="719" t="n">
        <v>0</v>
      </c>
      <c r="H400" s="719" t="n">
        <v>0</v>
      </c>
      <c r="I400" s="719" t="n">
        <v>0</v>
      </c>
      <c r="J400" s="720" t="n">
        <v>0</v>
      </c>
      <c r="K400" s="719" t="n">
        <v>0</v>
      </c>
      <c r="L400" s="717" t="n">
        <v>18</v>
      </c>
      <c r="M400" s="721" t="n">
        <v>0</v>
      </c>
      <c r="N400" s="718" t="n">
        <v>1</v>
      </c>
      <c r="O400" s="776" t="inlineStr">
        <is>
          <t>Delist — Zero Inventory</t>
        </is>
      </c>
    </row>
    <row r="401" hidden="1" ht="18" customHeight="1" s="229">
      <c r="A401" s="739" t="inlineStr">
        <is>
          <t>NEIWAI Gift Card</t>
        </is>
      </c>
      <c r="B401" s="739" t="inlineStr">
        <is>
          <t>Gift Cards</t>
        </is>
      </c>
      <c r="C401" s="739" t="inlineStr">
        <is>
          <t>Below threshold — long tail</t>
        </is>
      </c>
      <c r="D401" s="760" t="inlineStr">
        <is>
          <t>4 — LOW (natural sellthrough)</t>
        </is>
      </c>
      <c r="E401" s="741" t="n">
        <v>2915</v>
      </c>
      <c r="F401" s="742" t="n">
        <v>31</v>
      </c>
      <c r="G401" s="743" t="n">
        <v>0</v>
      </c>
      <c r="H401" s="743" t="n">
        <v>0</v>
      </c>
      <c r="I401" s="743" t="n">
        <v>0</v>
      </c>
      <c r="J401" s="744" t="n">
        <v>0</v>
      </c>
      <c r="K401" s="743" t="n">
        <v>0</v>
      </c>
      <c r="L401" s="741" t="n">
        <v>8</v>
      </c>
      <c r="M401" s="745" t="n">
        <v>0</v>
      </c>
      <c r="N401" s="742" t="n">
        <v>5</v>
      </c>
      <c r="O401" s="777" t="inlineStr">
        <is>
          <t>Delist — Zero Inventory</t>
        </is>
      </c>
    </row>
    <row r="402" hidden="1" ht="18" customHeight="1" s="229">
      <c r="A402" s="671" t="inlineStr">
        <is>
          <t>NEIWAI ACTIVE X NYCB Ribbed Zip Cardigan / M / Nightshade</t>
        </is>
      </c>
      <c r="B402" s="671" t="n"/>
      <c r="C402" s="671" t="inlineStr">
        <is>
          <t>NYCB collab — dead inventory, no velocity</t>
        </is>
      </c>
      <c r="D402" s="764" t="inlineStr">
        <is>
          <t>2 — HIGH (dead product)</t>
        </is>
      </c>
      <c r="E402" s="673" t="n">
        <v>0</v>
      </c>
      <c r="F402" s="674" t="n">
        <v>0</v>
      </c>
      <c r="G402" s="675" t="n">
        <v>0</v>
      </c>
      <c r="H402" s="675" t="n">
        <v>0</v>
      </c>
      <c r="I402" s="675" t="n">
        <v>0</v>
      </c>
      <c r="J402" s="676" t="n">
        <v>0</v>
      </c>
      <c r="K402" s="675" t="n">
        <v>0</v>
      </c>
      <c r="L402" s="673" t="n">
        <v>8</v>
      </c>
      <c r="M402" s="677" t="n">
        <v>0</v>
      </c>
      <c r="N402" s="674" t="n">
        <v>0</v>
      </c>
      <c r="O402" s="765" t="inlineStr">
        <is>
          <t>Delist — Zero Inventory</t>
        </is>
      </c>
    </row>
    <row r="403" hidden="1" ht="18" customHeight="1" s="229">
      <c r="A403" s="682" t="inlineStr">
        <is>
          <t>Urban Sport Casual Flared Pants</t>
        </is>
      </c>
      <c r="B403" s="682" t="inlineStr">
        <is>
          <t>Active</t>
        </is>
      </c>
      <c r="C403" s="682" t="inlineStr">
        <is>
          <t>Zero/negative sales</t>
        </is>
      </c>
      <c r="D403" s="683" t="inlineStr">
        <is>
          <t>2 — HIGH (dead product)</t>
        </is>
      </c>
      <c r="E403" s="684" t="n">
        <v>0</v>
      </c>
      <c r="F403" s="685" t="n">
        <v>0</v>
      </c>
      <c r="G403" s="686" t="n">
        <v>0</v>
      </c>
      <c r="H403" s="686" t="n">
        <v>0</v>
      </c>
      <c r="I403" s="686" t="n">
        <v>0</v>
      </c>
      <c r="J403" s="687" t="n">
        <v>0</v>
      </c>
      <c r="K403" s="686" t="n">
        <v>0</v>
      </c>
      <c r="L403" s="684" t="n">
        <v>18</v>
      </c>
      <c r="M403" s="688" t="n">
        <v>0</v>
      </c>
      <c r="N403" s="685" t="n">
        <v>1</v>
      </c>
      <c r="O403" s="778" t="inlineStr">
        <is>
          <t>Delist — Zero Inventory</t>
        </is>
      </c>
    </row>
    <row r="404" hidden="1" ht="18" customHeight="1" s="229">
      <c r="A404" s="658" t="inlineStr">
        <is>
          <t>Ultraflex Light Bra</t>
        </is>
      </c>
      <c r="B404" s="658" t="inlineStr">
        <is>
          <t>Underwear</t>
        </is>
      </c>
      <c r="C404" s="658" t="inlineStr">
        <is>
          <t>Zero/negative sales</t>
        </is>
      </c>
      <c r="D404" s="659" t="inlineStr">
        <is>
          <t>2 — HIGH (dead product)</t>
        </is>
      </c>
      <c r="E404" s="660" t="n">
        <v>0</v>
      </c>
      <c r="F404" s="661" t="n">
        <v>0</v>
      </c>
      <c r="G404" s="662" t="n">
        <v>1</v>
      </c>
      <c r="H404" s="662" t="n">
        <v>1</v>
      </c>
      <c r="I404" s="662" t="n">
        <v>0</v>
      </c>
      <c r="J404" s="663" t="n">
        <v>2</v>
      </c>
      <c r="K404" s="662" t="n">
        <v>2</v>
      </c>
      <c r="L404" s="660" t="n">
        <v>10</v>
      </c>
      <c r="M404" s="669" t="n">
        <v>20</v>
      </c>
      <c r="N404" s="661" t="n">
        <v>3</v>
      </c>
      <c r="O404" s="670" t="inlineStr">
        <is>
          <t>Split: Flash Sale (US) + Transfer to China</t>
        </is>
      </c>
    </row>
    <row r="405" hidden="1" ht="18" customHeight="1" s="229">
      <c r="A405" s="715" t="inlineStr">
        <is>
          <t>Ballet Knotted Cardigan</t>
        </is>
      </c>
      <c r="B405" s="715" t="inlineStr">
        <is>
          <t>Active</t>
        </is>
      </c>
      <c r="C405" s="715" t="inlineStr">
        <is>
          <t>Zero/negative sales</t>
        </is>
      </c>
      <c r="D405" s="716" t="inlineStr">
        <is>
          <t>2 — HIGH (dead product)</t>
        </is>
      </c>
      <c r="E405" s="717" t="n">
        <v>0</v>
      </c>
      <c r="F405" s="718" t="n">
        <v>0</v>
      </c>
      <c r="G405" s="719" t="n">
        <v>0</v>
      </c>
      <c r="H405" s="719" t="n">
        <v>0</v>
      </c>
      <c r="I405" s="719" t="n">
        <v>0</v>
      </c>
      <c r="J405" s="720" t="n">
        <v>0</v>
      </c>
      <c r="K405" s="719" t="n">
        <v>0</v>
      </c>
      <c r="L405" s="717" t="n">
        <v>18</v>
      </c>
      <c r="M405" s="721" t="n">
        <v>0</v>
      </c>
      <c r="N405" s="718" t="n">
        <v>1</v>
      </c>
      <c r="O405" s="776" t="inlineStr">
        <is>
          <t>Delist — Zero Inventory</t>
        </is>
      </c>
    </row>
    <row r="406" hidden="1" ht="18" customHeight="1" s="229">
      <c r="A406" s="766" t="inlineStr">
        <is>
          <t>NW241WL3201-123-M / Silky Knit Tank - M / Sandcastle</t>
        </is>
      </c>
      <c r="B406" s="766" t="n"/>
      <c r="C406" s="766" t="inlineStr">
        <is>
          <t>Zero/negative sales</t>
        </is>
      </c>
      <c r="D406" s="767" t="inlineStr">
        <is>
          <t>2 — HIGH (dead product)</t>
        </is>
      </c>
      <c r="E406" s="768" t="n">
        <v>0</v>
      </c>
      <c r="F406" s="769" t="n">
        <v>0</v>
      </c>
      <c r="G406" s="770" t="n">
        <v>0</v>
      </c>
      <c r="H406" s="770" t="n">
        <v>0</v>
      </c>
      <c r="I406" s="770" t="n">
        <v>0</v>
      </c>
      <c r="J406" s="771" t="n">
        <v>0</v>
      </c>
      <c r="K406" s="770" t="n">
        <v>0</v>
      </c>
      <c r="L406" s="768" t="n">
        <v>8</v>
      </c>
      <c r="M406" s="772" t="n">
        <v>0</v>
      </c>
      <c r="N406" s="769" t="n">
        <v>0</v>
      </c>
      <c r="O406" s="773" t="inlineStr">
        <is>
          <t>Delist — Zero Inventory</t>
        </is>
      </c>
    </row>
    <row r="407" hidden="1" ht="18" customHeight="1" s="229">
      <c r="A407" s="707" t="inlineStr">
        <is>
          <t>Classic Cozy Button-Up Pajama Top 2.0</t>
        </is>
      </c>
      <c r="B407" s="707" t="inlineStr">
        <is>
          <t>Loungewear</t>
        </is>
      </c>
      <c r="C407" s="707" t="inlineStr">
        <is>
          <t>Zero/negative sales</t>
        </is>
      </c>
      <c r="D407" s="735" t="inlineStr">
        <is>
          <t>2 — HIGH (dead product)</t>
        </is>
      </c>
      <c r="E407" s="709" t="n">
        <v>0</v>
      </c>
      <c r="F407" s="710" t="n">
        <v>0</v>
      </c>
      <c r="G407" s="711" t="n">
        <v>3</v>
      </c>
      <c r="H407" s="711" t="n">
        <v>0</v>
      </c>
      <c r="I407" s="711" t="n">
        <v>0</v>
      </c>
      <c r="J407" s="712" t="n">
        <v>3</v>
      </c>
      <c r="K407" s="711" t="n">
        <v>3</v>
      </c>
      <c r="L407" s="709" t="n">
        <v>15</v>
      </c>
      <c r="M407" s="713" t="n">
        <v>45</v>
      </c>
      <c r="N407" s="710" t="n">
        <v>1</v>
      </c>
      <c r="O407" s="779" t="inlineStr">
        <is>
          <t>US Flash Sale</t>
        </is>
      </c>
    </row>
    <row r="408" hidden="1" ht="18" customHeight="1" s="229">
      <c r="A408" s="651" t="inlineStr">
        <is>
          <t>Essential Modal Mid-Waist Brief</t>
        </is>
      </c>
      <c r="B408" s="651" t="inlineStr">
        <is>
          <t>Underwear</t>
        </is>
      </c>
      <c r="C408" s="651" t="inlineStr">
        <is>
          <t>Zero/negative sales</t>
        </is>
      </c>
      <c r="D408" s="698" t="inlineStr">
        <is>
          <t>2 — HIGH (dead product)</t>
        </is>
      </c>
      <c r="E408" s="653" t="n">
        <v>0</v>
      </c>
      <c r="F408" s="654" t="n">
        <v>0</v>
      </c>
      <c r="G408" s="655" t="n">
        <v>0</v>
      </c>
      <c r="H408" s="655" t="n">
        <v>0</v>
      </c>
      <c r="I408" s="655" t="n">
        <v>0</v>
      </c>
      <c r="J408" s="656" t="n">
        <v>0</v>
      </c>
      <c r="K408" s="655" t="n">
        <v>0</v>
      </c>
      <c r="L408" s="653" t="n">
        <v>10</v>
      </c>
      <c r="M408" s="666" t="n">
        <v>0</v>
      </c>
      <c r="N408" s="654" t="n">
        <v>1</v>
      </c>
      <c r="O408" s="731" t="inlineStr">
        <is>
          <t>Delist — Zero Inventory</t>
        </is>
      </c>
    </row>
    <row r="409" hidden="1" ht="18" customHeight="1" s="229">
      <c r="A409" s="682" t="inlineStr">
        <is>
          <t>High Waist Bikini Bottom</t>
        </is>
      </c>
      <c r="B409" s="682" t="inlineStr">
        <is>
          <t>Active</t>
        </is>
      </c>
      <c r="C409" s="682" t="inlineStr">
        <is>
          <t>Zero/negative sales</t>
        </is>
      </c>
      <c r="D409" s="683" t="inlineStr">
        <is>
          <t>2 — HIGH (dead product)</t>
        </is>
      </c>
      <c r="E409" s="684" t="n">
        <v>0</v>
      </c>
      <c r="F409" s="685" t="n">
        <v>0</v>
      </c>
      <c r="G409" s="686" t="n">
        <v>0</v>
      </c>
      <c r="H409" s="686" t="n">
        <v>0</v>
      </c>
      <c r="I409" s="686" t="n">
        <v>0</v>
      </c>
      <c r="J409" s="687" t="n">
        <v>0</v>
      </c>
      <c r="K409" s="686" t="n">
        <v>0</v>
      </c>
      <c r="L409" s="684" t="n">
        <v>18</v>
      </c>
      <c r="M409" s="688" t="n">
        <v>0</v>
      </c>
      <c r="N409" s="685" t="n">
        <v>1</v>
      </c>
      <c r="O409" s="778" t="inlineStr">
        <is>
          <t>Delist — Zero Inventory</t>
        </is>
      </c>
    </row>
    <row r="410" hidden="1" ht="18" customHeight="1" s="229">
      <c r="A410" s="658" t="inlineStr">
        <is>
          <t>Crossover Nursing Bra</t>
        </is>
      </c>
      <c r="B410" s="658" t="inlineStr">
        <is>
          <t>Underwear</t>
        </is>
      </c>
      <c r="C410" s="658" t="inlineStr">
        <is>
          <t>Zero/negative sales</t>
        </is>
      </c>
      <c r="D410" s="659" t="inlineStr">
        <is>
          <t>2 — HIGH (dead product)</t>
        </is>
      </c>
      <c r="E410" s="660" t="n">
        <v>0</v>
      </c>
      <c r="F410" s="661" t="n">
        <v>0</v>
      </c>
      <c r="G410" s="662" t="n">
        <v>0</v>
      </c>
      <c r="H410" s="662" t="n">
        <v>0</v>
      </c>
      <c r="I410" s="662" t="n">
        <v>0</v>
      </c>
      <c r="J410" s="663" t="n">
        <v>0</v>
      </c>
      <c r="K410" s="662" t="n">
        <v>0</v>
      </c>
      <c r="L410" s="660" t="n">
        <v>10</v>
      </c>
      <c r="M410" s="669" t="n">
        <v>0</v>
      </c>
      <c r="N410" s="661" t="n">
        <v>1</v>
      </c>
      <c r="O410" s="748" t="inlineStr">
        <is>
          <t>Delist — Zero Inventory</t>
        </is>
      </c>
    </row>
    <row r="411" hidden="1" ht="18" customHeight="1" s="229">
      <c r="A411" s="715" t="inlineStr">
        <is>
          <t>Retro Swimsuit</t>
        </is>
      </c>
      <c r="B411" s="715" t="inlineStr">
        <is>
          <t>Active</t>
        </is>
      </c>
      <c r="C411" s="715" t="inlineStr">
        <is>
          <t>Zero/negative sales</t>
        </is>
      </c>
      <c r="D411" s="716" t="inlineStr">
        <is>
          <t>2 — HIGH (dead product)</t>
        </is>
      </c>
      <c r="E411" s="717" t="n">
        <v>0</v>
      </c>
      <c r="F411" s="718" t="n">
        <v>0</v>
      </c>
      <c r="G411" s="719" t="n">
        <v>0</v>
      </c>
      <c r="H411" s="719" t="n">
        <v>0</v>
      </c>
      <c r="I411" s="719" t="n">
        <v>0</v>
      </c>
      <c r="J411" s="720" t="n">
        <v>0</v>
      </c>
      <c r="K411" s="719" t="n">
        <v>0</v>
      </c>
      <c r="L411" s="717" t="n">
        <v>18</v>
      </c>
      <c r="M411" s="721" t="n">
        <v>0</v>
      </c>
      <c r="N411" s="718" t="n">
        <v>1</v>
      </c>
      <c r="O411" s="776" t="inlineStr">
        <is>
          <t>Delist — Zero Inventory</t>
        </is>
      </c>
    </row>
    <row r="412" hidden="1" ht="18" customHeight="1" s="229">
      <c r="A412" s="671" t="inlineStr">
        <is>
          <t>NW241WL4105-123-M / Silky Knit Joggers - M / Sandcastle</t>
        </is>
      </c>
      <c r="B412" s="671" t="n"/>
      <c r="C412" s="671" t="inlineStr">
        <is>
          <t>Zero/negative sales</t>
        </is>
      </c>
      <c r="D412" s="764" t="inlineStr">
        <is>
          <t>2 — HIGH (dead product)</t>
        </is>
      </c>
      <c r="E412" s="673" t="n">
        <v>0</v>
      </c>
      <c r="F412" s="674" t="n">
        <v>0</v>
      </c>
      <c r="G412" s="675" t="n">
        <v>0</v>
      </c>
      <c r="H412" s="675" t="n">
        <v>0</v>
      </c>
      <c r="I412" s="675" t="n">
        <v>0</v>
      </c>
      <c r="J412" s="676" t="n">
        <v>0</v>
      </c>
      <c r="K412" s="675" t="n">
        <v>0</v>
      </c>
      <c r="L412" s="673" t="n">
        <v>8</v>
      </c>
      <c r="M412" s="677" t="n">
        <v>0</v>
      </c>
      <c r="N412" s="674" t="n">
        <v>0</v>
      </c>
      <c r="O412" s="765" t="inlineStr">
        <is>
          <t>Delist — Zero Inventory</t>
        </is>
      </c>
    </row>
    <row r="413" hidden="1" ht="18" customHeight="1" s="229">
      <c r="A413" s="766" t="inlineStr">
        <is>
          <t>Barely Zero Plunge Bra - One Size / Plein Air</t>
        </is>
      </c>
      <c r="B413" s="766" t="n"/>
      <c r="C413" s="766" t="inlineStr">
        <is>
          <t>Zero/negative sales</t>
        </is>
      </c>
      <c r="D413" s="767" t="inlineStr">
        <is>
          <t>2 — HIGH (dead product)</t>
        </is>
      </c>
      <c r="E413" s="768" t="n">
        <v>0</v>
      </c>
      <c r="F413" s="769" t="n">
        <v>0</v>
      </c>
      <c r="G413" s="770" t="n">
        <v>0</v>
      </c>
      <c r="H413" s="770" t="n">
        <v>0</v>
      </c>
      <c r="I413" s="770" t="n">
        <v>0</v>
      </c>
      <c r="J413" s="771" t="n">
        <v>0</v>
      </c>
      <c r="K413" s="770" t="n">
        <v>0</v>
      </c>
      <c r="L413" s="768" t="n">
        <v>8</v>
      </c>
      <c r="M413" s="772" t="n">
        <v>0</v>
      </c>
      <c r="N413" s="769" t="n">
        <v>0</v>
      </c>
      <c r="O413" s="773" t="inlineStr">
        <is>
          <t>Delist — Zero Inventory</t>
        </is>
      </c>
    </row>
    <row r="414" hidden="1" ht="18" customHeight="1" s="229">
      <c r="A414" s="690" t="inlineStr">
        <is>
          <t>NEIWAI X SAVISLOOK Knit Pants</t>
        </is>
      </c>
      <c r="B414" s="690" t="inlineStr">
        <is>
          <t>Loungewear</t>
        </is>
      </c>
      <c r="C414" s="690" t="inlineStr">
        <is>
          <t>Negligible sales (&lt;$100 in 90 days)</t>
        </is>
      </c>
      <c r="D414" s="691" t="inlineStr">
        <is>
          <t>4 — LOW (natural sellthrough)</t>
        </is>
      </c>
      <c r="E414" s="692" t="n">
        <v>70.56</v>
      </c>
      <c r="F414" s="693" t="n">
        <v>1</v>
      </c>
      <c r="G414" s="694" t="n">
        <v>0</v>
      </c>
      <c r="H414" s="694" t="n">
        <v>0</v>
      </c>
      <c r="I414" s="694" t="n">
        <v>0</v>
      </c>
      <c r="J414" s="695" t="n">
        <v>0</v>
      </c>
      <c r="K414" s="694" t="n">
        <v>0</v>
      </c>
      <c r="L414" s="692" t="n">
        <v>15</v>
      </c>
      <c r="M414" s="696" t="n">
        <v>0</v>
      </c>
      <c r="N414" s="693" t="n">
        <v>1</v>
      </c>
      <c r="O414" s="775" t="inlineStr">
        <is>
          <t>Delist — Zero Inventory</t>
        </is>
      </c>
    </row>
    <row r="415" hidden="1" ht="18" customHeight="1" s="229">
      <c r="A415" s="682" t="inlineStr">
        <is>
          <t>Double Mesh Fixed Cup Dance Bra Top</t>
        </is>
      </c>
      <c r="B415" s="682" t="inlineStr">
        <is>
          <t>Active</t>
        </is>
      </c>
      <c r="C415" s="682" t="inlineStr">
        <is>
          <t>Low sales (&lt;$1K in 90 days)</t>
        </is>
      </c>
      <c r="D415" s="733" t="inlineStr">
        <is>
          <t>4 — LOW (natural sellthrough)</t>
        </is>
      </c>
      <c r="E415" s="684" t="n">
        <v>848.87</v>
      </c>
      <c r="F415" s="685" t="n">
        <v>13</v>
      </c>
      <c r="G415" s="686" t="n">
        <v>0</v>
      </c>
      <c r="H415" s="686" t="n">
        <v>0</v>
      </c>
      <c r="I415" s="686" t="n">
        <v>0</v>
      </c>
      <c r="J415" s="687" t="n">
        <v>0</v>
      </c>
      <c r="K415" s="686" t="n">
        <v>0</v>
      </c>
      <c r="L415" s="684" t="n">
        <v>18</v>
      </c>
      <c r="M415" s="688" t="n">
        <v>0</v>
      </c>
      <c r="N415" s="685" t="n">
        <v>8</v>
      </c>
      <c r="O415" s="778" t="inlineStr">
        <is>
          <t>Delist — Zero Inventory</t>
        </is>
      </c>
    </row>
    <row r="416" hidden="1" ht="18" customHeight="1" s="229">
      <c r="A416" s="651" t="inlineStr">
        <is>
          <t>Barely Zero Spaghetti Strap Bra Red Gift Set</t>
        </is>
      </c>
      <c r="B416" s="651" t="inlineStr">
        <is>
          <t>Underwear</t>
        </is>
      </c>
      <c r="C416" s="651" t="inlineStr">
        <is>
          <t>Bundle/Gift Set — low velocity</t>
        </is>
      </c>
      <c r="D416" s="652" t="inlineStr">
        <is>
          <t>4 — LOW (natural sellthrough)</t>
        </is>
      </c>
      <c r="E416" s="653" t="n">
        <v>407</v>
      </c>
      <c r="F416" s="654" t="n">
        <v>8</v>
      </c>
      <c r="G416" s="655" t="n">
        <v>0</v>
      </c>
      <c r="H416" s="655" t="n">
        <v>0</v>
      </c>
      <c r="I416" s="655" t="n">
        <v>0</v>
      </c>
      <c r="J416" s="656" t="n">
        <v>0</v>
      </c>
      <c r="K416" s="655" t="n">
        <v>0</v>
      </c>
      <c r="L416" s="653" t="n">
        <v>10</v>
      </c>
      <c r="M416" s="666" t="n">
        <v>0</v>
      </c>
      <c r="N416" s="654" t="n">
        <v>1</v>
      </c>
      <c r="O416" s="731" t="inlineStr">
        <is>
          <t>Delist — Zero Inventory</t>
        </is>
      </c>
    </row>
    <row r="417" hidden="1" ht="18" customHeight="1" s="229">
      <c r="A417" s="715" t="inlineStr">
        <is>
          <t>Ballet Cardigan</t>
        </is>
      </c>
      <c r="B417" s="715" t="inlineStr">
        <is>
          <t>Active</t>
        </is>
      </c>
      <c r="C417" s="715" t="inlineStr">
        <is>
          <t>Low sales (&lt;$1K in 90 days)</t>
        </is>
      </c>
      <c r="D417" s="732" t="inlineStr">
        <is>
          <t>4 — LOW (natural sellthrough)</t>
        </is>
      </c>
      <c r="E417" s="717" t="n">
        <v>586.1799999999999</v>
      </c>
      <c r="F417" s="718" t="n">
        <v>7</v>
      </c>
      <c r="G417" s="719" t="n">
        <v>0</v>
      </c>
      <c r="H417" s="719" t="n">
        <v>0</v>
      </c>
      <c r="I417" s="719" t="n">
        <v>0</v>
      </c>
      <c r="J417" s="720" t="n">
        <v>0</v>
      </c>
      <c r="K417" s="719" t="n">
        <v>0</v>
      </c>
      <c r="L417" s="717" t="n">
        <v>18</v>
      </c>
      <c r="M417" s="721" t="n">
        <v>0</v>
      </c>
      <c r="N417" s="718" t="n">
        <v>2</v>
      </c>
      <c r="O417" s="776" t="inlineStr">
        <is>
          <t>Delist — Zero Inventory</t>
        </is>
      </c>
    </row>
    <row r="418" hidden="1" ht="18" customHeight="1" s="229">
      <c r="A418" s="658" t="inlineStr">
        <is>
          <t>Nude Skin Bra</t>
        </is>
      </c>
      <c r="B418" s="658" t="inlineStr">
        <is>
          <t>Underwear</t>
        </is>
      </c>
      <c r="C418" s="658" t="inlineStr">
        <is>
          <t>Zero/negative sales</t>
        </is>
      </c>
      <c r="D418" s="659" t="inlineStr">
        <is>
          <t>2 — HIGH (dead product)</t>
        </is>
      </c>
      <c r="E418" s="660" t="n">
        <v>0</v>
      </c>
      <c r="F418" s="661" t="n">
        <v>0</v>
      </c>
      <c r="G418" s="662" t="n">
        <v>8</v>
      </c>
      <c r="H418" s="662" t="n">
        <v>0</v>
      </c>
      <c r="I418" s="662" t="n">
        <v>30</v>
      </c>
      <c r="J418" s="663" t="n">
        <v>8</v>
      </c>
      <c r="K418" s="662" t="n">
        <v>38</v>
      </c>
      <c r="L418" s="660" t="n">
        <v>10</v>
      </c>
      <c r="M418" s="669" t="n">
        <v>380</v>
      </c>
      <c r="N418" s="661" t="n">
        <v>1</v>
      </c>
      <c r="O418" s="670" t="inlineStr">
        <is>
          <t>Split: Flash Sale (US) + Transfer to China</t>
        </is>
      </c>
    </row>
    <row r="419" hidden="1" ht="18" customHeight="1" s="229">
      <c r="A419" s="682" t="inlineStr">
        <is>
          <t>NEIWAI ACTIVE X NYCB Sandwashed Modal Cocoon Pants</t>
        </is>
      </c>
      <c r="B419" s="682" t="inlineStr">
        <is>
          <t>Active</t>
        </is>
      </c>
      <c r="C419" s="682" t="inlineStr">
        <is>
          <t>NYCB collab — dead inventory, no velocity</t>
        </is>
      </c>
      <c r="D419" s="733" t="inlineStr">
        <is>
          <t>4 — LOW (natural sellthrough)</t>
        </is>
      </c>
      <c r="E419" s="684" t="n">
        <v>556.6800000000001</v>
      </c>
      <c r="F419" s="685" t="n">
        <v>7</v>
      </c>
      <c r="G419" s="686" t="n">
        <v>0</v>
      </c>
      <c r="H419" s="686" t="n">
        <v>0</v>
      </c>
      <c r="I419" s="686" t="n">
        <v>0</v>
      </c>
      <c r="J419" s="687" t="n">
        <v>0</v>
      </c>
      <c r="K419" s="686" t="n">
        <v>0</v>
      </c>
      <c r="L419" s="684" t="n">
        <v>18</v>
      </c>
      <c r="M419" s="688" t="n">
        <v>0</v>
      </c>
      <c r="N419" s="685" t="n">
        <v>6</v>
      </c>
      <c r="O419" s="778" t="inlineStr">
        <is>
          <t>Delist — Zero Inventory</t>
        </is>
      </c>
    </row>
    <row r="420" hidden="1" ht="18" customHeight="1" s="229">
      <c r="A420" s="739" t="inlineStr">
        <is>
          <t>Women's Socks (3-Pack)</t>
        </is>
      </c>
      <c r="B420" s="739" t="inlineStr">
        <is>
          <t>Accessories</t>
        </is>
      </c>
      <c r="C420" s="739" t="inlineStr">
        <is>
          <t>Below threshold — long tail</t>
        </is>
      </c>
      <c r="D420" s="760" t="inlineStr">
        <is>
          <t>4 — LOW (natural sellthrough)</t>
        </is>
      </c>
      <c r="E420" s="741" t="n">
        <v>1018.48</v>
      </c>
      <c r="F420" s="742" t="n">
        <v>82</v>
      </c>
      <c r="G420" s="743" t="n">
        <v>0</v>
      </c>
      <c r="H420" s="743" t="n">
        <v>0</v>
      </c>
      <c r="I420" s="743" t="n">
        <v>0</v>
      </c>
      <c r="J420" s="744" t="n">
        <v>0</v>
      </c>
      <c r="K420" s="743" t="n">
        <v>0</v>
      </c>
      <c r="L420" s="741" t="n">
        <v>8</v>
      </c>
      <c r="M420" s="745" t="n">
        <v>0</v>
      </c>
      <c r="N420" s="742" t="n">
        <v>1</v>
      </c>
      <c r="O420" s="777" t="inlineStr">
        <is>
          <t>Delist — Zero Inventory</t>
        </is>
      </c>
    </row>
    <row r="421" hidden="1" ht="18" customHeight="1" s="229">
      <c r="A421" s="751" t="inlineStr">
        <is>
          <t>Barre Socks</t>
        </is>
      </c>
      <c r="B421" s="751" t="inlineStr">
        <is>
          <t>Accessories</t>
        </is>
      </c>
      <c r="C421" s="751" t="inlineStr">
        <is>
          <t>Very low sales (&lt;$500 in 90 days)</t>
        </is>
      </c>
      <c r="D421" s="752" t="inlineStr">
        <is>
          <t>4 — LOW (natural sellthrough)</t>
        </is>
      </c>
      <c r="E421" s="753" t="n">
        <v>310</v>
      </c>
      <c r="F421" s="754" t="n">
        <v>20</v>
      </c>
      <c r="G421" s="755" t="n">
        <v>0</v>
      </c>
      <c r="H421" s="755" t="n">
        <v>0</v>
      </c>
      <c r="I421" s="755" t="n">
        <v>42</v>
      </c>
      <c r="J421" s="756" t="n">
        <v>0</v>
      </c>
      <c r="K421" s="755" t="n">
        <v>42</v>
      </c>
      <c r="L421" s="753" t="n">
        <v>8</v>
      </c>
      <c r="M421" s="757" t="n">
        <v>336</v>
      </c>
      <c r="N421" s="754" t="n">
        <v>2</v>
      </c>
      <c r="O421" s="758" t="inlineStr">
        <is>
          <t>Transfer to China Market</t>
        </is>
      </c>
    </row>
    <row r="422" hidden="1" ht="18" customHeight="1" s="229">
      <c r="A422" s="651" t="inlineStr">
        <is>
          <t>Nursing Bra</t>
        </is>
      </c>
      <c r="B422" s="651" t="inlineStr">
        <is>
          <t>Underwear</t>
        </is>
      </c>
      <c r="C422" s="651" t="inlineStr">
        <is>
          <t>Very low sales (&lt;$500 in 90 days)</t>
        </is>
      </c>
      <c r="D422" s="652" t="inlineStr">
        <is>
          <t>4 — LOW (natural sellthrough)</t>
        </is>
      </c>
      <c r="E422" s="653" t="n">
        <v>175.5</v>
      </c>
      <c r="F422" s="654" t="n">
        <v>3</v>
      </c>
      <c r="G422" s="655" t="n">
        <v>0</v>
      </c>
      <c r="H422" s="655" t="n">
        <v>0</v>
      </c>
      <c r="I422" s="655" t="n">
        <v>0</v>
      </c>
      <c r="J422" s="656" t="n">
        <v>0</v>
      </c>
      <c r="K422" s="655" t="n">
        <v>0</v>
      </c>
      <c r="L422" s="653" t="n">
        <v>10</v>
      </c>
      <c r="M422" s="666" t="n">
        <v>0</v>
      </c>
      <c r="N422" s="654" t="n">
        <v>1</v>
      </c>
      <c r="O422" s="731" t="inlineStr">
        <is>
          <t>Delist — Zero Inventory</t>
        </is>
      </c>
    </row>
    <row r="423" hidden="1" ht="18" customHeight="1" s="229">
      <c r="A423" s="739" t="inlineStr">
        <is>
          <t>Active Convertible Bag</t>
        </is>
      </c>
      <c r="B423" s="739" t="inlineStr">
        <is>
          <t>Accessories</t>
        </is>
      </c>
      <c r="C423" s="739" t="inlineStr">
        <is>
          <t>Very low sales (&lt;$500 in 90 days)</t>
        </is>
      </c>
      <c r="D423" s="760" t="inlineStr">
        <is>
          <t>4 — LOW (natural sellthrough)</t>
        </is>
      </c>
      <c r="E423" s="741" t="n">
        <v>259.08</v>
      </c>
      <c r="F423" s="742" t="n">
        <v>4</v>
      </c>
      <c r="G423" s="743" t="n">
        <v>0</v>
      </c>
      <c r="H423" s="743" t="n">
        <v>0</v>
      </c>
      <c r="I423" s="743" t="n">
        <v>0</v>
      </c>
      <c r="J423" s="744" t="n">
        <v>0</v>
      </c>
      <c r="K423" s="743" t="n">
        <v>0</v>
      </c>
      <c r="L423" s="741" t="n">
        <v>8</v>
      </c>
      <c r="M423" s="745" t="n">
        <v>0</v>
      </c>
      <c r="N423" s="742" t="n">
        <v>2</v>
      </c>
      <c r="O423" s="777" t="inlineStr">
        <is>
          <t>Delist — Zero Inventory</t>
        </is>
      </c>
    </row>
    <row r="424" hidden="1" ht="18" customHeight="1" s="229">
      <c r="A424" s="658" t="inlineStr">
        <is>
          <t>Twin Cross High Waist Brief 2.0</t>
        </is>
      </c>
      <c r="B424" s="658" t="inlineStr">
        <is>
          <t>Underwear</t>
        </is>
      </c>
      <c r="C424" s="658" t="inlineStr">
        <is>
          <t>Low sales (&lt;$1K in 90 days)</t>
        </is>
      </c>
      <c r="D424" s="668" t="inlineStr">
        <is>
          <t>4 — LOW (natural sellthrough)</t>
        </is>
      </c>
      <c r="E424" s="660" t="n">
        <v>709.46</v>
      </c>
      <c r="F424" s="661" t="n">
        <v>49</v>
      </c>
      <c r="G424" s="662" t="n">
        <v>0</v>
      </c>
      <c r="H424" s="662" t="n">
        <v>0</v>
      </c>
      <c r="I424" s="662" t="n">
        <v>0</v>
      </c>
      <c r="J424" s="663" t="n">
        <v>0</v>
      </c>
      <c r="K424" s="662" t="n">
        <v>0</v>
      </c>
      <c r="L424" s="660" t="n">
        <v>10</v>
      </c>
      <c r="M424" s="669" t="n">
        <v>0</v>
      </c>
      <c r="N424" s="661" t="n">
        <v>2</v>
      </c>
      <c r="O424" s="748" t="inlineStr">
        <is>
          <t>Delist — Zero Inventory</t>
        </is>
      </c>
    </row>
    <row r="425" hidden="1" ht="18" customHeight="1" s="229">
      <c r="A425" s="651" t="inlineStr">
        <is>
          <t>Pantie Pro Light Low Waist Period Brief</t>
        </is>
      </c>
      <c r="B425" s="651" t="inlineStr">
        <is>
          <t>Underwear</t>
        </is>
      </c>
      <c r="C425" s="651" t="inlineStr">
        <is>
          <t>Very low sales (&lt;$500 in 90 days)</t>
        </is>
      </c>
      <c r="D425" s="652" t="inlineStr">
        <is>
          <t>4 — LOW (natural sellthrough)</t>
        </is>
      </c>
      <c r="E425" s="653" t="n">
        <v>297.58</v>
      </c>
      <c r="F425" s="654" t="n">
        <v>14</v>
      </c>
      <c r="G425" s="655" t="n">
        <v>0</v>
      </c>
      <c r="H425" s="655" t="n">
        <v>0</v>
      </c>
      <c r="I425" s="655" t="n">
        <v>244</v>
      </c>
      <c r="J425" s="656" t="n">
        <v>0</v>
      </c>
      <c r="K425" s="655" t="n">
        <v>244</v>
      </c>
      <c r="L425" s="653" t="n">
        <v>10</v>
      </c>
      <c r="M425" s="666" t="n">
        <v>2440</v>
      </c>
      <c r="N425" s="654" t="n">
        <v>3</v>
      </c>
      <c r="O425" s="680" t="inlineStr">
        <is>
          <t>Transfer to China Market</t>
        </is>
      </c>
    </row>
    <row r="426" hidden="1" ht="18" customHeight="1" s="229">
      <c r="A426" s="658" t="inlineStr">
        <is>
          <t>Belle Lace Mid-Waist Brief</t>
        </is>
      </c>
      <c r="B426" s="658" t="inlineStr">
        <is>
          <t>Underwear</t>
        </is>
      </c>
      <c r="C426" s="658" t="inlineStr">
        <is>
          <t>Negligible sales (&lt;$100 in 90 days)</t>
        </is>
      </c>
      <c r="D426" s="668" t="inlineStr">
        <is>
          <t>4 — LOW (natural sellthrough)</t>
        </is>
      </c>
      <c r="E426" s="660" t="n">
        <v>88.59999999999999</v>
      </c>
      <c r="F426" s="661" t="n">
        <v>7</v>
      </c>
      <c r="G426" s="662" t="n">
        <v>0</v>
      </c>
      <c r="H426" s="662" t="n">
        <v>0</v>
      </c>
      <c r="I426" s="662" t="n">
        <v>0</v>
      </c>
      <c r="J426" s="663" t="n">
        <v>0</v>
      </c>
      <c r="K426" s="662" t="n">
        <v>0</v>
      </c>
      <c r="L426" s="660" t="n">
        <v>10</v>
      </c>
      <c r="M426" s="669" t="n">
        <v>0</v>
      </c>
      <c r="N426" s="661" t="n">
        <v>2</v>
      </c>
      <c r="O426" s="748" t="inlineStr">
        <is>
          <t>Delist — Zero Inventory</t>
        </is>
      </c>
    </row>
    <row r="427" hidden="1" ht="18" customHeight="1" s="229">
      <c r="A427" s="651" t="inlineStr">
        <is>
          <t>Second Skin Mid Waist Brief</t>
        </is>
      </c>
      <c r="B427" s="651" t="inlineStr">
        <is>
          <t>Underwear</t>
        </is>
      </c>
      <c r="C427" s="651" t="inlineStr">
        <is>
          <t>Below threshold — long tail</t>
        </is>
      </c>
      <c r="D427" s="652" t="inlineStr">
        <is>
          <t>4 — LOW (natural sellthrough)</t>
        </is>
      </c>
      <c r="E427" s="653" t="n">
        <v>1144.88</v>
      </c>
      <c r="F427" s="654" t="n">
        <v>89</v>
      </c>
      <c r="G427" s="655" t="n">
        <v>0</v>
      </c>
      <c r="H427" s="655" t="n">
        <v>0</v>
      </c>
      <c r="I427" s="655" t="n">
        <v>63</v>
      </c>
      <c r="J427" s="656" t="n">
        <v>0</v>
      </c>
      <c r="K427" s="655" t="n">
        <v>63</v>
      </c>
      <c r="L427" s="653" t="n">
        <v>10</v>
      </c>
      <c r="M427" s="666" t="n">
        <v>630</v>
      </c>
      <c r="N427" s="654" t="n">
        <v>4</v>
      </c>
      <c r="O427" s="680" t="inlineStr">
        <is>
          <t>Transfer to China Market</t>
        </is>
      </c>
    </row>
    <row r="428" hidden="1" ht="18" customHeight="1" s="229">
      <c r="A428" s="751" t="inlineStr">
        <is>
          <t>Abstract Pattern Cotton Socks</t>
        </is>
      </c>
      <c r="B428" s="751" t="inlineStr">
        <is>
          <t>Accessories</t>
        </is>
      </c>
      <c r="C428" s="751" t="inlineStr">
        <is>
          <t>Very low sales (&lt;$500 in 90 days)</t>
        </is>
      </c>
      <c r="D428" s="752" t="inlineStr">
        <is>
          <t>4 — LOW (natural sellthrough)</t>
        </is>
      </c>
      <c r="E428" s="753" t="n">
        <v>101.64</v>
      </c>
      <c r="F428" s="754" t="n">
        <v>18</v>
      </c>
      <c r="G428" s="755" t="n">
        <v>0</v>
      </c>
      <c r="H428" s="755" t="n">
        <v>0</v>
      </c>
      <c r="I428" s="755" t="n">
        <v>0</v>
      </c>
      <c r="J428" s="756" t="n">
        <v>0</v>
      </c>
      <c r="K428" s="755" t="n">
        <v>0</v>
      </c>
      <c r="L428" s="753" t="n">
        <v>8</v>
      </c>
      <c r="M428" s="757" t="n">
        <v>0</v>
      </c>
      <c r="N428" s="754" t="n">
        <v>2</v>
      </c>
      <c r="O428" s="780" t="inlineStr">
        <is>
          <t>Delist — Zero Inventory</t>
        </is>
      </c>
    </row>
    <row r="429" hidden="1" ht="18" customHeight="1" s="229">
      <c r="A429" s="671" t="inlineStr">
        <is>
          <t>Essential Padded Camisole - Snow White</t>
        </is>
      </c>
      <c r="B429" s="671" t="n"/>
      <c r="C429" s="671" t="inlineStr">
        <is>
          <t>Negligible sales (&lt;$100 in 90 days)</t>
        </is>
      </c>
      <c r="D429" s="781" t="inlineStr">
        <is>
          <t>4 — LOW (natural sellthrough)</t>
        </is>
      </c>
      <c r="E429" s="673" t="n">
        <v>48.3</v>
      </c>
      <c r="F429" s="674" t="n">
        <v>1</v>
      </c>
      <c r="G429" s="675" t="n">
        <v>0</v>
      </c>
      <c r="H429" s="675" t="n">
        <v>0</v>
      </c>
      <c r="I429" s="675" t="n">
        <v>0</v>
      </c>
      <c r="J429" s="676" t="n">
        <v>0</v>
      </c>
      <c r="K429" s="675" t="n">
        <v>0</v>
      </c>
      <c r="L429" s="673" t="n">
        <v>8</v>
      </c>
      <c r="M429" s="677" t="n">
        <v>0</v>
      </c>
      <c r="N429" s="674" t="n">
        <v>0</v>
      </c>
      <c r="O429" s="765" t="inlineStr">
        <is>
          <t>Delist — Zero Inventory</t>
        </is>
      </c>
    </row>
    <row r="430" hidden="1" ht="18" customHeight="1" s="229">
      <c r="A430" s="707" t="inlineStr">
        <is>
          <t>NEIWAI X SAVISLOOK Shell Print Maxi Dress</t>
        </is>
      </c>
      <c r="B430" s="707" t="inlineStr">
        <is>
          <t>Loungewear</t>
        </is>
      </c>
      <c r="C430" s="707" t="inlineStr">
        <is>
          <t>Negligible sales (&lt;$100 in 90 days)</t>
        </is>
      </c>
      <c r="D430" s="708" t="inlineStr">
        <is>
          <t>4 — LOW (natural sellthrough)</t>
        </is>
      </c>
      <c r="E430" s="709" t="n">
        <v>70.56</v>
      </c>
      <c r="F430" s="710" t="n">
        <v>1</v>
      </c>
      <c r="G430" s="711" t="n">
        <v>0</v>
      </c>
      <c r="H430" s="711" t="n">
        <v>0</v>
      </c>
      <c r="I430" s="711" t="n">
        <v>0</v>
      </c>
      <c r="J430" s="712" t="n">
        <v>0</v>
      </c>
      <c r="K430" s="711" t="n">
        <v>0</v>
      </c>
      <c r="L430" s="709" t="n">
        <v>15</v>
      </c>
      <c r="M430" s="713" t="n">
        <v>0</v>
      </c>
      <c r="N430" s="710" t="n">
        <v>1</v>
      </c>
      <c r="O430" s="774" t="inlineStr">
        <is>
          <t>Delist — Zero Inventory</t>
        </is>
      </c>
    </row>
    <row r="431" hidden="1" ht="18" customHeight="1" s="229">
      <c r="A431" s="690" t="inlineStr">
        <is>
          <t>Knitted Box Sweater</t>
        </is>
      </c>
      <c r="B431" s="690" t="inlineStr">
        <is>
          <t>Loungewear</t>
        </is>
      </c>
      <c r="C431" s="690" t="inlineStr">
        <is>
          <t>Negligible sales (&lt;$100 in 90 days)</t>
        </is>
      </c>
      <c r="D431" s="691" t="inlineStr">
        <is>
          <t>4 — LOW (natural sellthrough)</t>
        </is>
      </c>
      <c r="E431" s="692" t="n">
        <v>71.7</v>
      </c>
      <c r="F431" s="693" t="n">
        <v>1</v>
      </c>
      <c r="G431" s="694" t="n">
        <v>0</v>
      </c>
      <c r="H431" s="694" t="n">
        <v>0</v>
      </c>
      <c r="I431" s="694" t="n">
        <v>0</v>
      </c>
      <c r="J431" s="695" t="n">
        <v>0</v>
      </c>
      <c r="K431" s="694" t="n">
        <v>0</v>
      </c>
      <c r="L431" s="692" t="n">
        <v>15</v>
      </c>
      <c r="M431" s="696" t="n">
        <v>0</v>
      </c>
      <c r="N431" s="693" t="n">
        <v>1</v>
      </c>
      <c r="O431" s="775" t="inlineStr">
        <is>
          <t>Delist — Zero Inventory</t>
        </is>
      </c>
    </row>
    <row r="432" hidden="1" ht="18" customHeight="1" s="229">
      <c r="A432" s="658" t="inlineStr">
        <is>
          <t>Shimmer Scoop Bra</t>
        </is>
      </c>
      <c r="B432" s="658" t="inlineStr">
        <is>
          <t>Underwear</t>
        </is>
      </c>
      <c r="C432" s="658" t="inlineStr">
        <is>
          <t>Negligible sales (&lt;$100 in 90 days)</t>
        </is>
      </c>
      <c r="D432" s="668" t="inlineStr">
        <is>
          <t>4 — LOW (natural sellthrough)</t>
        </is>
      </c>
      <c r="E432" s="660" t="n">
        <v>75.95</v>
      </c>
      <c r="F432" s="661" t="n">
        <v>2</v>
      </c>
      <c r="G432" s="662" t="n">
        <v>0</v>
      </c>
      <c r="H432" s="662" t="n">
        <v>0</v>
      </c>
      <c r="I432" s="662" t="n">
        <v>0</v>
      </c>
      <c r="J432" s="663" t="n">
        <v>0</v>
      </c>
      <c r="K432" s="662" t="n">
        <v>0</v>
      </c>
      <c r="L432" s="660" t="n">
        <v>10</v>
      </c>
      <c r="M432" s="669" t="n">
        <v>0</v>
      </c>
      <c r="N432" s="661" t="n">
        <v>1</v>
      </c>
      <c r="O432" s="748" t="inlineStr">
        <is>
          <t>Delist — Zero Inventory</t>
        </is>
      </c>
    </row>
    <row r="433" hidden="1" ht="18" customHeight="1" s="229">
      <c r="A433" s="707" t="inlineStr">
        <is>
          <t>NEIWAI X SAVISLOOK  Maxi Dress</t>
        </is>
      </c>
      <c r="B433" s="707" t="inlineStr">
        <is>
          <t>Loungewear</t>
        </is>
      </c>
      <c r="C433" s="707" t="inlineStr">
        <is>
          <t>Negligible sales (&lt;$100 in 90 days)</t>
        </is>
      </c>
      <c r="D433" s="708" t="inlineStr">
        <is>
          <t>4 — LOW (natural sellthrough)</t>
        </is>
      </c>
      <c r="E433" s="709" t="n">
        <v>68.45999999999999</v>
      </c>
      <c r="F433" s="710" t="n">
        <v>1</v>
      </c>
      <c r="G433" s="711" t="n">
        <v>0</v>
      </c>
      <c r="H433" s="711" t="n">
        <v>0</v>
      </c>
      <c r="I433" s="711" t="n">
        <v>0</v>
      </c>
      <c r="J433" s="712" t="n">
        <v>0</v>
      </c>
      <c r="K433" s="711" t="n">
        <v>0</v>
      </c>
      <c r="L433" s="709" t="n">
        <v>15</v>
      </c>
      <c r="M433" s="713" t="n">
        <v>0</v>
      </c>
      <c r="N433" s="710" t="n">
        <v>1</v>
      </c>
      <c r="O433" s="774" t="inlineStr">
        <is>
          <t>Delist — Zero Inventory</t>
        </is>
      </c>
    </row>
    <row r="434" hidden="1" ht="18" customHeight="1" s="229">
      <c r="A434" s="766" t="inlineStr">
        <is>
          <t>Essential Padded Camisole - Shadow Pink</t>
        </is>
      </c>
      <c r="B434" s="766" t="n"/>
      <c r="C434" s="766" t="inlineStr">
        <is>
          <t>Negligible sales (&lt;$100 in 90 days)</t>
        </is>
      </c>
      <c r="D434" s="782" t="inlineStr">
        <is>
          <t>4 — LOW (natural sellthrough)</t>
        </is>
      </c>
      <c r="E434" s="768" t="n">
        <v>48.3</v>
      </c>
      <c r="F434" s="769" t="n">
        <v>1</v>
      </c>
      <c r="G434" s="770" t="n">
        <v>0</v>
      </c>
      <c r="H434" s="770" t="n">
        <v>0</v>
      </c>
      <c r="I434" s="770" t="n">
        <v>0</v>
      </c>
      <c r="J434" s="771" t="n">
        <v>0</v>
      </c>
      <c r="K434" s="770" t="n">
        <v>0</v>
      </c>
      <c r="L434" s="768" t="n">
        <v>8</v>
      </c>
      <c r="M434" s="772" t="n">
        <v>0</v>
      </c>
      <c r="N434" s="769" t="n">
        <v>0</v>
      </c>
      <c r="O434" s="773" t="inlineStr">
        <is>
          <t>Delist — Zero Inventory</t>
        </is>
      </c>
    </row>
    <row r="435" hidden="1" ht="18" customHeight="1" s="229">
      <c r="A435" s="651" t="inlineStr">
        <is>
          <t>Nude Shape Foundation Bra</t>
        </is>
      </c>
      <c r="B435" s="651" t="inlineStr">
        <is>
          <t>Underwear</t>
        </is>
      </c>
      <c r="C435" s="651" t="inlineStr">
        <is>
          <t>Negligible sales (&lt;$100 in 90 days)</t>
        </is>
      </c>
      <c r="D435" s="652" t="inlineStr">
        <is>
          <t>4 — LOW (natural sellthrough)</t>
        </is>
      </c>
      <c r="E435" s="653" t="n">
        <v>48.3</v>
      </c>
      <c r="F435" s="654" t="n">
        <v>1</v>
      </c>
      <c r="G435" s="655" t="n">
        <v>0</v>
      </c>
      <c r="H435" s="655" t="n">
        <v>0</v>
      </c>
      <c r="I435" s="655" t="n">
        <v>0</v>
      </c>
      <c r="J435" s="656" t="n">
        <v>0</v>
      </c>
      <c r="K435" s="655" t="n">
        <v>0</v>
      </c>
      <c r="L435" s="653" t="n">
        <v>10</v>
      </c>
      <c r="M435" s="666" t="n">
        <v>0</v>
      </c>
      <c r="N435" s="654" t="n">
        <v>3</v>
      </c>
      <c r="O435" s="731" t="inlineStr">
        <is>
          <t>Delist — Zero Inventory</t>
        </is>
      </c>
    </row>
    <row r="436" hidden="1" ht="18" customHeight="1" s="229">
      <c r="A436" s="658" t="inlineStr">
        <is>
          <t>Pure Beauty Bridal Ruched Corset</t>
        </is>
      </c>
      <c r="B436" s="658" t="inlineStr">
        <is>
          <t>Underwear</t>
        </is>
      </c>
      <c r="C436" s="658" t="inlineStr">
        <is>
          <t>Negligible sales (&lt;$100 in 90 days)</t>
        </is>
      </c>
      <c r="D436" s="668" t="inlineStr">
        <is>
          <t>4 — LOW (natural sellthrough)</t>
        </is>
      </c>
      <c r="E436" s="660" t="n">
        <v>54.21</v>
      </c>
      <c r="F436" s="661" t="n">
        <v>1</v>
      </c>
      <c r="G436" s="662" t="n">
        <v>0</v>
      </c>
      <c r="H436" s="662" t="n">
        <v>0</v>
      </c>
      <c r="I436" s="662" t="n">
        <v>0</v>
      </c>
      <c r="J436" s="663" t="n">
        <v>0</v>
      </c>
      <c r="K436" s="662" t="n">
        <v>0</v>
      </c>
      <c r="L436" s="660" t="n">
        <v>10</v>
      </c>
      <c r="M436" s="669" t="n">
        <v>0</v>
      </c>
      <c r="N436" s="661" t="n">
        <v>1</v>
      </c>
      <c r="O436" s="748" t="inlineStr">
        <is>
          <t>Delist — Zero Inventory</t>
        </is>
      </c>
    </row>
    <row r="437" hidden="1" ht="18" customHeight="1" s="229">
      <c r="A437" s="690" t="inlineStr">
        <is>
          <t>Boundless Fleece Zip-Up Hoodie</t>
        </is>
      </c>
      <c r="B437" s="690" t="inlineStr">
        <is>
          <t>Loungewear</t>
        </is>
      </c>
      <c r="C437" s="690" t="inlineStr">
        <is>
          <t>Negligible sales (&lt;$100 in 90 days)</t>
        </is>
      </c>
      <c r="D437" s="691" t="inlineStr">
        <is>
          <t>4 — LOW (natural sellthrough)</t>
        </is>
      </c>
      <c r="E437" s="692" t="n">
        <v>28.08</v>
      </c>
      <c r="F437" s="693" t="n">
        <v>1</v>
      </c>
      <c r="G437" s="694" t="n">
        <v>0</v>
      </c>
      <c r="H437" s="694" t="n">
        <v>0</v>
      </c>
      <c r="I437" s="694" t="n">
        <v>0</v>
      </c>
      <c r="J437" s="695" t="n">
        <v>0</v>
      </c>
      <c r="K437" s="694" t="n">
        <v>0</v>
      </c>
      <c r="L437" s="692" t="n">
        <v>15</v>
      </c>
      <c r="M437" s="696" t="n">
        <v>0</v>
      </c>
      <c r="N437" s="693" t="n">
        <v>1</v>
      </c>
      <c r="O437" s="775" t="inlineStr">
        <is>
          <t>Delist — Zero Inventory</t>
        </is>
      </c>
    </row>
    <row r="438" hidden="1" ht="18" customHeight="1" s="229">
      <c r="A438" s="651" t="inlineStr">
        <is>
          <t>Nude Shape High Waist Brief</t>
        </is>
      </c>
      <c r="B438" s="651" t="inlineStr">
        <is>
          <t>Underwear</t>
        </is>
      </c>
      <c r="C438" s="651" t="inlineStr">
        <is>
          <t>Negligible sales (&lt;$100 in 90 days)</t>
        </is>
      </c>
      <c r="D438" s="652" t="inlineStr">
        <is>
          <t>4 — LOW (natural sellthrough)</t>
        </is>
      </c>
      <c r="E438" s="653" t="n">
        <v>45</v>
      </c>
      <c r="F438" s="654" t="n">
        <v>1</v>
      </c>
      <c r="G438" s="655" t="n">
        <v>0</v>
      </c>
      <c r="H438" s="655" t="n">
        <v>0</v>
      </c>
      <c r="I438" s="655" t="n">
        <v>0</v>
      </c>
      <c r="J438" s="656" t="n">
        <v>0</v>
      </c>
      <c r="K438" s="655" t="n">
        <v>0</v>
      </c>
      <c r="L438" s="653" t="n">
        <v>10</v>
      </c>
      <c r="M438" s="666" t="n">
        <v>0</v>
      </c>
      <c r="N438" s="654" t="n">
        <v>2</v>
      </c>
      <c r="O438" s="731" t="inlineStr">
        <is>
          <t>Delist — Zero Inventory</t>
        </is>
      </c>
    </row>
    <row r="439" hidden="1" ht="18" customHeight="1" s="229">
      <c r="A439" s="707" t="inlineStr">
        <is>
          <t>Boundless Fleece Sweatshirt</t>
        </is>
      </c>
      <c r="B439" s="707" t="inlineStr">
        <is>
          <t>Loungewear</t>
        </is>
      </c>
      <c r="C439" s="707" t="inlineStr">
        <is>
          <t>Negligible sales (&lt;$100 in 90 days)</t>
        </is>
      </c>
      <c r="D439" s="708" t="inlineStr">
        <is>
          <t>4 — LOW (natural sellthrough)</t>
        </is>
      </c>
      <c r="E439" s="709" t="n">
        <v>35.28</v>
      </c>
      <c r="F439" s="710" t="n">
        <v>1</v>
      </c>
      <c r="G439" s="711" t="n">
        <v>0</v>
      </c>
      <c r="H439" s="711" t="n">
        <v>0</v>
      </c>
      <c r="I439" s="711" t="n">
        <v>0</v>
      </c>
      <c r="J439" s="712" t="n">
        <v>0</v>
      </c>
      <c r="K439" s="711" t="n">
        <v>0</v>
      </c>
      <c r="L439" s="709" t="n">
        <v>15</v>
      </c>
      <c r="M439" s="713" t="n">
        <v>0</v>
      </c>
      <c r="N439" s="710" t="n">
        <v>1</v>
      </c>
      <c r="O439" s="774" t="inlineStr">
        <is>
          <t>Delist — Zero Inventory</t>
        </is>
      </c>
    </row>
    <row r="440" hidden="1" ht="18" customHeight="1" s="229">
      <c r="A440" s="658" t="inlineStr">
        <is>
          <t>Nude Striped Mesh Triangle Bra</t>
        </is>
      </c>
      <c r="B440" s="658" t="inlineStr">
        <is>
          <t>Underwear</t>
        </is>
      </c>
      <c r="C440" s="658" t="inlineStr">
        <is>
          <t>Negligible sales (&lt;$100 in 90 days)</t>
        </is>
      </c>
      <c r="D440" s="668" t="inlineStr">
        <is>
          <t>4 — LOW (natural sellthrough)</t>
        </is>
      </c>
      <c r="E440" s="660" t="n">
        <v>30.94</v>
      </c>
      <c r="F440" s="661" t="n">
        <v>1</v>
      </c>
      <c r="G440" s="662" t="n">
        <v>0</v>
      </c>
      <c r="H440" s="662" t="n">
        <v>0</v>
      </c>
      <c r="I440" s="662" t="n">
        <v>0</v>
      </c>
      <c r="J440" s="663" t="n">
        <v>0</v>
      </c>
      <c r="K440" s="662" t="n">
        <v>0</v>
      </c>
      <c r="L440" s="660" t="n">
        <v>10</v>
      </c>
      <c r="M440" s="669" t="n">
        <v>0</v>
      </c>
      <c r="N440" s="661" t="n">
        <v>2</v>
      </c>
      <c r="O440" s="748" t="inlineStr">
        <is>
          <t>Delist — Zero Inventory</t>
        </is>
      </c>
    </row>
    <row r="441" hidden="1" ht="18" customHeight="1" s="229">
      <c r="A441" s="690" t="inlineStr">
        <is>
          <t>Summer Moonlight Padded Camisole</t>
        </is>
      </c>
      <c r="B441" s="690" t="inlineStr">
        <is>
          <t>Loungewear</t>
        </is>
      </c>
      <c r="C441" s="690" t="inlineStr">
        <is>
          <t>Negligible sales (&lt;$100 in 90 days)</t>
        </is>
      </c>
      <c r="D441" s="691" t="inlineStr">
        <is>
          <t>4 — LOW (natural sellthrough)</t>
        </is>
      </c>
      <c r="E441" s="692" t="n">
        <v>17.68</v>
      </c>
      <c r="F441" s="693" t="n">
        <v>1</v>
      </c>
      <c r="G441" s="694" t="n">
        <v>0</v>
      </c>
      <c r="H441" s="694" t="n">
        <v>0</v>
      </c>
      <c r="I441" s="694" t="n">
        <v>0</v>
      </c>
      <c r="J441" s="695" t="n">
        <v>0</v>
      </c>
      <c r="K441" s="694" t="n">
        <v>0</v>
      </c>
      <c r="L441" s="692" t="n">
        <v>15</v>
      </c>
      <c r="M441" s="696" t="n">
        <v>0</v>
      </c>
      <c r="N441" s="693" t="n">
        <v>1</v>
      </c>
      <c r="O441" s="775" t="inlineStr">
        <is>
          <t>Delist — Zero Inventory</t>
        </is>
      </c>
    </row>
    <row r="442" hidden="1" ht="18" customHeight="1" s="229">
      <c r="A442" s="707" t="inlineStr">
        <is>
          <t>Cocoon Pajama Pants</t>
        </is>
      </c>
      <c r="B442" s="707" t="inlineStr">
        <is>
          <t>Loungewear</t>
        </is>
      </c>
      <c r="C442" s="707" t="inlineStr">
        <is>
          <t>Negligible sales (&lt;$100 in 90 days)</t>
        </is>
      </c>
      <c r="D442" s="708" t="inlineStr">
        <is>
          <t>4 — LOW (natural sellthrough)</t>
        </is>
      </c>
      <c r="E442" s="709" t="n">
        <v>26.95</v>
      </c>
      <c r="F442" s="710" t="n">
        <v>1</v>
      </c>
      <c r="G442" s="711" t="n">
        <v>3</v>
      </c>
      <c r="H442" s="711" t="n">
        <v>0</v>
      </c>
      <c r="I442" s="711" t="n">
        <v>0</v>
      </c>
      <c r="J442" s="712" t="n">
        <v>3</v>
      </c>
      <c r="K442" s="711" t="n">
        <v>3</v>
      </c>
      <c r="L442" s="709" t="n">
        <v>15</v>
      </c>
      <c r="M442" s="713" t="n">
        <v>45</v>
      </c>
      <c r="N442" s="710" t="n">
        <v>2</v>
      </c>
      <c r="O442" s="779" t="inlineStr">
        <is>
          <t>US Flash Sale</t>
        </is>
      </c>
    </row>
    <row r="443" hidden="1" ht="18" customHeight="1" s="229">
      <c r="A443" s="690" t="inlineStr">
        <is>
          <t>Summer Moonlight Shorts</t>
        </is>
      </c>
      <c r="B443" s="690" t="inlineStr">
        <is>
          <t>Loungewear</t>
        </is>
      </c>
      <c r="C443" s="690" t="inlineStr">
        <is>
          <t>Negligible sales (&lt;$100 in 90 days)</t>
        </is>
      </c>
      <c r="D443" s="691" t="inlineStr">
        <is>
          <t>4 — LOW (natural sellthrough)</t>
        </is>
      </c>
      <c r="E443" s="692" t="n">
        <v>17.68</v>
      </c>
      <c r="F443" s="693" t="n">
        <v>1</v>
      </c>
      <c r="G443" s="694" t="n">
        <v>0</v>
      </c>
      <c r="H443" s="694" t="n">
        <v>0</v>
      </c>
      <c r="I443" s="694" t="n">
        <v>0</v>
      </c>
      <c r="J443" s="695" t="n">
        <v>0</v>
      </c>
      <c r="K443" s="694" t="n">
        <v>0</v>
      </c>
      <c r="L443" s="692" t="n">
        <v>15</v>
      </c>
      <c r="M443" s="696" t="n">
        <v>0</v>
      </c>
      <c r="N443" s="693" t="n">
        <v>1</v>
      </c>
      <c r="O443" s="775" t="inlineStr">
        <is>
          <t>Delist — Zero Inventory</t>
        </is>
      </c>
    </row>
    <row r="444" hidden="1" ht="18" customHeight="1" s="229">
      <c r="A444" s="651" t="inlineStr">
        <is>
          <t>Super Soft Seamless Fixed Cup Bra</t>
        </is>
      </c>
      <c r="B444" s="651" t="inlineStr">
        <is>
          <t>Underwear</t>
        </is>
      </c>
      <c r="C444" s="651" t="inlineStr">
        <is>
          <t>Zero/negative sales</t>
        </is>
      </c>
      <c r="D444" s="698" t="inlineStr">
        <is>
          <t>2 — HIGH (dead product)</t>
        </is>
      </c>
      <c r="E444" s="653" t="n">
        <v>0</v>
      </c>
      <c r="F444" s="654" t="n">
        <v>0</v>
      </c>
      <c r="G444" s="655" t="n">
        <v>0</v>
      </c>
      <c r="H444" s="655" t="n">
        <v>0</v>
      </c>
      <c r="I444" s="655" t="n">
        <v>0</v>
      </c>
      <c r="J444" s="656" t="n">
        <v>0</v>
      </c>
      <c r="K444" s="655" t="n">
        <v>0</v>
      </c>
      <c r="L444" s="653" t="n">
        <v>10</v>
      </c>
      <c r="M444" s="666" t="n">
        <v>0</v>
      </c>
      <c r="N444" s="654" t="n">
        <v>4</v>
      </c>
      <c r="O444" s="731" t="inlineStr">
        <is>
          <t>Delist — Zero Inventory</t>
        </is>
      </c>
    </row>
    <row r="445" hidden="1" ht="18" customHeight="1" s="229">
      <c r="A445" s="783" t="inlineStr">
        <is>
          <t>Pure Comfort Soft Modal Triangle Bra 3.0</t>
        </is>
      </c>
      <c r="B445" s="783" t="inlineStr">
        <is>
          <t>Underwear</t>
        </is>
      </c>
      <c r="C445" s="783" t="inlineStr">
        <is>
          <t>Moved to Flash Sale (2.0/3.0 discontinued; 4.0 retained)</t>
        </is>
      </c>
      <c r="D445" s="668" t="inlineStr">
        <is>
          <t>3 — MEDIUM (selldown or markdown)</t>
        </is>
      </c>
      <c r="E445" s="783" t="n">
        <v>4302.08</v>
      </c>
      <c r="F445" s="783" t="n">
        <v>151</v>
      </c>
      <c r="G445" s="663" t="n">
        <v>333</v>
      </c>
      <c r="H445" s="663" t="n">
        <v>29</v>
      </c>
      <c r="I445" s="663" t="n">
        <v>0</v>
      </c>
      <c r="J445" s="663" t="n">
        <v>362</v>
      </c>
      <c r="K445" s="663" t="n">
        <v>362</v>
      </c>
      <c r="L445" s="783" t="n">
        <v>10</v>
      </c>
      <c r="M445" s="669" t="n">
        <v>3620</v>
      </c>
      <c r="N445" s="783" t="n">
        <v>14</v>
      </c>
      <c r="O445" s="784" t="inlineStr">
        <is>
          <t>Split: Flash Sale (US) + Transfer to China</t>
        </is>
      </c>
    </row>
    <row r="446" hidden="1" ht="18" customHeight="1" s="229">
      <c r="A446" s="785" t="inlineStr">
        <is>
          <t>Pure Comfort Soft Modal Triangle Bra 2.0</t>
        </is>
      </c>
      <c r="B446" s="785" t="inlineStr">
        <is>
          <t>Underwear</t>
        </is>
      </c>
      <c r="C446" s="785" t="inlineStr">
        <is>
          <t>Moved to Flash Sale (2.0/3.0 discontinued; 4.0 retained)</t>
        </is>
      </c>
      <c r="D446" s="652" t="inlineStr">
        <is>
          <t>3 — MEDIUM (selldown or markdown)</t>
        </is>
      </c>
      <c r="E446" s="785" t="n">
        <v>1634.37</v>
      </c>
      <c r="F446" s="785" t="n">
        <v>56</v>
      </c>
      <c r="G446" s="656" t="n">
        <v>8</v>
      </c>
      <c r="H446" s="656" t="n">
        <v>38</v>
      </c>
      <c r="I446" s="656" t="n">
        <v>1198</v>
      </c>
      <c r="J446" s="656" t="n">
        <v>46</v>
      </c>
      <c r="K446" s="656" t="n">
        <v>1244</v>
      </c>
      <c r="L446" s="785" t="n">
        <v>10</v>
      </c>
      <c r="M446" s="666" t="n">
        <v>12440</v>
      </c>
      <c r="N446" s="785" t="n">
        <v>13</v>
      </c>
      <c r="O446" s="786" t="inlineStr">
        <is>
          <t>Split: Flash Sale (US) + Transfer to China</t>
        </is>
      </c>
    </row>
  </sheetData>
  <autoFilter ref="A1:W446">
    <filterColumn colId="0" hiddenButton="0" showButton="1">
      <filters>
        <filter val="Classic Cozy Pajama Pants"/>
        <filter val="Classic Cozy Pajama Pants 3.0"/>
        <filter val="Classic Cozy Pajama Shirt"/>
        <filter val="Classic Cozy Pajama Tee"/>
        <filter val="Men's Classic Cozy Pajama Pants"/>
        <filter val="Men's Classic Cozy Pajama Shirt"/>
      </filters>
    </filterColumn>
  </autoFilter>
  <pageMargins left="0.7" right="0.7" top="0.75" bottom="0.75" header="0.3" footer="0.3"/>
</worksheet>
</file>

<file path=xl/worksheets/sheet7.xml><?xml version="1.0" encoding="utf-8"?>
<worksheet xmlns="http://schemas.openxmlformats.org/spreadsheetml/2006/main">
  <sheetPr>
    <tabColor rgb="004A4A6A"/>
    <outlinePr summaryBelow="1" summaryRight="1"/>
    <pageSetUpPr/>
  </sheetPr>
  <dimension ref="A1:AC497"/>
  <sheetViews>
    <sheetView showGridLines="0" workbookViewId="0">
      <pane ySplit="1" topLeftCell="A2" activePane="bottomLeft" state="frozen"/>
      <selection pane="bottomLeft" activeCell="AB2" sqref="AB2"/>
    </sheetView>
  </sheetViews>
  <sheetFormatPr baseColWidth="10" defaultColWidth="9" defaultRowHeight="14"/>
  <cols>
    <col width="42" customWidth="1" style="229" min="1" max="1"/>
    <col width="13" customWidth="1" style="229" min="2" max="2"/>
    <col width="16" customWidth="1" style="229" min="3" max="3"/>
    <col width="32" customWidth="1" style="229" min="4" max="4"/>
    <col width="28" customWidth="1" style="229" min="5" max="5"/>
    <col width="10" customWidth="1" style="229" min="6" max="6"/>
    <col width="28" customWidth="1" style="229" min="7" max="7"/>
    <col width="14" customWidth="1" style="229" min="8" max="8"/>
    <col width="13" customWidth="1" style="229" min="9" max="9"/>
    <col width="12" customWidth="1" style="229" min="10" max="10"/>
    <col width="8" customWidth="1" style="229" min="11" max="11"/>
    <col width="10" customWidth="1" style="229" min="12" max="12"/>
    <col width="9" customWidth="1" style="229" min="13" max="13"/>
    <col width="9" customWidth="1" style="229" min="14" max="14"/>
    <col width="9" customWidth="1" style="229" min="15" max="15"/>
    <col width="6" customWidth="1" style="229" min="16" max="16"/>
    <col width="9" customWidth="1" style="229" min="17" max="17"/>
    <col width="8" customWidth="1" style="229" min="18" max="18"/>
    <col width="9" customWidth="1" style="229" min="19" max="19"/>
    <col width="9" customWidth="1" style="229" min="20" max="20"/>
    <col width="9" customWidth="1" style="229" min="21" max="21"/>
    <col width="8" customWidth="1" style="229" min="22" max="22"/>
    <col width="9" customWidth="1" style="229" min="23" max="23"/>
    <col width="11" customWidth="1" style="229" min="24" max="24"/>
    <col width="8" customWidth="1" style="229" min="25" max="25"/>
    <col width="9" customWidth="1" style="229" min="26" max="26"/>
    <col width="8" customWidth="1" style="229" min="27" max="27"/>
    <col width="12" customWidth="1" style="229" min="28" max="28"/>
    <col width="22" customWidth="1" style="229" min="29" max="29"/>
  </cols>
  <sheetData>
    <row r="1" ht="40" customHeight="1" s="229">
      <c r="A1" s="550" t="inlineStr">
        <is>
          <t>Product</t>
        </is>
      </c>
      <c r="B1" s="553" t="inlineStr">
        <is>
          <t>Product Type</t>
        </is>
      </c>
      <c r="C1" s="553" t="inlineStr">
        <is>
          <t>Action</t>
        </is>
      </c>
      <c r="D1" s="550" t="inlineStr">
        <is>
          <t>Note</t>
        </is>
      </c>
      <c r="E1" s="550" t="inlineStr">
        <is>
          <t>Liq. Priority</t>
        </is>
      </c>
      <c r="F1" s="553" t="inlineStr">
        <is>
          <t>Keep?</t>
        </is>
      </c>
      <c r="G1" s="550" t="inlineStr">
        <is>
          <t>Note (Internal)</t>
        </is>
      </c>
      <c r="H1" s="566" t="inlineStr">
        <is>
          <t>90-Day
Sales</t>
        </is>
      </c>
      <c r="I1" s="566" t="inlineStr">
        <is>
          <t>Gross
Sales</t>
        </is>
      </c>
      <c r="J1" s="566" t="inlineStr">
        <is>
          <t>Discounts</t>
        </is>
      </c>
      <c r="K1" s="553" t="inlineStr">
        <is>
          <t>Disc %</t>
        </is>
      </c>
      <c r="L1" s="566" t="inlineStr">
        <is>
          <t>Units
Sold</t>
        </is>
      </c>
      <c r="M1" s="566" t="inlineStr">
        <is>
          <t>Avg
Price</t>
        </is>
      </c>
      <c r="N1" s="553" t="inlineStr">
        <is>
          <t>% Total
Sales</t>
        </is>
      </c>
      <c r="O1" s="553" t="inlineStr">
        <is>
          <t>Cum %
Sales</t>
        </is>
      </c>
      <c r="P1" s="553" t="inlineStr">
        <is>
          <t>SKUs</t>
        </is>
      </c>
      <c r="Q1" s="566" t="inlineStr">
        <is>
          <t>Est.
COGS</t>
        </is>
      </c>
      <c r="R1" s="566" t="inlineStr">
        <is>
          <t>Orders</t>
        </is>
      </c>
      <c r="S1" s="566" t="inlineStr">
        <is>
          <t>US
Warehouse</t>
        </is>
      </c>
      <c r="T1" s="566" t="inlineStr">
        <is>
          <t>Yuntu</t>
        </is>
      </c>
      <c r="U1" s="566" t="inlineStr">
        <is>
          <t>菜鸟仓</t>
        </is>
      </c>
      <c r="V1" s="566" t="inlineStr">
        <is>
          <t>US
Inv</t>
        </is>
      </c>
      <c r="W1" s="566" t="inlineStr">
        <is>
          <t>Total
Inv</t>
        </is>
      </c>
      <c r="X1" s="566" t="inlineStr">
        <is>
          <t>Est. Inv
Value</t>
        </is>
      </c>
      <c r="Y1" s="566" t="inlineStr">
        <is>
          <t>List
Price</t>
        </is>
      </c>
      <c r="Z1" s="566" t="inlineStr">
        <is>
          <t>Current
Price</t>
        </is>
      </c>
      <c r="AA1" s="553" t="inlineStr">
        <is>
          <t>On Sale?</t>
        </is>
      </c>
      <c r="AB1" s="553" t="inlineStr">
        <is>
          <t>款号</t>
        </is>
      </c>
      <c r="AC1" s="550" t="inlineStr">
        <is>
          <t>中文名</t>
        </is>
      </c>
    </row>
    <row r="2" ht="18" customHeight="1" s="229">
      <c r="A2" s="567" t="inlineStr">
        <is>
          <t>UNDERWEAR  —  126 products</t>
        </is>
      </c>
      <c r="B2" s="568" t="n"/>
      <c r="C2" s="568" t="n"/>
      <c r="D2" s="568" t="n"/>
      <c r="E2" s="568" t="n"/>
      <c r="F2" s="568" t="n"/>
      <c r="G2" s="568" t="n"/>
      <c r="H2" s="568" t="n"/>
      <c r="I2" s="568" t="n"/>
      <c r="J2" s="568" t="n"/>
      <c r="K2" s="568" t="n"/>
      <c r="L2" s="568" t="n"/>
      <c r="M2" s="568" t="n"/>
      <c r="N2" s="568" t="n"/>
      <c r="O2" s="568" t="n"/>
      <c r="P2" s="568" t="n"/>
      <c r="Q2" s="568" t="n"/>
      <c r="R2" s="568" t="n"/>
      <c r="S2" s="568" t="n"/>
      <c r="T2" s="568" t="n"/>
      <c r="U2" s="568" t="n"/>
      <c r="V2" s="568" t="n"/>
      <c r="W2" s="568" t="n"/>
      <c r="X2" s="568" t="n"/>
      <c r="Y2" s="568" t="n"/>
      <c r="Z2" s="568" t="n"/>
      <c r="AA2" s="568" t="n"/>
      <c r="AB2" s="568" t="n"/>
      <c r="AC2" s="568" t="n"/>
    </row>
    <row r="3" ht="18" customHeight="1" s="229">
      <c r="A3" s="569" t="inlineStr">
        <is>
          <t>Barely Zero Anchored Cup Spaghetti Strap Bra</t>
        </is>
      </c>
      <c r="B3" s="570" t="inlineStr">
        <is>
          <t>Underwear</t>
        </is>
      </c>
      <c r="C3" s="571" t="inlineStr">
        <is>
          <t>KEEP — Tier 1</t>
        </is>
      </c>
      <c r="D3" s="572" t="inlineStr">
        <is>
          <t>Core Barely Zero</t>
        </is>
      </c>
      <c r="E3" s="572" t="n"/>
      <c r="F3" s="573" t="inlineStr">
        <is>
          <t>Keep</t>
        </is>
      </c>
      <c r="G3" s="572" t="inlineStr">
        <is>
          <t>Keep</t>
        </is>
      </c>
      <c r="H3" s="574" t="n">
        <v>419478.36</v>
      </c>
      <c r="I3" s="574" t="n">
        <v>635214.79</v>
      </c>
      <c r="J3" s="574" t="n">
        <v>-197449.34</v>
      </c>
      <c r="K3" s="575" t="n">
        <v>0.311</v>
      </c>
      <c r="L3" s="576" t="n">
        <v>15683</v>
      </c>
      <c r="M3" s="574" t="n">
        <v>26.75</v>
      </c>
      <c r="N3" s="577" t="n">
        <v>0.2304</v>
      </c>
      <c r="O3" s="577" t="n">
        <v>0.2304</v>
      </c>
      <c r="P3" s="573" t="n">
        <v>6</v>
      </c>
      <c r="Q3" s="574" t="n">
        <v>10</v>
      </c>
      <c r="R3" s="576" t="n">
        <v>13650</v>
      </c>
      <c r="S3" s="576" t="n">
        <v>4119</v>
      </c>
      <c r="T3" s="576" t="n">
        <v>5412</v>
      </c>
      <c r="U3" s="576" t="n">
        <v>0</v>
      </c>
      <c r="V3" s="576">
        <f>S2+T2</f>
        <v/>
      </c>
      <c r="W3" s="576">
        <f>S2+T2+U2</f>
        <v/>
      </c>
      <c r="X3" s="576">
        <f>W2*Q2</f>
        <v/>
      </c>
      <c r="Y3" s="574" t="n">
        <v>39</v>
      </c>
      <c r="Z3" s="574" t="n">
        <v>39</v>
      </c>
      <c r="AA3" s="573">
        <f>IF(Y2=Z2,"No","Yes")</f>
        <v/>
      </c>
      <c r="AB3" s="573" t="inlineStr">
        <is>
          <t>NO251WU1121</t>
        </is>
      </c>
      <c r="AC3" s="572" t="inlineStr">
        <is>
          <t>云朵无尺码3.0吊带款(半固定胸垫)</t>
        </is>
      </c>
    </row>
    <row r="4" ht="18" customHeight="1" s="229">
      <c r="A4" s="578" t="inlineStr">
        <is>
          <t>Barely Zero Anchored Cup Classic Bra</t>
        </is>
      </c>
      <c r="B4" s="579" t="inlineStr">
        <is>
          <t>Underwear</t>
        </is>
      </c>
      <c r="C4" s="580" t="inlineStr">
        <is>
          <t>KEEP — Tier 1</t>
        </is>
      </c>
      <c r="D4" s="581" t="inlineStr">
        <is>
          <t>Core Barely Zero</t>
        </is>
      </c>
      <c r="E4" s="581" t="n"/>
      <c r="F4" s="582" t="inlineStr">
        <is>
          <t>Keep</t>
        </is>
      </c>
      <c r="G4" s="581" t="inlineStr">
        <is>
          <t>Keep</t>
        </is>
      </c>
      <c r="H4" s="583" t="n">
        <v>254364.48</v>
      </c>
      <c r="I4" s="583" t="n">
        <v>381965.37</v>
      </c>
      <c r="J4" s="583" t="n">
        <v>-120019.03</v>
      </c>
      <c r="K4" s="584" t="n">
        <v>0.314</v>
      </c>
      <c r="L4" s="585" t="n">
        <v>9522</v>
      </c>
      <c r="M4" s="583" t="n">
        <v>26.71</v>
      </c>
      <c r="N4" s="586" t="n">
        <v>0.1397</v>
      </c>
      <c r="O4" s="586" t="n">
        <v>0.3701</v>
      </c>
      <c r="P4" s="582" t="n">
        <v>4</v>
      </c>
      <c r="Q4" s="583" t="n">
        <v>10</v>
      </c>
      <c r="R4" s="585" t="n">
        <v>8130</v>
      </c>
      <c r="S4" s="585" t="n">
        <v>4588</v>
      </c>
      <c r="T4" s="585" t="n">
        <v>982</v>
      </c>
      <c r="U4" s="585" t="n">
        <v>0</v>
      </c>
      <c r="V4" s="585">
        <f>S3+T3</f>
        <v/>
      </c>
      <c r="W4" s="585">
        <f>S3+T3+U3</f>
        <v/>
      </c>
      <c r="X4" s="585">
        <f>W3*Q3</f>
        <v/>
      </c>
      <c r="Y4" s="583" t="n">
        <v>39</v>
      </c>
      <c r="Z4" s="583" t="n">
        <v>39</v>
      </c>
      <c r="AA4" s="582">
        <f>IF(Y3=Z3,"No","Yes")</f>
        <v/>
      </c>
      <c r="AB4" s="582" t="inlineStr">
        <is>
          <t>NO251WU1122</t>
        </is>
      </c>
      <c r="AC4" s="581" t="inlineStr">
        <is>
          <t>云朵无尺码3.0背心款(半固定胸垫)</t>
        </is>
      </c>
    </row>
    <row r="5" ht="18" customHeight="1" s="229">
      <c r="A5" s="569" t="inlineStr">
        <is>
          <t>Barely Zero Spaghetti Strap Bra</t>
        </is>
      </c>
      <c r="B5" s="570" t="inlineStr">
        <is>
          <t>Underwear</t>
        </is>
      </c>
      <c r="C5" s="571" t="inlineStr">
        <is>
          <t>KEEP — Tier 1</t>
        </is>
      </c>
      <c r="D5" s="572" t="inlineStr">
        <is>
          <t>Core Barely Zero</t>
        </is>
      </c>
      <c r="E5" s="572" t="n"/>
      <c r="F5" s="573" t="inlineStr">
        <is>
          <t>Keep</t>
        </is>
      </c>
      <c r="G5" s="572" t="inlineStr">
        <is>
          <t>Keep</t>
        </is>
      </c>
      <c r="H5" s="574" t="n">
        <v>145168.64</v>
      </c>
      <c r="I5" s="574" t="n">
        <v>213595.1</v>
      </c>
      <c r="J5" s="574" t="n">
        <v>-62193</v>
      </c>
      <c r="K5" s="575" t="n">
        <v>0.291</v>
      </c>
      <c r="L5" s="576" t="n">
        <v>5256</v>
      </c>
      <c r="M5" s="574" t="n">
        <v>27.62</v>
      </c>
      <c r="N5" s="577" t="n">
        <v>0.07969999999999999</v>
      </c>
      <c r="O5" s="577" t="n">
        <v>0.4498</v>
      </c>
      <c r="P5" s="573" t="n">
        <v>5</v>
      </c>
      <c r="Q5" s="574" t="n">
        <v>10</v>
      </c>
      <c r="R5" s="576" t="n">
        <v>4429</v>
      </c>
      <c r="S5" s="576" t="n">
        <v>10808</v>
      </c>
      <c r="T5" s="576" t="n">
        <v>0</v>
      </c>
      <c r="U5" s="576" t="n">
        <v>0</v>
      </c>
      <c r="V5" s="576">
        <f>S4+T4</f>
        <v/>
      </c>
      <c r="W5" s="576">
        <f>S4+T4+U4</f>
        <v/>
      </c>
      <c r="X5" s="576">
        <f>W4*Q4</f>
        <v/>
      </c>
      <c r="Y5" s="574" t="n">
        <v>39</v>
      </c>
      <c r="Z5" s="574" t="n">
        <v>39</v>
      </c>
      <c r="AA5" s="573">
        <f>IF(Y4=Z4,"No","Yes")</f>
        <v/>
      </c>
      <c r="AB5" s="573" t="inlineStr">
        <is>
          <t>N211WU1120</t>
        </is>
      </c>
      <c r="AC5" s="572" t="inlineStr">
        <is>
          <t>无尺码吊带文胸</t>
        </is>
      </c>
    </row>
    <row r="6" ht="18" customHeight="1" s="229">
      <c r="A6" s="578" t="inlineStr">
        <is>
          <t>Barely Zero Fixed Cup Wavy Bra</t>
        </is>
      </c>
      <c r="B6" s="579" t="inlineStr">
        <is>
          <t>Underwear</t>
        </is>
      </c>
      <c r="C6" s="580" t="inlineStr">
        <is>
          <t>KEEP — Tier 1</t>
        </is>
      </c>
      <c r="D6" s="581" t="inlineStr">
        <is>
          <t>Core Barely Zero</t>
        </is>
      </c>
      <c r="E6" s="581" t="n"/>
      <c r="F6" s="582" t="inlineStr">
        <is>
          <t>Keep</t>
        </is>
      </c>
      <c r="G6" s="581" t="inlineStr">
        <is>
          <t>Keep</t>
        </is>
      </c>
      <c r="H6" s="583" t="n">
        <v>86420.05</v>
      </c>
      <c r="I6" s="583" t="n">
        <v>144312.49</v>
      </c>
      <c r="J6" s="583" t="n">
        <v>-45368.13</v>
      </c>
      <c r="K6" s="584" t="n">
        <v>0.314</v>
      </c>
      <c r="L6" s="585" t="n">
        <v>2594</v>
      </c>
      <c r="M6" s="583" t="n">
        <v>33.32</v>
      </c>
      <c r="N6" s="586" t="n">
        <v>0.0475</v>
      </c>
      <c r="O6" s="586" t="n">
        <v>0.4973</v>
      </c>
      <c r="P6" s="582" t="n">
        <v>12</v>
      </c>
      <c r="Q6" s="583" t="n">
        <v>10</v>
      </c>
      <c r="R6" s="585" t="n">
        <v>2665</v>
      </c>
      <c r="S6" s="585" t="n">
        <v>1483</v>
      </c>
      <c r="T6" s="585" t="n">
        <v>1200</v>
      </c>
      <c r="U6" s="585" t="n">
        <v>2639</v>
      </c>
      <c r="V6" s="585">
        <f>S5+T5</f>
        <v/>
      </c>
      <c r="W6" s="585">
        <f>S5+T5+U5</f>
        <v/>
      </c>
      <c r="X6" s="585">
        <f>W5*Q5</f>
        <v/>
      </c>
      <c r="Y6" s="583" t="n">
        <v>49</v>
      </c>
      <c r="Z6" s="583" t="n">
        <v>49</v>
      </c>
      <c r="AA6" s="582">
        <f>IF(Y5=Z5,"No","Yes")</f>
        <v/>
      </c>
      <c r="AB6" s="582" t="inlineStr">
        <is>
          <t>NW221WU1198</t>
        </is>
      </c>
      <c r="AC6" s="581" t="inlineStr">
        <is>
          <t>固定杯吊带款文胸</t>
        </is>
      </c>
    </row>
    <row r="7" ht="18" customHeight="1" s="229">
      <c r="A7" s="569" t="inlineStr">
        <is>
          <t>Barely Zero Fixed Cup Wavy Clasp Bra</t>
        </is>
      </c>
      <c r="B7" s="570" t="inlineStr">
        <is>
          <t>Underwear</t>
        </is>
      </c>
      <c r="C7" s="571" t="inlineStr">
        <is>
          <t>KEEP — Tier 1</t>
        </is>
      </c>
      <c r="D7" s="572" t="inlineStr">
        <is>
          <t>Core Barely Zero</t>
        </is>
      </c>
      <c r="E7" s="572" t="n"/>
      <c r="F7" s="573" t="inlineStr">
        <is>
          <t>Keep</t>
        </is>
      </c>
      <c r="G7" s="572" t="inlineStr">
        <is>
          <t>Keep</t>
        </is>
      </c>
      <c r="H7" s="574" t="n">
        <v>82444.25</v>
      </c>
      <c r="I7" s="574" t="n">
        <v>129437.15</v>
      </c>
      <c r="J7" s="574" t="n">
        <v>-37837.91</v>
      </c>
      <c r="K7" s="575" t="n">
        <v>0.292</v>
      </c>
      <c r="L7" s="576" t="n">
        <v>1984</v>
      </c>
      <c r="M7" s="574" t="n">
        <v>41.55</v>
      </c>
      <c r="N7" s="577" t="n">
        <v>0.0453</v>
      </c>
      <c r="O7" s="577" t="n">
        <v>0.5426</v>
      </c>
      <c r="P7" s="573" t="n">
        <v>8</v>
      </c>
      <c r="Q7" s="574" t="n">
        <v>10</v>
      </c>
      <c r="R7" s="576" t="n">
        <v>2005</v>
      </c>
      <c r="S7" s="576" t="n">
        <v>0</v>
      </c>
      <c r="T7" s="576" t="n">
        <v>534</v>
      </c>
      <c r="U7" s="576" t="n">
        <v>0</v>
      </c>
      <c r="V7" s="576">
        <f>S6+T6</f>
        <v/>
      </c>
      <c r="W7" s="576">
        <f>S6+T6+U6</f>
        <v/>
      </c>
      <c r="X7" s="576">
        <f>W6*Q6</f>
        <v/>
      </c>
      <c r="Y7" s="574" t="n">
        <v>59</v>
      </c>
      <c r="Z7" s="574" t="n">
        <v>59</v>
      </c>
      <c r="AA7" s="573">
        <f>IF(Y6=Z6,"No","Yes")</f>
        <v/>
      </c>
      <c r="AB7" s="573" t="inlineStr">
        <is>
          <t>NO252WU1124</t>
        </is>
      </c>
      <c r="AC7" s="572" t="inlineStr">
        <is>
          <t>抱抱杯背扣文胸（美国）</t>
        </is>
      </c>
    </row>
    <row r="8" ht="18" customHeight="1" s="229">
      <c r="A8" s="578" t="inlineStr">
        <is>
          <t>Barely Zero Camisole</t>
        </is>
      </c>
      <c r="B8" s="579" t="inlineStr">
        <is>
          <t>Underwear</t>
        </is>
      </c>
      <c r="C8" s="580" t="inlineStr">
        <is>
          <t>KEEP — Tier 1</t>
        </is>
      </c>
      <c r="D8" s="581" t="inlineStr">
        <is>
          <t>Core Barely Zero</t>
        </is>
      </c>
      <c r="E8" s="581" t="n"/>
      <c r="F8" s="582" t="inlineStr">
        <is>
          <t>Keep</t>
        </is>
      </c>
      <c r="G8" s="581" t="inlineStr">
        <is>
          <t>Keep</t>
        </is>
      </c>
      <c r="H8" s="583" t="n">
        <v>50143.79</v>
      </c>
      <c r="I8" s="583" t="n">
        <v>78511.12</v>
      </c>
      <c r="J8" s="583" t="n">
        <v>-23146.69</v>
      </c>
      <c r="K8" s="584" t="n">
        <v>0.295</v>
      </c>
      <c r="L8" s="585" t="n">
        <v>1460</v>
      </c>
      <c r="M8" s="583" t="n">
        <v>34.35</v>
      </c>
      <c r="N8" s="586" t="n">
        <v>0.0275</v>
      </c>
      <c r="O8" s="586" t="n">
        <v>0.5700999999999999</v>
      </c>
      <c r="P8" s="582" t="n">
        <v>4</v>
      </c>
      <c r="Q8" s="583" t="n">
        <v>10</v>
      </c>
      <c r="R8" s="585" t="n">
        <v>1463</v>
      </c>
      <c r="S8" s="585" t="n">
        <v>14</v>
      </c>
      <c r="T8" s="585" t="n">
        <v>472</v>
      </c>
      <c r="U8" s="585" t="n">
        <v>0</v>
      </c>
      <c r="V8" s="585">
        <f>S7+T7</f>
        <v/>
      </c>
      <c r="W8" s="585">
        <f>S7+T7+U7</f>
        <v/>
      </c>
      <c r="X8" s="585">
        <f>W7*Q7</f>
        <v/>
      </c>
      <c r="Y8" s="583" t="n">
        <v>49</v>
      </c>
      <c r="Z8" s="583" t="n">
        <v>49</v>
      </c>
      <c r="AA8" s="582">
        <f>IF(Y7=Z7,"No","Yes")</f>
        <v/>
      </c>
      <c r="AB8" s="582" t="inlineStr">
        <is>
          <t>NW242WF3206</t>
        </is>
      </c>
      <c r="AC8" s="581" t="inlineStr">
        <is>
          <t>云朵带胸垫吊带背心</t>
        </is>
      </c>
    </row>
    <row r="9" ht="18" customHeight="1" s="229">
      <c r="A9" s="569" t="inlineStr">
        <is>
          <t>Barely Zero Fixed Cup Clasp Bra</t>
        </is>
      </c>
      <c r="B9" s="570" t="inlineStr">
        <is>
          <t>Underwear</t>
        </is>
      </c>
      <c r="C9" s="571" t="inlineStr">
        <is>
          <t>KEEP — Tier 1</t>
        </is>
      </c>
      <c r="D9" s="572" t="inlineStr">
        <is>
          <t>Core Barely Zero</t>
        </is>
      </c>
      <c r="E9" s="572" t="n"/>
      <c r="F9" s="573" t="inlineStr">
        <is>
          <t>Keep</t>
        </is>
      </c>
      <c r="G9" s="572" t="inlineStr">
        <is>
          <t>Keep</t>
        </is>
      </c>
      <c r="H9" s="574" t="n">
        <v>50076.04</v>
      </c>
      <c r="I9" s="574" t="n">
        <v>84445.31</v>
      </c>
      <c r="J9" s="574" t="n">
        <v>-25094.65</v>
      </c>
      <c r="K9" s="575" t="n">
        <v>0.297</v>
      </c>
      <c r="L9" s="576" t="n">
        <v>1459</v>
      </c>
      <c r="M9" s="574" t="n">
        <v>34.32</v>
      </c>
      <c r="N9" s="577" t="n">
        <v>0.0275</v>
      </c>
      <c r="O9" s="577" t="n">
        <v>0.5976</v>
      </c>
      <c r="P9" s="573" t="n">
        <v>6</v>
      </c>
      <c r="Q9" s="574" t="n">
        <v>10</v>
      </c>
      <c r="R9" s="576" t="n">
        <v>1541</v>
      </c>
      <c r="S9" s="576" t="n">
        <v>1502</v>
      </c>
      <c r="T9" s="576" t="n">
        <v>15</v>
      </c>
      <c r="U9" s="576" t="n">
        <v>499</v>
      </c>
      <c r="V9" s="576">
        <f>S8+T8</f>
        <v/>
      </c>
      <c r="W9" s="576">
        <f>S8+T8+U8</f>
        <v/>
      </c>
      <c r="X9" s="576">
        <f>W8*Q8</f>
        <v/>
      </c>
      <c r="Y9" s="574" t="n">
        <v>49</v>
      </c>
      <c r="Z9" s="574" t="n">
        <v>49</v>
      </c>
      <c r="AA9" s="573">
        <f>IF(Y8=Z8,"No","Yes")</f>
        <v/>
      </c>
      <c r="AB9" s="573" t="inlineStr">
        <is>
          <t>NW221WU11103</t>
        </is>
      </c>
      <c r="AC9" s="572" t="inlineStr">
        <is>
          <t>软支撑吊带款文胸</t>
        </is>
      </c>
    </row>
    <row r="10" ht="18" customHeight="1" s="229">
      <c r="A10" s="578" t="inlineStr">
        <is>
          <t>Barely Zero Anchored Cup Curve Bra</t>
        </is>
      </c>
      <c r="B10" s="579" t="inlineStr">
        <is>
          <t>Underwear</t>
        </is>
      </c>
      <c r="C10" s="580" t="inlineStr">
        <is>
          <t>KEEP — Tier 1</t>
        </is>
      </c>
      <c r="D10" s="581" t="inlineStr">
        <is>
          <t>Core Barely Zero</t>
        </is>
      </c>
      <c r="E10" s="581" t="n"/>
      <c r="F10" s="582" t="inlineStr">
        <is>
          <t>Keep</t>
        </is>
      </c>
      <c r="G10" s="581" t="inlineStr">
        <is>
          <t>Keep</t>
        </is>
      </c>
      <c r="H10" s="583" t="n">
        <v>34119.51</v>
      </c>
      <c r="I10" s="583" t="n">
        <v>50741.95</v>
      </c>
      <c r="J10" s="583" t="n">
        <v>-14243.81</v>
      </c>
      <c r="K10" s="584" t="n">
        <v>0.281</v>
      </c>
      <c r="L10" s="585" t="n">
        <v>971</v>
      </c>
      <c r="M10" s="583" t="n">
        <v>35.14</v>
      </c>
      <c r="N10" s="586" t="n">
        <v>0.0187</v>
      </c>
      <c r="O10" s="586" t="n">
        <v>0.6163000000000001</v>
      </c>
      <c r="P10" s="582" t="n">
        <v>3</v>
      </c>
      <c r="Q10" s="583" t="n">
        <v>10</v>
      </c>
      <c r="R10" s="585" t="n">
        <v>880</v>
      </c>
      <c r="S10" s="585" t="n">
        <v>0</v>
      </c>
      <c r="T10" s="585" t="n">
        <v>1128</v>
      </c>
      <c r="U10" s="585" t="n">
        <v>0</v>
      </c>
      <c r="V10" s="585">
        <f>S9+T9</f>
        <v/>
      </c>
      <c r="W10" s="585">
        <f>S9+T9+U9</f>
        <v/>
      </c>
      <c r="X10" s="585">
        <f>W9*Q9</f>
        <v/>
      </c>
      <c r="Y10" s="583" t="n">
        <v>49</v>
      </c>
      <c r="Z10" s="583" t="n">
        <v>49</v>
      </c>
      <c r="AA10" s="582">
        <f>IF(Y9=Z9,"No","Yes")</f>
        <v/>
      </c>
      <c r="AB10" s="582" t="inlineStr">
        <is>
          <t>NO252WU1123</t>
        </is>
      </c>
      <c r="AC10" s="581" t="inlineStr">
        <is>
          <t>云朵固定杯丰盈文胸（美国）</t>
        </is>
      </c>
    </row>
    <row r="11" ht="18" customHeight="1" s="229">
      <c r="A11" s="569" t="inlineStr">
        <is>
          <t>Barely Zero Light Brief</t>
        </is>
      </c>
      <c r="B11" s="570" t="inlineStr">
        <is>
          <t>Underwear</t>
        </is>
      </c>
      <c r="C11" s="571" t="inlineStr">
        <is>
          <t>KEEP — Tier 1</t>
        </is>
      </c>
      <c r="D11" s="572" t="inlineStr">
        <is>
          <t>Core Barely Zero</t>
        </is>
      </c>
      <c r="E11" s="572" t="n"/>
      <c r="F11" s="573" t="inlineStr">
        <is>
          <t>Keep</t>
        </is>
      </c>
      <c r="G11" s="572" t="inlineStr">
        <is>
          <t>Keep</t>
        </is>
      </c>
      <c r="H11" s="574" t="n">
        <v>30132.85</v>
      </c>
      <c r="I11" s="574" t="n">
        <v>41667</v>
      </c>
      <c r="J11" s="574" t="n">
        <v>-11359.35</v>
      </c>
      <c r="K11" s="575" t="n">
        <v>0.273</v>
      </c>
      <c r="L11" s="576" t="n">
        <v>2180</v>
      </c>
      <c r="M11" s="574" t="n">
        <v>13.82</v>
      </c>
      <c r="N11" s="577" t="n">
        <v>0.0165</v>
      </c>
      <c r="O11" s="577" t="n">
        <v>0.6328</v>
      </c>
      <c r="P11" s="573" t="n">
        <v>2</v>
      </c>
      <c r="Q11" s="574" t="n">
        <v>10</v>
      </c>
      <c r="R11" s="576" t="n">
        <v>1481</v>
      </c>
      <c r="S11" s="576" t="n">
        <v>0</v>
      </c>
      <c r="T11" s="576" t="n">
        <v>2988</v>
      </c>
      <c r="U11" s="576" t="n">
        <v>0</v>
      </c>
      <c r="V11" s="576">
        <f>S10+T10</f>
        <v/>
      </c>
      <c r="W11" s="576">
        <f>S10+T10+U10</f>
        <v/>
      </c>
      <c r="X11" s="576">
        <f>W10*Q10</f>
        <v/>
      </c>
      <c r="Y11" s="574" t="n">
        <v>19</v>
      </c>
      <c r="Z11" s="574" t="n">
        <v>19</v>
      </c>
      <c r="AA11" s="573">
        <f>IF(Y10=Z10,"No","Yes")</f>
        <v/>
      </c>
      <c r="AB11" s="573" t="inlineStr">
        <is>
          <t>NO251WU1303</t>
        </is>
      </c>
      <c r="AC11" s="572" t="inlineStr">
        <is>
          <t>云朵无尺码轻薄内裤单条装（美国）</t>
        </is>
      </c>
    </row>
    <row r="12" ht="18" customHeight="1" s="229">
      <c r="A12" s="578" t="inlineStr">
        <is>
          <t>Barely Zero Low Waist Brief</t>
        </is>
      </c>
      <c r="B12" s="579" t="inlineStr">
        <is>
          <t>Underwear</t>
        </is>
      </c>
      <c r="C12" s="580" t="inlineStr">
        <is>
          <t>KEEP — Tier 1</t>
        </is>
      </c>
      <c r="D12" s="581" t="inlineStr">
        <is>
          <t>Core Barely Zero</t>
        </is>
      </c>
      <c r="E12" s="581" t="n"/>
      <c r="F12" s="582" t="inlineStr">
        <is>
          <t>Keep</t>
        </is>
      </c>
      <c r="G12" s="581" t="inlineStr">
        <is>
          <t>Keep</t>
        </is>
      </c>
      <c r="H12" s="583" t="n">
        <v>25639.71</v>
      </c>
      <c r="I12" s="583" t="n">
        <v>37493.85</v>
      </c>
      <c r="J12" s="583" t="n">
        <v>-11703.39</v>
      </c>
      <c r="K12" s="584" t="n">
        <v>0.312</v>
      </c>
      <c r="L12" s="585" t="n">
        <v>2484</v>
      </c>
      <c r="M12" s="583" t="n">
        <v>10.32</v>
      </c>
      <c r="N12" s="586" t="n">
        <v>0.0141</v>
      </c>
      <c r="O12" s="586" t="n">
        <v>0.6469</v>
      </c>
      <c r="P12" s="582" t="n">
        <v>6</v>
      </c>
      <c r="Q12" s="583" t="n">
        <v>10</v>
      </c>
      <c r="R12" s="585" t="n">
        <v>1771</v>
      </c>
      <c r="S12" s="585" t="n">
        <v>3064</v>
      </c>
      <c r="T12" s="585" t="n">
        <v>0</v>
      </c>
      <c r="U12" s="585" t="n">
        <v>0</v>
      </c>
      <c r="V12" s="585">
        <f>S11+T11</f>
        <v/>
      </c>
      <c r="W12" s="585">
        <f>S11+T11+U11</f>
        <v/>
      </c>
      <c r="X12" s="585">
        <f>W11*Q11</f>
        <v/>
      </c>
      <c r="Y12" s="583" t="n">
        <v>15</v>
      </c>
      <c r="Z12" s="583" t="n">
        <v>15</v>
      </c>
      <c r="AA12" s="582">
        <f>IF(Y11=Z11,"No","Yes")</f>
        <v/>
      </c>
      <c r="AB12" s="582" t="inlineStr">
        <is>
          <t>N211WU2122</t>
        </is>
      </c>
      <c r="AC12" s="581" t="inlineStr">
        <is>
          <t>轻薄均码内裤</t>
        </is>
      </c>
    </row>
    <row r="13" ht="18" customHeight="1" s="229">
      <c r="A13" s="569" t="inlineStr">
        <is>
          <t>Barely Zero Mid Waist Brief 2.0</t>
        </is>
      </c>
      <c r="B13" s="570" t="inlineStr">
        <is>
          <t>Underwear</t>
        </is>
      </c>
      <c r="C13" s="571" t="inlineStr">
        <is>
          <t>KEEP — Tier 1</t>
        </is>
      </c>
      <c r="D13" s="572" t="inlineStr">
        <is>
          <t>Core Barely Zero</t>
        </is>
      </c>
      <c r="E13" s="572" t="n"/>
      <c r="F13" s="573" t="inlineStr">
        <is>
          <t>Keep</t>
        </is>
      </c>
      <c r="G13" s="572" t="inlineStr">
        <is>
          <t>Keep</t>
        </is>
      </c>
      <c r="H13" s="574" t="n">
        <v>23303.3</v>
      </c>
      <c r="I13" s="574" t="n">
        <v>34998</v>
      </c>
      <c r="J13" s="574" t="n">
        <v>-11304.25</v>
      </c>
      <c r="K13" s="575" t="n">
        <v>0.323</v>
      </c>
      <c r="L13" s="576" t="n">
        <v>1811</v>
      </c>
      <c r="M13" s="574" t="n">
        <v>12.87</v>
      </c>
      <c r="N13" s="577" t="n">
        <v>0.0128</v>
      </c>
      <c r="O13" s="577" t="n">
        <v>0.6597</v>
      </c>
      <c r="P13" s="573" t="n">
        <v>13</v>
      </c>
      <c r="Q13" s="574" t="n">
        <v>10</v>
      </c>
      <c r="R13" s="576" t="n">
        <v>1342</v>
      </c>
      <c r="S13" s="576" t="n">
        <v>1611</v>
      </c>
      <c r="T13" s="576" t="n">
        <v>0</v>
      </c>
      <c r="U13" s="576" t="n">
        <v>0</v>
      </c>
      <c r="V13" s="576">
        <f>S12+T12</f>
        <v/>
      </c>
      <c r="W13" s="576">
        <f>S12+T12+U12</f>
        <v/>
      </c>
      <c r="X13" s="576">
        <f>W12*Q12</f>
        <v/>
      </c>
      <c r="Y13" s="574" t="n">
        <v>19</v>
      </c>
      <c r="Z13" s="574" t="n">
        <v>19</v>
      </c>
      <c r="AA13" s="573">
        <f>IF(Y12=Z12,"No","Yes")</f>
        <v/>
      </c>
      <c r="AB13" s="573" t="inlineStr">
        <is>
          <t>NW221WU1320</t>
        </is>
      </c>
      <c r="AC13" s="572" t="inlineStr">
        <is>
          <t>少尺码贴合中腰内裤</t>
        </is>
      </c>
    </row>
    <row r="14" ht="18" customHeight="1" s="229">
      <c r="A14" s="578" t="inlineStr">
        <is>
          <t>Pure Comfort Soft Modal Triangle Bra 4.0</t>
        </is>
      </c>
      <c r="B14" s="579" t="inlineStr">
        <is>
          <t>Underwear</t>
        </is>
      </c>
      <c r="C14" s="587" t="inlineStr">
        <is>
          <t>KEEP — Tier 2</t>
        </is>
      </c>
      <c r="D14" s="581" t="inlineStr">
        <is>
          <t>Strategic non-BZ keeper</t>
        </is>
      </c>
      <c r="E14" s="581" t="n"/>
      <c r="F14" s="582" t="inlineStr">
        <is>
          <t>Keep</t>
        </is>
      </c>
      <c r="G14" s="581" t="inlineStr">
        <is>
          <t>Keep</t>
        </is>
      </c>
      <c r="H14" s="583" t="n">
        <v>21129.31</v>
      </c>
      <c r="I14" s="583" t="n">
        <v>32277.38</v>
      </c>
      <c r="J14" s="583" t="n">
        <v>-8150.02</v>
      </c>
      <c r="K14" s="584" t="n">
        <v>0.252</v>
      </c>
      <c r="L14" s="585" t="n">
        <v>582</v>
      </c>
      <c r="M14" s="583" t="n">
        <v>36.3</v>
      </c>
      <c r="N14" s="586" t="n">
        <v>0.0116</v>
      </c>
      <c r="O14" s="586" t="n">
        <v>0.6713</v>
      </c>
      <c r="P14" s="582" t="n">
        <v>14</v>
      </c>
      <c r="Q14" s="583" t="n">
        <v>10</v>
      </c>
      <c r="R14" s="585" t="n">
        <v>625</v>
      </c>
      <c r="S14" s="585" t="n">
        <v>0</v>
      </c>
      <c r="T14" s="585" t="n">
        <v>631</v>
      </c>
      <c r="U14" s="585" t="n">
        <v>0</v>
      </c>
      <c r="V14" s="585">
        <f>S13+T13</f>
        <v/>
      </c>
      <c r="W14" s="585">
        <f>S13+T13+U13</f>
        <v/>
      </c>
      <c r="X14" s="585">
        <f>W13*Q13</f>
        <v/>
      </c>
      <c r="Y14" s="583" t="n">
        <v>49</v>
      </c>
      <c r="Z14" s="583" t="n">
        <v>49</v>
      </c>
      <c r="AA14" s="582">
        <f>IF(Y13=Z13,"No","Yes")</f>
        <v/>
      </c>
      <c r="AB14" s="582" t="inlineStr">
        <is>
          <t>NO252WU1121</t>
        </is>
      </c>
      <c r="AC14" s="581" t="inlineStr">
        <is>
          <t>零敏玲珑文胸</t>
        </is>
      </c>
    </row>
    <row r="15" ht="18" customHeight="1" s="229">
      <c r="A15" s="569" t="inlineStr">
        <is>
          <t>Bandeau Bra</t>
        </is>
      </c>
      <c r="B15" s="570" t="inlineStr">
        <is>
          <t>Underwear</t>
        </is>
      </c>
      <c r="C15" s="588" t="inlineStr">
        <is>
          <t>KEEP — Tier 2</t>
        </is>
      </c>
      <c r="D15" s="572" t="inlineStr">
        <is>
          <t>Strategic non-BZ keeper</t>
        </is>
      </c>
      <c r="E15" s="572" t="n"/>
      <c r="F15" s="573" t="inlineStr">
        <is>
          <t>Keep</t>
        </is>
      </c>
      <c r="G15" s="572" t="inlineStr">
        <is>
          <t>Keep</t>
        </is>
      </c>
      <c r="H15" s="574" t="n">
        <v>18885.88</v>
      </c>
      <c r="I15" s="574" t="n">
        <v>33640.97</v>
      </c>
      <c r="J15" s="574" t="n">
        <v>-8726.639999999999</v>
      </c>
      <c r="K15" s="575" t="n">
        <v>0.259</v>
      </c>
      <c r="L15" s="576" t="n">
        <v>676</v>
      </c>
      <c r="M15" s="574" t="n">
        <v>27.94</v>
      </c>
      <c r="N15" s="577" t="n">
        <v>0.0104</v>
      </c>
      <c r="O15" s="577" t="n">
        <v>0.6817</v>
      </c>
      <c r="P15" s="573" t="n">
        <v>12</v>
      </c>
      <c r="Q15" s="574" t="n">
        <v>10</v>
      </c>
      <c r="R15" s="576" t="n">
        <v>864</v>
      </c>
      <c r="S15" s="576" t="n">
        <v>317</v>
      </c>
      <c r="T15" s="576" t="n">
        <v>0</v>
      </c>
      <c r="U15" s="576" t="n">
        <v>0</v>
      </c>
      <c r="V15" s="576">
        <f>S14+T14</f>
        <v/>
      </c>
      <c r="W15" s="576">
        <f>S14+T14+U14</f>
        <v/>
      </c>
      <c r="X15" s="576">
        <f>W14*Q14</f>
        <v/>
      </c>
      <c r="Y15" s="574" t="n">
        <v>38</v>
      </c>
      <c r="Z15" s="574" t="n">
        <v>38</v>
      </c>
      <c r="AA15" s="573">
        <f>IF(Y14=Z14,"No","Yes")</f>
        <v/>
      </c>
      <c r="AB15" s="573" t="inlineStr">
        <is>
          <t>NO251WU1117</t>
        </is>
      </c>
      <c r="AC15" s="572" t="inlineStr">
        <is>
          <t>零忧防滑抹胸</t>
        </is>
      </c>
    </row>
    <row r="16" ht="18" customHeight="1" s="229">
      <c r="A16" s="578" t="inlineStr">
        <is>
          <t>Barely Zero Mid Waist Brief</t>
        </is>
      </c>
      <c r="B16" s="579" t="inlineStr">
        <is>
          <t>Underwear</t>
        </is>
      </c>
      <c r="C16" s="580" t="inlineStr">
        <is>
          <t>KEEP — Tier 1</t>
        </is>
      </c>
      <c r="D16" s="581" t="inlineStr">
        <is>
          <t>Core Barely Zero</t>
        </is>
      </c>
      <c r="E16" s="581" t="n"/>
      <c r="F16" s="582" t="inlineStr">
        <is>
          <t>Remove</t>
        </is>
      </c>
      <c r="G16" s="581" t="inlineStr">
        <is>
          <t>Almost OOS</t>
        </is>
      </c>
      <c r="H16" s="583" t="n">
        <v>16867.6</v>
      </c>
      <c r="I16" s="583" t="n">
        <v>25631.17</v>
      </c>
      <c r="J16" s="583" t="n">
        <v>-8459.82</v>
      </c>
      <c r="K16" s="584" t="n">
        <v>0.33</v>
      </c>
      <c r="L16" s="585" t="n">
        <v>1681</v>
      </c>
      <c r="M16" s="583" t="n">
        <v>10.03</v>
      </c>
      <c r="N16" s="586" t="n">
        <v>0.009300000000000001</v>
      </c>
      <c r="O16" s="586" t="n">
        <v>0.6909999999999999</v>
      </c>
      <c r="P16" s="582" t="n">
        <v>5</v>
      </c>
      <c r="Q16" s="583" t="n">
        <v>10</v>
      </c>
      <c r="R16" s="585" t="n">
        <v>1051</v>
      </c>
      <c r="S16" s="585" t="n">
        <v>9</v>
      </c>
      <c r="T16" s="585" t="n">
        <v>0</v>
      </c>
      <c r="U16" s="585" t="n">
        <v>0</v>
      </c>
      <c r="V16" s="585">
        <f>S15+T15</f>
        <v/>
      </c>
      <c r="W16" s="585">
        <f>S15+T15+U15</f>
        <v/>
      </c>
      <c r="X16" s="585">
        <f>W15*Q15</f>
        <v/>
      </c>
      <c r="Y16" s="583" t="n">
        <v>15</v>
      </c>
      <c r="Z16" s="583" t="n">
        <v>15</v>
      </c>
      <c r="AA16" s="582">
        <f>IF(Y15=Z15,"No","Yes")</f>
        <v/>
      </c>
      <c r="AB16" s="582" t="inlineStr">
        <is>
          <t>N211WU2118</t>
        </is>
      </c>
      <c r="AC16" s="581" t="inlineStr">
        <is>
          <t>无尺码中腰内裤</t>
        </is>
      </c>
    </row>
    <row r="17" ht="18" customHeight="1" s="229">
      <c r="A17" s="569" t="inlineStr">
        <is>
          <t>Barely Zero Curve Extra Support Bra</t>
        </is>
      </c>
      <c r="B17" s="570" t="inlineStr">
        <is>
          <t>Underwear</t>
        </is>
      </c>
      <c r="C17" s="571" t="inlineStr">
        <is>
          <t>KEEP — Tier 1</t>
        </is>
      </c>
      <c r="D17" s="572" t="inlineStr">
        <is>
          <t>Core Barely Zero</t>
        </is>
      </c>
      <c r="E17" s="572" t="n"/>
      <c r="F17" s="573" t="inlineStr">
        <is>
          <t>Keep</t>
        </is>
      </c>
      <c r="G17" s="572" t="inlineStr">
        <is>
          <t>Keep</t>
        </is>
      </c>
      <c r="H17" s="574" t="n">
        <v>15267.95</v>
      </c>
      <c r="I17" s="574" t="n">
        <v>25235</v>
      </c>
      <c r="J17" s="574" t="n">
        <v>-7848.200000000001</v>
      </c>
      <c r="K17" s="575" t="n">
        <v>0.311</v>
      </c>
      <c r="L17" s="576" t="n">
        <v>454</v>
      </c>
      <c r="M17" s="574" t="n">
        <v>33.63</v>
      </c>
      <c r="N17" s="577" t="n">
        <v>0.008399999999999999</v>
      </c>
      <c r="O17" s="577" t="n">
        <v>0.6994</v>
      </c>
      <c r="P17" s="573" t="n">
        <v>2</v>
      </c>
      <c r="Q17" s="574" t="n">
        <v>10</v>
      </c>
      <c r="R17" s="576" t="n">
        <v>468</v>
      </c>
      <c r="S17" s="576" t="n">
        <v>593</v>
      </c>
      <c r="T17" s="576" t="n">
        <v>46</v>
      </c>
      <c r="U17" s="576" t="n">
        <v>1697</v>
      </c>
      <c r="V17" s="576">
        <f>S16+T16</f>
        <v/>
      </c>
      <c r="W17" s="576">
        <f>S16+T16+U16</f>
        <v/>
      </c>
      <c r="X17" s="576">
        <f>W16*Q16</f>
        <v/>
      </c>
      <c r="Y17" s="574" t="n">
        <v>49</v>
      </c>
      <c r="Z17" s="574" t="n">
        <v>49</v>
      </c>
      <c r="AA17" s="573">
        <f>IF(Y16=Z16,"No","Yes")</f>
        <v/>
      </c>
      <c r="AB17" s="573" t="inlineStr">
        <is>
          <t>N212WU1107</t>
        </is>
      </c>
      <c r="AC17" s="572" t="inlineStr">
        <is>
          <t>均码文胸大胸加强款</t>
        </is>
      </c>
    </row>
    <row r="18" ht="18" customHeight="1" s="229">
      <c r="A18" s="578" t="inlineStr">
        <is>
          <t>Barely Zero Curve Bra</t>
        </is>
      </c>
      <c r="B18" s="579" t="inlineStr">
        <is>
          <t>Underwear</t>
        </is>
      </c>
      <c r="C18" s="580" t="inlineStr">
        <is>
          <t>KEEP — Tier 1</t>
        </is>
      </c>
      <c r="D18" s="581" t="inlineStr">
        <is>
          <t>Core Barely Zero</t>
        </is>
      </c>
      <c r="E18" s="581" t="n"/>
      <c r="F18" s="582" t="inlineStr">
        <is>
          <t>Remove</t>
        </is>
      </c>
      <c r="G18" s="581" t="inlineStr">
        <is>
          <t>OOS</t>
        </is>
      </c>
      <c r="H18" s="583" t="n">
        <v>14400.31</v>
      </c>
      <c r="I18" s="583" t="n">
        <v>22589</v>
      </c>
      <c r="J18" s="583" t="n">
        <v>-6941.64</v>
      </c>
      <c r="K18" s="584" t="n">
        <v>0.307</v>
      </c>
      <c r="L18" s="585" t="n">
        <v>424</v>
      </c>
      <c r="M18" s="583" t="n">
        <v>33.96</v>
      </c>
      <c r="N18" s="586" t="n">
        <v>0.007900000000000001</v>
      </c>
      <c r="O18" s="586" t="n">
        <v>0.7073</v>
      </c>
      <c r="P18" s="582" t="n">
        <v>2</v>
      </c>
      <c r="Q18" s="583" t="n">
        <v>10</v>
      </c>
      <c r="R18" s="585" t="n">
        <v>411</v>
      </c>
      <c r="S18" s="585" t="n">
        <v>0</v>
      </c>
      <c r="T18" s="585" t="n">
        <v>0</v>
      </c>
      <c r="U18" s="585" t="n">
        <v>0</v>
      </c>
      <c r="V18" s="585">
        <f>S17+T17</f>
        <v/>
      </c>
      <c r="W18" s="585">
        <f>S17+T17+U17</f>
        <v/>
      </c>
      <c r="X18" s="585">
        <f>W17*Q17</f>
        <v/>
      </c>
      <c r="Y18" s="583" t="n">
        <v>49</v>
      </c>
      <c r="Z18" s="583" t="n">
        <v>49</v>
      </c>
      <c r="AA18" s="582">
        <f>IF(Y17=Z17,"No","Yes")</f>
        <v/>
      </c>
      <c r="AB18" s="582" t="e">
        <v>#N/A</v>
      </c>
      <c r="AC18" s="581" t="e">
        <v>#N/A</v>
      </c>
    </row>
    <row r="19" ht="18" customHeight="1" s="229">
      <c r="A19" s="569" t="inlineStr">
        <is>
          <t>Barely Zero Fixed Cup Wavy Bra - Extended Sizes</t>
        </is>
      </c>
      <c r="B19" s="570" t="inlineStr">
        <is>
          <t>Underwear</t>
        </is>
      </c>
      <c r="C19" s="571" t="inlineStr">
        <is>
          <t>KEEP — Tier 1</t>
        </is>
      </c>
      <c r="D19" s="572" t="inlineStr">
        <is>
          <t>Core Barely Zero</t>
        </is>
      </c>
      <c r="E19" s="572" t="n"/>
      <c r="F19" s="573" t="inlineStr">
        <is>
          <t>Keep</t>
        </is>
      </c>
      <c r="G19" s="572" t="inlineStr">
        <is>
          <t>Keep</t>
        </is>
      </c>
      <c r="H19" s="574" t="n">
        <v>13598.14</v>
      </c>
      <c r="I19" s="574" t="n">
        <v>22789.9</v>
      </c>
      <c r="J19" s="574" t="n">
        <v>-7099.46</v>
      </c>
      <c r="K19" s="575" t="n">
        <v>0.312</v>
      </c>
      <c r="L19" s="576" t="n">
        <v>405</v>
      </c>
      <c r="M19" s="574" t="n">
        <v>33.58</v>
      </c>
      <c r="N19" s="577" t="n">
        <v>0.0075</v>
      </c>
      <c r="O19" s="577" t="n">
        <v>0.7148</v>
      </c>
      <c r="P19" s="573" t="n">
        <v>7</v>
      </c>
      <c r="Q19" s="574" t="n">
        <v>10</v>
      </c>
      <c r="R19" s="576" t="n">
        <v>428</v>
      </c>
      <c r="S19" s="576" t="n">
        <v>84</v>
      </c>
      <c r="T19" s="576" t="n">
        <v>70</v>
      </c>
      <c r="U19" s="576" t="n">
        <v>667</v>
      </c>
      <c r="V19" s="576">
        <f>S18+T18</f>
        <v/>
      </c>
      <c r="W19" s="576">
        <f>S18+T18+U18</f>
        <v/>
      </c>
      <c r="X19" s="576">
        <f>W18*Q18</f>
        <v/>
      </c>
      <c r="Y19" s="574" t="n">
        <v>49</v>
      </c>
      <c r="Z19" s="574" t="n">
        <v>49</v>
      </c>
      <c r="AA19" s="573">
        <f>IF(Y18=Z18,"No","Yes")</f>
        <v/>
      </c>
      <c r="AB19" s="573" t="inlineStr">
        <is>
          <t>NW222WU1105</t>
        </is>
      </c>
      <c r="AC19" s="572" t="inlineStr">
        <is>
          <t>固定杯吊带套头款</t>
        </is>
      </c>
    </row>
    <row r="20" ht="18" customHeight="1" s="229">
      <c r="A20" s="361" t="inlineStr">
        <is>
          <t>3D Smile Support Cutout Bra</t>
        </is>
      </c>
      <c r="B20" s="362" t="inlineStr">
        <is>
          <t>Underwear</t>
        </is>
      </c>
      <c r="C20" s="589" t="inlineStr">
        <is>
          <t>REMOVE</t>
        </is>
      </c>
      <c r="D20" s="364" t="inlineStr">
        <is>
          <t>Non-core product — portfolio simplification</t>
        </is>
      </c>
      <c r="E20" s="364" t="inlineStr">
        <is>
          <t>3 — MEDIUM (selldown or markdown)</t>
        </is>
      </c>
      <c r="F20" s="365" t="inlineStr">
        <is>
          <t>Keep</t>
        </is>
      </c>
      <c r="G20" s="364" t="inlineStr">
        <is>
          <t>Keep Partial, popular but inventory too high</t>
        </is>
      </c>
      <c r="H20" s="366" t="n">
        <v>9404.450000000001</v>
      </c>
      <c r="I20" s="366" t="n">
        <v>16078.5</v>
      </c>
      <c r="J20" s="366" t="n">
        <v>-3884.58</v>
      </c>
      <c r="K20" s="380" t="n">
        <v>0.242</v>
      </c>
      <c r="L20" s="368" t="n">
        <v>277</v>
      </c>
      <c r="M20" s="366" t="n">
        <v>33.95</v>
      </c>
      <c r="N20" s="369" t="n">
        <v>0.0052</v>
      </c>
      <c r="O20" s="369" t="n">
        <v>0.72</v>
      </c>
      <c r="P20" s="365" t="n">
        <v>17</v>
      </c>
      <c r="Q20" s="366" t="n">
        <v>10</v>
      </c>
      <c r="R20" s="368" t="n">
        <v>334</v>
      </c>
      <c r="S20" s="368" t="n">
        <v>0</v>
      </c>
      <c r="T20" s="368" t="n">
        <v>699</v>
      </c>
      <c r="U20" s="368" t="n">
        <v>136</v>
      </c>
      <c r="V20" s="368">
        <f>S19+T19</f>
        <v/>
      </c>
      <c r="W20" s="368">
        <f>S19+T19+U19</f>
        <v/>
      </c>
      <c r="X20" s="368">
        <f>W19*Q19</f>
        <v/>
      </c>
      <c r="Y20" s="366" t="n">
        <v>45</v>
      </c>
      <c r="Z20" s="366" t="n">
        <v>45</v>
      </c>
      <c r="AA20" s="365">
        <f>IF(Y19=Z19,"No","Yes")</f>
        <v/>
      </c>
      <c r="AB20" s="365" t="inlineStr">
        <is>
          <t>NW242WU1122</t>
        </is>
      </c>
      <c r="AC20" s="364" t="inlineStr">
        <is>
          <t>3D硅胶条3/4杯文胸</t>
        </is>
      </c>
    </row>
    <row r="21" ht="18" customHeight="1" s="229">
      <c r="A21" s="569" t="inlineStr">
        <is>
          <t>Barely Zero Extra Support Bra</t>
        </is>
      </c>
      <c r="B21" s="570" t="inlineStr">
        <is>
          <t>Underwear</t>
        </is>
      </c>
      <c r="C21" s="571" t="inlineStr">
        <is>
          <t>KEEP — Tier 1</t>
        </is>
      </c>
      <c r="D21" s="572" t="inlineStr">
        <is>
          <t>Core Barely Zero</t>
        </is>
      </c>
      <c r="E21" s="572" t="n"/>
      <c r="F21" s="573" t="inlineStr">
        <is>
          <t>Keep</t>
        </is>
      </c>
      <c r="G21" s="572" t="inlineStr">
        <is>
          <t>Keep</t>
        </is>
      </c>
      <c r="H21" s="574" t="n">
        <v>8979.23</v>
      </c>
      <c r="I21" s="574" t="n">
        <v>14810.25</v>
      </c>
      <c r="J21" s="574" t="n">
        <v>-3942.77</v>
      </c>
      <c r="K21" s="575" t="n">
        <v>0.266</v>
      </c>
      <c r="L21" s="576" t="n">
        <v>190</v>
      </c>
      <c r="M21" s="574" t="n">
        <v>47.26</v>
      </c>
      <c r="N21" s="577" t="n">
        <v>0.0049</v>
      </c>
      <c r="O21" s="577" t="n">
        <v>0.7249</v>
      </c>
      <c r="P21" s="573" t="n">
        <v>6</v>
      </c>
      <c r="Q21" s="574" t="n">
        <v>10</v>
      </c>
      <c r="R21" s="576" t="n">
        <v>207</v>
      </c>
      <c r="S21" s="576" t="n">
        <v>0</v>
      </c>
      <c r="T21" s="576" t="n">
        <v>26</v>
      </c>
      <c r="U21" s="576" t="n">
        <v>62</v>
      </c>
      <c r="V21" s="576">
        <f>S20+T20</f>
        <v/>
      </c>
      <c r="W21" s="576">
        <f>S20+T20+U20</f>
        <v/>
      </c>
      <c r="X21" s="576">
        <f>W20*Q20</f>
        <v/>
      </c>
      <c r="Y21" s="574" t="n">
        <v>65</v>
      </c>
      <c r="Z21" s="574" t="n">
        <v>65</v>
      </c>
      <c r="AA21" s="573">
        <f>IF(Y20=Z20,"No","Yes")</f>
        <v/>
      </c>
      <c r="AB21" s="573" t="inlineStr">
        <is>
          <t>NW222WU1112</t>
        </is>
      </c>
      <c r="AC21" s="572" t="inlineStr">
        <is>
          <t>固定杯大胸加强款</t>
        </is>
      </c>
    </row>
    <row r="22" ht="18" customHeight="1" s="229">
      <c r="A22" s="361" t="inlineStr">
        <is>
          <t>Basic Chic Mid Waist Brief - 3 Pack</t>
        </is>
      </c>
      <c r="B22" s="362" t="inlineStr">
        <is>
          <t>Underwear</t>
        </is>
      </c>
      <c r="C22" s="589" t="inlineStr">
        <is>
          <t>REMOVE</t>
        </is>
      </c>
      <c r="D22" s="364" t="inlineStr">
        <is>
          <t>Non-core product — portfolio simplification</t>
        </is>
      </c>
      <c r="E22" s="364" t="inlineStr">
        <is>
          <t>3 — MEDIUM (selldown or markdown)</t>
        </is>
      </c>
      <c r="F22" s="365" t="inlineStr">
        <is>
          <t>Keep</t>
        </is>
      </c>
      <c r="G22" s="364" t="inlineStr">
        <is>
          <t>Keep, Natural Sell-Thru</t>
        </is>
      </c>
      <c r="H22" s="366" t="n">
        <v>8239.539999999999</v>
      </c>
      <c r="I22" s="366" t="n">
        <v>11182.5</v>
      </c>
      <c r="J22" s="366" t="n">
        <v>-2842.16</v>
      </c>
      <c r="K22" s="367" t="n">
        <v>0.254</v>
      </c>
      <c r="L22" s="368" t="n">
        <v>351</v>
      </c>
      <c r="M22" s="366" t="n">
        <v>23.47</v>
      </c>
      <c r="N22" s="369" t="n">
        <v>0.004500000000000001</v>
      </c>
      <c r="O22" s="369" t="n">
        <v>0.7293999999999999</v>
      </c>
      <c r="P22" s="365" t="n">
        <v>5</v>
      </c>
      <c r="Q22" s="366" t="n">
        <v>10</v>
      </c>
      <c r="R22" s="368" t="n">
        <v>319</v>
      </c>
      <c r="S22" s="368" t="n">
        <v>0</v>
      </c>
      <c r="T22" s="368" t="n">
        <v>34</v>
      </c>
      <c r="U22" s="368" t="n">
        <v>61</v>
      </c>
      <c r="V22" s="368">
        <f>S21+T21</f>
        <v/>
      </c>
      <c r="W22" s="368">
        <f>S21+T21+U21</f>
        <v/>
      </c>
      <c r="X22" s="368">
        <f>W21*Q21</f>
        <v/>
      </c>
      <c r="Y22" s="366" t="n">
        <v>45</v>
      </c>
      <c r="Z22" s="366" t="n">
        <v>31.5</v>
      </c>
      <c r="AA22" s="365">
        <f>IF(Y21=Z21,"No","Yes")</f>
        <v/>
      </c>
      <c r="AB22" s="365" t="inlineStr">
        <is>
          <t>NW231WU1501</t>
        </is>
      </c>
      <c r="AC22" s="364" t="inlineStr">
        <is>
          <t>中高腰高开衩内裤</t>
        </is>
      </c>
    </row>
    <row r="23" ht="18" customHeight="1" s="229">
      <c r="A23" s="590" t="inlineStr">
        <is>
          <t>3D Smile Support Plunge Bra</t>
        </is>
      </c>
      <c r="B23" s="591" t="inlineStr">
        <is>
          <t>Underwear</t>
        </is>
      </c>
      <c r="C23" s="592" t="inlineStr">
        <is>
          <t>REMOVE</t>
        </is>
      </c>
      <c r="D23" s="593" t="inlineStr">
        <is>
          <t>Non-core product — portfolio simplification</t>
        </is>
      </c>
      <c r="E23" s="593" t="inlineStr">
        <is>
          <t>3 — MEDIUM (selldown or markdown)</t>
        </is>
      </c>
      <c r="F23" s="594" t="inlineStr">
        <is>
          <t>Keep</t>
        </is>
      </c>
      <c r="G23" s="593" t="inlineStr">
        <is>
          <t>Keep Partial, popular but inventory too high</t>
        </is>
      </c>
      <c r="H23" s="595" t="n">
        <v>7402.48</v>
      </c>
      <c r="I23" s="595" t="n">
        <v>11568.9</v>
      </c>
      <c r="J23" s="595" t="n">
        <v>-2365.67</v>
      </c>
      <c r="K23" s="596" t="n">
        <v>0.204</v>
      </c>
      <c r="L23" s="597" t="n">
        <v>188</v>
      </c>
      <c r="M23" s="595" t="n">
        <v>39.37</v>
      </c>
      <c r="N23" s="598" t="n">
        <v>0.004099999999999999</v>
      </c>
      <c r="O23" s="598" t="n">
        <v>0.7418</v>
      </c>
      <c r="P23" s="594" t="n">
        <v>17</v>
      </c>
      <c r="Q23" s="595" t="n">
        <v>10</v>
      </c>
      <c r="R23" s="597" t="n">
        <v>232</v>
      </c>
      <c r="S23" s="597" t="n">
        <v>7</v>
      </c>
      <c r="T23" s="597" t="n">
        <v>1161</v>
      </c>
      <c r="U23" s="597" t="n">
        <v>0</v>
      </c>
      <c r="V23" s="597">
        <f>S24+T24</f>
        <v/>
      </c>
      <c r="W23" s="597">
        <f>S24+T24+U24</f>
        <v/>
      </c>
      <c r="X23" s="597">
        <f>W24*Q24</f>
        <v/>
      </c>
      <c r="Y23" s="595" t="n">
        <v>49</v>
      </c>
      <c r="Z23" s="595" t="n">
        <v>49</v>
      </c>
      <c r="AA23" s="594">
        <f>IF(Y24=Z24,"No","Yes")</f>
        <v/>
      </c>
      <c r="AB23" s="594" t="inlineStr">
        <is>
          <t>NW242WU1124</t>
        </is>
      </c>
      <c r="AC23" s="593" t="inlineStr">
        <is>
          <t>3D微笑长三角杯</t>
        </is>
      </c>
    </row>
    <row r="24" ht="18" customHeight="1" s="229">
      <c r="A24" s="578" t="inlineStr">
        <is>
          <t>Featherlight Push Up Bra</t>
        </is>
      </c>
      <c r="B24" s="579" t="inlineStr">
        <is>
          <t>Underwear</t>
        </is>
      </c>
      <c r="C24" s="587" t="inlineStr">
        <is>
          <t>KEEP — Tier 2</t>
        </is>
      </c>
      <c r="D24" s="581" t="inlineStr">
        <is>
          <t>Strategic non-BZ keeper</t>
        </is>
      </c>
      <c r="E24" s="581" t="n"/>
      <c r="F24" s="582" t="inlineStr">
        <is>
          <t>Keep</t>
        </is>
      </c>
      <c r="G24" s="581" t="inlineStr">
        <is>
          <t>Keep, Replen on the way</t>
        </is>
      </c>
      <c r="H24" s="583" t="n">
        <v>7063.5</v>
      </c>
      <c r="I24" s="583" t="n">
        <v>12593</v>
      </c>
      <c r="J24" s="583" t="n">
        <v>-2899.2</v>
      </c>
      <c r="K24" s="599" t="n">
        <v>0.23</v>
      </c>
      <c r="L24" s="585" t="n">
        <v>188</v>
      </c>
      <c r="M24" s="583" t="n">
        <v>37.57</v>
      </c>
      <c r="N24" s="586" t="n">
        <v>0.0039</v>
      </c>
      <c r="O24" s="586" t="n">
        <v>0.7497</v>
      </c>
      <c r="P24" s="582" t="n">
        <v>8</v>
      </c>
      <c r="Q24" s="583" t="n">
        <v>10</v>
      </c>
      <c r="R24" s="585" t="n">
        <v>244</v>
      </c>
      <c r="S24" s="585" t="n">
        <v>4</v>
      </c>
      <c r="T24" s="585" t="n">
        <v>0</v>
      </c>
      <c r="U24" s="585" t="n">
        <v>0</v>
      </c>
      <c r="V24" s="585">
        <f>S26+T26</f>
        <v/>
      </c>
      <c r="W24" s="585">
        <f>S26+T26+U26</f>
        <v/>
      </c>
      <c r="X24" s="585">
        <f>W26*Q26</f>
        <v/>
      </c>
      <c r="Y24" s="583" t="n">
        <v>49</v>
      </c>
      <c r="Z24" s="583" t="n">
        <v>49</v>
      </c>
      <c r="AA24" s="582">
        <f>IF(Y26=Z26,"No","Yes")</f>
        <v/>
      </c>
      <c r="AB24" s="582" t="inlineStr">
        <is>
          <t>NO252WU1122</t>
        </is>
      </c>
      <c r="AC24" s="581" t="inlineStr">
        <is>
          <t>零压聚拢模杯文胸</t>
        </is>
      </c>
    </row>
    <row r="25" ht="18" customHeight="1" s="229">
      <c r="A25" s="569" t="inlineStr">
        <is>
          <t>Barely Zero Fixed Cup Curve Bra</t>
        </is>
      </c>
      <c r="B25" s="570" t="inlineStr">
        <is>
          <t>Underwear</t>
        </is>
      </c>
      <c r="C25" s="571" t="inlineStr">
        <is>
          <t>KEEP — Tier 1</t>
        </is>
      </c>
      <c r="D25" s="572" t="inlineStr">
        <is>
          <t>Core Barely Zero</t>
        </is>
      </c>
      <c r="E25" s="572" t="n"/>
      <c r="F25" s="573" t="inlineStr">
        <is>
          <t>Keep</t>
        </is>
      </c>
      <c r="G25" s="572" t="inlineStr">
        <is>
          <t>Keep</t>
        </is>
      </c>
      <c r="H25" s="574" t="n">
        <v>6965.4</v>
      </c>
      <c r="I25" s="574" t="n">
        <v>12896.8</v>
      </c>
      <c r="J25" s="574" t="n">
        <v>-3753.35</v>
      </c>
      <c r="K25" s="575" t="n">
        <v>0.291</v>
      </c>
      <c r="L25" s="576" t="n">
        <v>204</v>
      </c>
      <c r="M25" s="574" t="n">
        <v>34.14</v>
      </c>
      <c r="N25" s="577" t="n">
        <v>0.0038</v>
      </c>
      <c r="O25" s="577" t="n">
        <v>0.7534999999999999</v>
      </c>
      <c r="P25" s="573" t="n">
        <v>6</v>
      </c>
      <c r="Q25" s="574" t="n">
        <v>10</v>
      </c>
      <c r="R25" s="576" t="n">
        <v>221</v>
      </c>
      <c r="S25" s="576" t="n">
        <v>0</v>
      </c>
      <c r="T25" s="576" t="n">
        <v>7</v>
      </c>
      <c r="U25" s="576" t="n">
        <v>49</v>
      </c>
      <c r="V25" s="576">
        <f>S27+T27</f>
        <v/>
      </c>
      <c r="W25" s="576">
        <f>S27+T27+U27</f>
        <v/>
      </c>
      <c r="X25" s="576">
        <f>W27*Q27</f>
        <v/>
      </c>
      <c r="Y25" s="574" t="n">
        <v>49</v>
      </c>
      <c r="Z25" s="574" t="n">
        <v>49</v>
      </c>
      <c r="AA25" s="573">
        <f>IF(Y27=Z27,"No","Yes")</f>
        <v/>
      </c>
      <c r="AB25" s="573" t="inlineStr">
        <is>
          <t>NW221WU1158</t>
        </is>
      </c>
      <c r="AC25" s="572" t="inlineStr">
        <is>
          <t>抱抱杯丰盈款</t>
        </is>
      </c>
    </row>
    <row r="26" ht="18" customHeight="1" s="229">
      <c r="A26" s="361" t="inlineStr">
        <is>
          <t>Swan Cup V-Line Bra</t>
        </is>
      </c>
      <c r="B26" s="362" t="inlineStr">
        <is>
          <t>Underwear</t>
        </is>
      </c>
      <c r="C26" s="589" t="inlineStr">
        <is>
          <t>REMOVE</t>
        </is>
      </c>
      <c r="D26" s="364" t="inlineStr">
        <is>
          <t>Non-core product — portfolio simplification</t>
        </is>
      </c>
      <c r="E26" s="364" t="inlineStr">
        <is>
          <t>3 — MEDIUM (selldown or markdown)</t>
        </is>
      </c>
      <c r="F26" s="365" t="inlineStr">
        <is>
          <t>Keep</t>
        </is>
      </c>
      <c r="G26" s="364" t="inlineStr">
        <is>
          <t>Keep, Natural Sell-Thru</t>
        </is>
      </c>
      <c r="H26" s="366" t="n">
        <v>6872.83</v>
      </c>
      <c r="I26" s="366" t="n">
        <v>11992.5</v>
      </c>
      <c r="J26" s="366" t="n">
        <v>-3157.7</v>
      </c>
      <c r="K26" s="367" t="n">
        <v>0.263</v>
      </c>
      <c r="L26" s="368" t="n">
        <v>207</v>
      </c>
      <c r="M26" s="366" t="n">
        <v>33.2</v>
      </c>
      <c r="N26" s="369" t="n">
        <v>0.0038</v>
      </c>
      <c r="O26" s="369" t="n">
        <v>0.7573000000000001</v>
      </c>
      <c r="P26" s="365" t="n">
        <v>14</v>
      </c>
      <c r="Q26" s="366" t="n">
        <v>10</v>
      </c>
      <c r="R26" s="368" t="n">
        <v>260</v>
      </c>
      <c r="S26" s="368" t="n">
        <v>7</v>
      </c>
      <c r="T26" s="368" t="n">
        <v>120</v>
      </c>
      <c r="U26" s="368" t="n">
        <v>0</v>
      </c>
      <c r="V26" s="368">
        <f>S28+T28</f>
        <v/>
      </c>
      <c r="W26" s="368">
        <f>S28+T28+U28</f>
        <v/>
      </c>
      <c r="X26" s="368">
        <f>W28*Q28</f>
        <v/>
      </c>
      <c r="Y26" s="366" t="n">
        <v>45</v>
      </c>
      <c r="Z26" s="366" t="n">
        <v>45</v>
      </c>
      <c r="AA26" s="365">
        <f>IF(Y28=Z28,"No","Yes")</f>
        <v/>
      </c>
      <c r="AB26" s="365" t="inlineStr">
        <is>
          <t>NW241WU1101</t>
        </is>
      </c>
      <c r="AC26" s="364" t="inlineStr">
        <is>
          <t>软支撑2.0浮浮深V文胸</t>
        </is>
      </c>
    </row>
    <row r="27" ht="18" customHeight="1" s="229">
      <c r="A27" s="590" t="inlineStr">
        <is>
          <t>Nude Shape Triangle Bra</t>
        </is>
      </c>
      <c r="B27" s="591" t="inlineStr">
        <is>
          <t>Underwear</t>
        </is>
      </c>
      <c r="C27" s="592" t="inlineStr">
        <is>
          <t>REMOVE</t>
        </is>
      </c>
      <c r="D27" s="593" t="inlineStr">
        <is>
          <t>Non-core product — portfolio simplification</t>
        </is>
      </c>
      <c r="E27" s="593" t="inlineStr">
        <is>
          <t>3 — MEDIUM (selldown or markdown)</t>
        </is>
      </c>
      <c r="F27" s="594" t="inlineStr">
        <is>
          <t>Remove</t>
        </is>
      </c>
      <c r="G27" s="593" t="n"/>
      <c r="H27" s="595" t="n">
        <v>6335.53</v>
      </c>
      <c r="I27" s="595" t="n">
        <v>8790.6</v>
      </c>
      <c r="J27" s="595" t="n">
        <v>-2320.52</v>
      </c>
      <c r="K27" s="600" t="n">
        <v>0.264</v>
      </c>
      <c r="L27" s="597" t="n">
        <v>217</v>
      </c>
      <c r="M27" s="595" t="n">
        <v>29.2</v>
      </c>
      <c r="N27" s="598" t="n">
        <v>0.0035</v>
      </c>
      <c r="O27" s="598" t="n">
        <v>0.7608</v>
      </c>
      <c r="P27" s="594" t="n">
        <v>6</v>
      </c>
      <c r="Q27" s="595" t="n">
        <v>10</v>
      </c>
      <c r="R27" s="597" t="n">
        <v>208</v>
      </c>
      <c r="S27" s="597" t="n">
        <v>25</v>
      </c>
      <c r="T27" s="597" t="n">
        <v>797</v>
      </c>
      <c r="U27" s="597" t="n">
        <v>0</v>
      </c>
      <c r="V27" s="597">
        <f>S29+T29</f>
        <v/>
      </c>
      <c r="W27" s="597">
        <f>S29+T29+U29</f>
        <v/>
      </c>
      <c r="X27" s="597">
        <f>W29*Q29</f>
        <v/>
      </c>
      <c r="Y27" s="595" t="n">
        <v>69</v>
      </c>
      <c r="Z27" s="595" t="n">
        <v>34.5</v>
      </c>
      <c r="AA27" s="594">
        <f>IF(Y29=Z29,"No","Yes")</f>
        <v/>
      </c>
      <c r="AB27" s="594" t="inlineStr">
        <is>
          <t>N211WU1101</t>
        </is>
      </c>
      <c r="AC27" s="593" t="inlineStr">
        <is>
          <t>三角杯模杯文胸</t>
        </is>
      </c>
    </row>
    <row r="28" ht="18" customHeight="1" s="229">
      <c r="A28" s="361" t="inlineStr">
        <is>
          <t>UltraFlex Cotton Triangle Cup Bra</t>
        </is>
      </c>
      <c r="B28" s="362" t="inlineStr">
        <is>
          <t>Underwear</t>
        </is>
      </c>
      <c r="C28" s="589" t="inlineStr">
        <is>
          <t>REMOVE</t>
        </is>
      </c>
      <c r="D28" s="364" t="inlineStr">
        <is>
          <t>Non-core product — portfolio simplification</t>
        </is>
      </c>
      <c r="E28" s="364" t="inlineStr">
        <is>
          <t>3 — MEDIUM (selldown or markdown)</t>
        </is>
      </c>
      <c r="F28" s="365" t="inlineStr">
        <is>
          <t>Keep</t>
        </is>
      </c>
      <c r="G28" s="364" t="inlineStr">
        <is>
          <t>Keep, UltraFlex Collection is popular</t>
        </is>
      </c>
      <c r="H28" s="366" t="n">
        <v>5957.14</v>
      </c>
      <c r="I28" s="366" t="n">
        <v>9315</v>
      </c>
      <c r="J28" s="366" t="n">
        <v>-2271.11</v>
      </c>
      <c r="K28" s="380" t="n">
        <v>0.244</v>
      </c>
      <c r="L28" s="368" t="n">
        <v>175</v>
      </c>
      <c r="M28" s="366" t="n">
        <v>34.04</v>
      </c>
      <c r="N28" s="369" t="n">
        <v>0.0033</v>
      </c>
      <c r="O28" s="369" t="n">
        <v>0.7641</v>
      </c>
      <c r="P28" s="365" t="n">
        <v>12</v>
      </c>
      <c r="Q28" s="366" t="n">
        <v>10</v>
      </c>
      <c r="R28" s="368" t="n">
        <v>195</v>
      </c>
      <c r="S28" s="368" t="n">
        <v>9</v>
      </c>
      <c r="T28" s="368" t="n">
        <v>176</v>
      </c>
      <c r="U28" s="368" t="n">
        <v>0</v>
      </c>
      <c r="V28" s="368">
        <f>S30+T30</f>
        <v/>
      </c>
      <c r="W28" s="368">
        <f>S30+T30+U30</f>
        <v/>
      </c>
      <c r="X28" s="368">
        <f>W30*Q30</f>
        <v/>
      </c>
      <c r="Y28" s="366" t="n">
        <v>45</v>
      </c>
      <c r="Z28" s="366" t="n">
        <v>45</v>
      </c>
      <c r="AA28" s="365">
        <f>IF(Y30=Z30,"No","Yes")</f>
        <v/>
      </c>
      <c r="AB28" s="365" t="inlineStr">
        <is>
          <t>NO251WU1114</t>
        </is>
      </c>
      <c r="AC28" s="364" t="inlineStr">
        <is>
          <t>好弹棉质三角杯文胸</t>
        </is>
      </c>
    </row>
    <row r="29" ht="18" customHeight="1" s="229">
      <c r="A29" s="590" t="inlineStr">
        <is>
          <t>Women's Briefs Gift Set</t>
        </is>
      </c>
      <c r="B29" s="591" t="inlineStr">
        <is>
          <t>Underwear</t>
        </is>
      </c>
      <c r="C29" s="592" t="inlineStr">
        <is>
          <t>REMOVE</t>
        </is>
      </c>
      <c r="D29" s="593" t="inlineStr">
        <is>
          <t>Bundle/Gift Set — low velocity</t>
        </is>
      </c>
      <c r="E29" s="593" t="inlineStr">
        <is>
          <t>4 — LOW (natural sellthrough)</t>
        </is>
      </c>
      <c r="F29" s="594" t="inlineStr">
        <is>
          <t>Keep</t>
        </is>
      </c>
      <c r="G29" s="593" t="inlineStr">
        <is>
          <t>Keep, Natural Sell-Thru</t>
        </is>
      </c>
      <c r="H29" s="595" t="n">
        <v>5494.84</v>
      </c>
      <c r="I29" s="595" t="n">
        <v>7329</v>
      </c>
      <c r="J29" s="595" t="n">
        <v>-1760.66</v>
      </c>
      <c r="K29" s="596" t="n">
        <v>0.24</v>
      </c>
      <c r="L29" s="597" t="n">
        <v>344</v>
      </c>
      <c r="M29" s="595" t="n">
        <v>15.97</v>
      </c>
      <c r="N29" s="598" t="n">
        <v>0.003</v>
      </c>
      <c r="O29" s="598" t="n">
        <v>0.7670999999999999</v>
      </c>
      <c r="P29" s="594" t="n">
        <v>5</v>
      </c>
      <c r="Q29" s="595" t="n">
        <v>10</v>
      </c>
      <c r="R29" s="597" t="n">
        <v>293</v>
      </c>
      <c r="S29" s="597" t="n">
        <v>0</v>
      </c>
      <c r="T29" s="597" t="n">
        <v>0</v>
      </c>
      <c r="U29" s="597" t="n">
        <v>70</v>
      </c>
      <c r="V29" s="597">
        <f>S31+T31</f>
        <v/>
      </c>
      <c r="W29" s="597">
        <f>S31+T31+U31</f>
        <v/>
      </c>
      <c r="X29" s="597">
        <f>W31*Q31</f>
        <v/>
      </c>
      <c r="Y29" s="595" t="n">
        <v>30</v>
      </c>
      <c r="Z29" s="595" t="n">
        <v>21</v>
      </c>
      <c r="AA29" s="594">
        <f>IF(Y31=Z31,"No","Yes")</f>
        <v/>
      </c>
      <c r="AB29" s="594" t="inlineStr">
        <is>
          <t>NW232WE0010</t>
        </is>
      </c>
      <c r="AC29" s="593" t="inlineStr">
        <is>
          <t>女士内裤红盒（US）</t>
        </is>
      </c>
    </row>
    <row r="30" ht="18" customHeight="1" s="229">
      <c r="A30" s="361" t="inlineStr">
        <is>
          <t>Twin Cross Plunge Contour Bra 2.0</t>
        </is>
      </c>
      <c r="B30" s="362" t="inlineStr">
        <is>
          <t>Underwear</t>
        </is>
      </c>
      <c r="C30" s="589" t="inlineStr">
        <is>
          <t>REMOVE</t>
        </is>
      </c>
      <c r="D30" s="364" t="inlineStr">
        <is>
          <t>Non-core product — portfolio simplification</t>
        </is>
      </c>
      <c r="E30" s="364" t="inlineStr">
        <is>
          <t>3 — MEDIUM (selldown or markdown)</t>
        </is>
      </c>
      <c r="F30" s="365" t="inlineStr">
        <is>
          <t>Remove</t>
        </is>
      </c>
      <c r="G30" s="364" t="n"/>
      <c r="H30" s="366" t="n">
        <v>5292.57</v>
      </c>
      <c r="I30" s="366" t="n">
        <v>7245</v>
      </c>
      <c r="J30" s="366" t="n">
        <v>-1882.05</v>
      </c>
      <c r="K30" s="367" t="n">
        <v>0.26</v>
      </c>
      <c r="L30" s="368" t="n">
        <v>173</v>
      </c>
      <c r="M30" s="366" t="n">
        <v>30.59</v>
      </c>
      <c r="N30" s="369" t="n">
        <v>0.0029</v>
      </c>
      <c r="O30" s="369" t="n">
        <v>0.77</v>
      </c>
      <c r="P30" s="365" t="n">
        <v>16</v>
      </c>
      <c r="Q30" s="366" t="n">
        <v>10</v>
      </c>
      <c r="R30" s="368" t="n">
        <v>168</v>
      </c>
      <c r="S30" s="368" t="n">
        <v>118</v>
      </c>
      <c r="T30" s="368" t="n">
        <v>45</v>
      </c>
      <c r="U30" s="368" t="n">
        <v>2086</v>
      </c>
      <c r="V30" s="368">
        <f>S32+T32</f>
        <v/>
      </c>
      <c r="W30" s="368">
        <f>S32+T32+U32</f>
        <v/>
      </c>
      <c r="X30" s="368">
        <f>W32*Q32</f>
        <v/>
      </c>
      <c r="Y30" s="366" t="n">
        <v>69</v>
      </c>
      <c r="Z30" s="366" t="n">
        <v>41.4</v>
      </c>
      <c r="AA30" s="365">
        <f>IF(Y32=Z32,"No","Yes")</f>
        <v/>
      </c>
      <c r="AB30" s="365" t="inlineStr">
        <is>
          <t>NW221WU1165</t>
        </is>
      </c>
      <c r="AC30" s="364" t="inlineStr">
        <is>
          <t>日本专利下围交叉模杯文胸</t>
        </is>
      </c>
    </row>
    <row r="31" ht="18" customHeight="1" s="229">
      <c r="A31" s="590" t="inlineStr">
        <is>
          <t>Self Silk 3/4 Cup Bra</t>
        </is>
      </c>
      <c r="B31" s="591" t="inlineStr">
        <is>
          <t>Underwear</t>
        </is>
      </c>
      <c r="C31" s="592" t="inlineStr">
        <is>
          <t>REMOVE</t>
        </is>
      </c>
      <c r="D31" s="593" t="inlineStr">
        <is>
          <t>Below threshold — long tail</t>
        </is>
      </c>
      <c r="E31" s="593" t="inlineStr">
        <is>
          <t>3 — MEDIUM (selldown or markdown)</t>
        </is>
      </c>
      <c r="F31" s="594" t="inlineStr">
        <is>
          <t>Remove</t>
        </is>
      </c>
      <c r="G31" s="593" t="n"/>
      <c r="H31" s="595" t="n">
        <v>4584.17</v>
      </c>
      <c r="I31" s="595" t="n">
        <v>6194.4</v>
      </c>
      <c r="J31" s="595" t="n">
        <v>-1504.32</v>
      </c>
      <c r="K31" s="596" t="n">
        <v>0.243</v>
      </c>
      <c r="L31" s="597" t="n">
        <v>121</v>
      </c>
      <c r="M31" s="595" t="n">
        <v>37.89</v>
      </c>
      <c r="N31" s="598" t="n">
        <v>0.0025</v>
      </c>
      <c r="O31" s="598" t="n">
        <v>0.7805</v>
      </c>
      <c r="P31" s="594" t="n">
        <v>10</v>
      </c>
      <c r="Q31" s="595" t="n">
        <v>10</v>
      </c>
      <c r="R31" s="597" t="n">
        <v>119</v>
      </c>
      <c r="S31" s="597" t="n">
        <v>0</v>
      </c>
      <c r="T31" s="597" t="n">
        <v>23</v>
      </c>
      <c r="U31" s="597" t="n">
        <v>220</v>
      </c>
      <c r="V31" s="597">
        <f>S36+T36</f>
        <v/>
      </c>
      <c r="W31" s="597">
        <f>S36+T36+U36</f>
        <v/>
      </c>
      <c r="X31" s="597">
        <f>W36*Q36</f>
        <v/>
      </c>
      <c r="Y31" s="595" t="n">
        <v>89</v>
      </c>
      <c r="Z31" s="595" t="n">
        <v>44.5</v>
      </c>
      <c r="AA31" s="594">
        <f>IF(Y36=Z36,"No","Yes")</f>
        <v/>
      </c>
      <c r="AB31" s="594" t="inlineStr">
        <is>
          <t>N212WU1104</t>
        </is>
      </c>
      <c r="AC31" s="593" t="inlineStr">
        <is>
          <t>真丝3/4杯文胸</t>
        </is>
      </c>
    </row>
    <row r="32" ht="18" customHeight="1" s="229">
      <c r="A32" s="361" t="inlineStr">
        <is>
          <t>UltraFlex Light Bra</t>
        </is>
      </c>
      <c r="B32" s="362" t="inlineStr">
        <is>
          <t>Underwear</t>
        </is>
      </c>
      <c r="C32" s="589" t="inlineStr">
        <is>
          <t>REMOVE</t>
        </is>
      </c>
      <c r="D32" s="364" t="inlineStr">
        <is>
          <t>Below threshold — long tail</t>
        </is>
      </c>
      <c r="E32" s="364" t="inlineStr">
        <is>
          <t>4 — LOW (natural sellthrough)</t>
        </is>
      </c>
      <c r="F32" s="365" t="inlineStr">
        <is>
          <t>Remove</t>
        </is>
      </c>
      <c r="G32" s="364" t="inlineStr">
        <is>
          <t>Almost OOS</t>
        </is>
      </c>
      <c r="H32" s="366" t="n">
        <v>4429.88</v>
      </c>
      <c r="I32" s="366" t="n">
        <v>6703.2</v>
      </c>
      <c r="J32" s="366" t="n">
        <v>-1487.72</v>
      </c>
      <c r="K32" s="380" t="n">
        <v>0.222</v>
      </c>
      <c r="L32" s="368" t="n">
        <v>149</v>
      </c>
      <c r="M32" s="366" t="n">
        <v>29.73</v>
      </c>
      <c r="N32" s="369" t="n">
        <v>0.0024</v>
      </c>
      <c r="O32" s="369" t="n">
        <v>0.7829</v>
      </c>
      <c r="P32" s="365" t="n">
        <v>12</v>
      </c>
      <c r="Q32" s="366" t="n">
        <v>10</v>
      </c>
      <c r="R32" s="368" t="n">
        <v>163</v>
      </c>
      <c r="S32" s="368" t="n">
        <v>1</v>
      </c>
      <c r="T32" s="368" t="n">
        <v>1</v>
      </c>
      <c r="U32" s="368" t="n">
        <v>0</v>
      </c>
      <c r="V32" s="368">
        <f>S37+T37</f>
        <v/>
      </c>
      <c r="W32" s="368">
        <f>S37+T37+U37</f>
        <v/>
      </c>
      <c r="X32" s="368">
        <f>W37*Q37</f>
        <v/>
      </c>
      <c r="Y32" s="366" t="n">
        <v>38</v>
      </c>
      <c r="Z32" s="366" t="n">
        <v>38</v>
      </c>
      <c r="AA32" s="365">
        <f>IF(Y37=Z37,"No","Yes")</f>
        <v/>
      </c>
      <c r="AB32" s="365" t="inlineStr">
        <is>
          <t>NO251WU1116</t>
        </is>
      </c>
      <c r="AC32" s="364" t="inlineStr">
        <is>
          <t>好弹超轻套头吊带文胸</t>
        </is>
      </c>
    </row>
    <row r="33" ht="18" customHeight="1" s="229">
      <c r="A33" s="569" t="inlineStr">
        <is>
          <t>Pure Comfort Soft Modal Triangle Bra 3.0</t>
        </is>
      </c>
      <c r="B33" s="570" t="inlineStr">
        <is>
          <t>Underwear</t>
        </is>
      </c>
      <c r="C33" s="588" t="inlineStr">
        <is>
          <t>KEEP — Tier 2</t>
        </is>
      </c>
      <c r="D33" s="572" t="inlineStr">
        <is>
          <t>Strategic non-BZ keeper</t>
        </is>
      </c>
      <c r="E33" s="572" t="n"/>
      <c r="F33" s="573" t="inlineStr">
        <is>
          <t>Keep</t>
        </is>
      </c>
      <c r="G33" s="572" t="inlineStr">
        <is>
          <t>Keep</t>
        </is>
      </c>
      <c r="H33" s="574" t="n">
        <v>4302.08</v>
      </c>
      <c r="I33" s="574" t="n">
        <v>7371.73</v>
      </c>
      <c r="J33" s="574" t="n">
        <v>-1792.86</v>
      </c>
      <c r="K33" s="601" t="n">
        <v>0.243</v>
      </c>
      <c r="L33" s="576" t="n">
        <v>151</v>
      </c>
      <c r="M33" s="574" t="n">
        <v>28.49</v>
      </c>
      <c r="N33" s="577" t="n">
        <v>0.0024</v>
      </c>
      <c r="O33" s="577" t="n">
        <v>0.7901</v>
      </c>
      <c r="P33" s="573" t="n">
        <v>14</v>
      </c>
      <c r="Q33" s="574" t="n">
        <v>10</v>
      </c>
      <c r="R33" s="576" t="n">
        <v>178</v>
      </c>
      <c r="S33" s="576" t="n">
        <v>333</v>
      </c>
      <c r="T33" s="576" t="n">
        <v>29</v>
      </c>
      <c r="U33" s="576" t="n">
        <v>0</v>
      </c>
      <c r="V33" s="576">
        <f>S40+T40</f>
        <v/>
      </c>
      <c r="W33" s="576">
        <f>S40+T40+U40</f>
        <v/>
      </c>
      <c r="X33" s="576">
        <f>W40*Q40</f>
        <v/>
      </c>
      <c r="Y33" s="574" t="n">
        <v>38</v>
      </c>
      <c r="Z33" s="574" t="n">
        <v>38</v>
      </c>
      <c r="AA33" s="573">
        <f>IF(Y40=Z40,"No","Yes")</f>
        <v/>
      </c>
      <c r="AB33" s="573" t="inlineStr">
        <is>
          <t>NW241WU1153</t>
        </is>
      </c>
      <c r="AC33" s="572" t="inlineStr">
        <is>
          <t>零敏玲珑文胸</t>
        </is>
      </c>
    </row>
    <row r="34" ht="18" customHeight="1" s="229">
      <c r="A34" s="361" t="inlineStr">
        <is>
          <t>Silk Blend Briefs (3 Pack)</t>
        </is>
      </c>
      <c r="B34" s="362" t="inlineStr">
        <is>
          <t>Underwear</t>
        </is>
      </c>
      <c r="C34" s="589" t="inlineStr">
        <is>
          <t>REMOVE</t>
        </is>
      </c>
      <c r="D34" s="364" t="inlineStr">
        <is>
          <t>Below threshold — long tail</t>
        </is>
      </c>
      <c r="E34" s="364" t="inlineStr">
        <is>
          <t>3 — MEDIUM (selldown or markdown)</t>
        </is>
      </c>
      <c r="F34" s="365" t="inlineStr">
        <is>
          <t>Keep</t>
        </is>
      </c>
      <c r="G34" s="364" t="inlineStr">
        <is>
          <t>Keep, popular 3-pack underwear</t>
        </is>
      </c>
      <c r="H34" s="366" t="n">
        <v>4227.03</v>
      </c>
      <c r="I34" s="366" t="n">
        <v>5488</v>
      </c>
      <c r="J34" s="366" t="n">
        <v>-1260.97</v>
      </c>
      <c r="K34" s="380" t="n">
        <v>0.23</v>
      </c>
      <c r="L34" s="368" t="n">
        <v>112</v>
      </c>
      <c r="M34" s="366" t="n">
        <v>37.74</v>
      </c>
      <c r="N34" s="369" t="n">
        <v>0.0023</v>
      </c>
      <c r="O34" s="369" t="n">
        <v>0.7924</v>
      </c>
      <c r="P34" s="365" t="n">
        <v>4</v>
      </c>
      <c r="Q34" s="366" t="n">
        <v>10</v>
      </c>
      <c r="R34" s="368" t="n">
        <v>107</v>
      </c>
      <c r="S34" s="368" t="n">
        <v>0</v>
      </c>
      <c r="T34" s="368" t="n">
        <v>51</v>
      </c>
      <c r="U34" s="368" t="n">
        <v>0</v>
      </c>
      <c r="V34" s="368">
        <f>S41+T41</f>
        <v/>
      </c>
      <c r="W34" s="368">
        <f>S41+T41+U41</f>
        <v/>
      </c>
      <c r="X34" s="368">
        <f>W41*Q41</f>
        <v/>
      </c>
      <c r="Y34" s="366" t="n">
        <v>49</v>
      </c>
      <c r="Z34" s="366" t="n">
        <v>49</v>
      </c>
      <c r="AA34" s="365">
        <f>IF(Y41=Z41,"No","Yes")</f>
        <v/>
      </c>
      <c r="AB34" s="365" t="inlineStr">
        <is>
          <t>NW242WU1501</t>
        </is>
      </c>
      <c r="AC34" s="364" t="inlineStr">
        <is>
          <t>丝混纺内裤3条装</t>
        </is>
      </c>
    </row>
    <row r="35" ht="18" customHeight="1" s="229">
      <c r="A35" s="590" t="inlineStr">
        <is>
          <t>Twin Cross Mesh Bra</t>
        </is>
      </c>
      <c r="B35" s="591" t="inlineStr">
        <is>
          <t>Underwear</t>
        </is>
      </c>
      <c r="C35" s="592" t="inlineStr">
        <is>
          <t>REMOVE</t>
        </is>
      </c>
      <c r="D35" s="593" t="inlineStr">
        <is>
          <t>Below threshold — long tail</t>
        </is>
      </c>
      <c r="E35" s="593" t="inlineStr">
        <is>
          <t>3 — MEDIUM (selldown or markdown)</t>
        </is>
      </c>
      <c r="F35" s="594" t="inlineStr">
        <is>
          <t>Remove</t>
        </is>
      </c>
      <c r="G35" s="593" t="n"/>
      <c r="H35" s="595" t="n">
        <v>4103.31</v>
      </c>
      <c r="I35" s="595" t="n">
        <v>5506.2</v>
      </c>
      <c r="J35" s="595" t="n">
        <v>-1344.93</v>
      </c>
      <c r="K35" s="596" t="n">
        <v>0.244</v>
      </c>
      <c r="L35" s="597" t="n">
        <v>131</v>
      </c>
      <c r="M35" s="595" t="n">
        <v>31.32</v>
      </c>
      <c r="N35" s="598" t="n">
        <v>0.0023</v>
      </c>
      <c r="O35" s="598" t="n">
        <v>0.7947</v>
      </c>
      <c r="P35" s="594" t="n">
        <v>10</v>
      </c>
      <c r="Q35" s="595" t="n">
        <v>10</v>
      </c>
      <c r="R35" s="597" t="n">
        <v>127</v>
      </c>
      <c r="S35" s="597" t="n">
        <v>26</v>
      </c>
      <c r="T35" s="597" t="n">
        <v>21</v>
      </c>
      <c r="U35" s="597" t="n">
        <v>386</v>
      </c>
      <c r="V35" s="597">
        <f>S42+T42</f>
        <v/>
      </c>
      <c r="W35" s="597">
        <f>S42+T42+U42</f>
        <v/>
      </c>
      <c r="X35" s="597">
        <f>W42*Q42</f>
        <v/>
      </c>
      <c r="Y35" s="595" t="n">
        <v>69</v>
      </c>
      <c r="Z35" s="595" t="n">
        <v>41.4</v>
      </c>
      <c r="AA35" s="594">
        <f>IF(Y42=Z42,"No","Yes")</f>
        <v/>
      </c>
      <c r="AB35" s="594" t="inlineStr">
        <is>
          <t>NW221WU1140</t>
        </is>
      </c>
      <c r="AC35" s="593" t="inlineStr">
        <is>
          <t>网布细肩带款文胸</t>
        </is>
      </c>
    </row>
    <row r="36" ht="18" customHeight="1" s="229">
      <c r="A36" s="578" t="inlineStr">
        <is>
          <t>Cotton Barely Zero Bodysuit</t>
        </is>
      </c>
      <c r="B36" s="579" t="inlineStr">
        <is>
          <t>Underwear</t>
        </is>
      </c>
      <c r="C36" s="580" t="inlineStr">
        <is>
          <t>KEEP — Tier 1</t>
        </is>
      </c>
      <c r="D36" s="581" t="inlineStr">
        <is>
          <t>Core Barely Zero</t>
        </is>
      </c>
      <c r="E36" s="581" t="n"/>
      <c r="F36" s="582" t="inlineStr">
        <is>
          <t>Keep</t>
        </is>
      </c>
      <c r="G36" s="581" t="inlineStr">
        <is>
          <t>Keep</t>
        </is>
      </c>
      <c r="H36" s="583" t="n">
        <v>3516.28</v>
      </c>
      <c r="I36" s="583" t="n">
        <v>5293</v>
      </c>
      <c r="J36" s="583" t="n">
        <v>-1516.02</v>
      </c>
      <c r="K36" s="584" t="n">
        <v>0.286</v>
      </c>
      <c r="L36" s="585" t="n">
        <v>62</v>
      </c>
      <c r="M36" s="583" t="n">
        <v>56.71</v>
      </c>
      <c r="N36" s="586" t="n">
        <v>0.0019</v>
      </c>
      <c r="O36" s="586" t="n">
        <v>0.8048000000000001</v>
      </c>
      <c r="P36" s="582" t="n">
        <v>3</v>
      </c>
      <c r="Q36" s="583" t="n">
        <v>10</v>
      </c>
      <c r="R36" s="585" t="n">
        <v>67</v>
      </c>
      <c r="S36" s="585" t="n">
        <v>0</v>
      </c>
      <c r="T36" s="585" t="n">
        <v>13</v>
      </c>
      <c r="U36" s="585" t="n">
        <v>76</v>
      </c>
      <c r="V36" s="585">
        <f>S47+T47</f>
        <v/>
      </c>
      <c r="W36" s="585">
        <f>S47+T47+U47</f>
        <v/>
      </c>
      <c r="X36" s="585">
        <f>W47*Q47</f>
        <v/>
      </c>
      <c r="Y36" s="583" t="n">
        <v>79</v>
      </c>
      <c r="Z36" s="583" t="n">
        <v>79</v>
      </c>
      <c r="AA36" s="582">
        <f>IF(Y47=Z47,"No","Yes")</f>
        <v/>
      </c>
      <c r="AB36" s="582" t="inlineStr">
        <is>
          <t>NW221WF5203</t>
        </is>
      </c>
      <c r="AC36" s="581" t="inlineStr">
        <is>
          <t>棉质2.0连体衣</t>
        </is>
      </c>
    </row>
    <row r="37" ht="18" customHeight="1" s="229">
      <c r="A37" s="590" t="inlineStr">
        <is>
          <t>Nude Shape 1/2 Cup Bra</t>
        </is>
      </c>
      <c r="B37" s="591" t="inlineStr">
        <is>
          <t>Underwear</t>
        </is>
      </c>
      <c r="C37" s="592" t="inlineStr">
        <is>
          <t>REMOVE</t>
        </is>
      </c>
      <c r="D37" s="593" t="inlineStr">
        <is>
          <t>Below threshold — long tail</t>
        </is>
      </c>
      <c r="E37" s="593" t="inlineStr">
        <is>
          <t>3 — MEDIUM (selldown or markdown)</t>
        </is>
      </c>
      <c r="F37" s="594" t="inlineStr">
        <is>
          <t>Remove</t>
        </is>
      </c>
      <c r="G37" s="593" t="n"/>
      <c r="H37" s="595" t="n">
        <v>3281.68</v>
      </c>
      <c r="I37" s="595" t="n">
        <v>4405.5</v>
      </c>
      <c r="J37" s="595" t="n">
        <v>-1123.82</v>
      </c>
      <c r="K37" s="600" t="n">
        <v>0.255</v>
      </c>
      <c r="L37" s="597" t="n">
        <v>89</v>
      </c>
      <c r="M37" s="595" t="n">
        <v>36.87</v>
      </c>
      <c r="N37" s="598" t="n">
        <v>0.0018</v>
      </c>
      <c r="O37" s="598" t="n">
        <v>0.8158</v>
      </c>
      <c r="P37" s="594" t="n">
        <v>13</v>
      </c>
      <c r="Q37" s="595" t="n">
        <v>10</v>
      </c>
      <c r="R37" s="597" t="n">
        <v>89</v>
      </c>
      <c r="S37" s="597" t="n">
        <v>0</v>
      </c>
      <c r="T37" s="597" t="n">
        <v>509</v>
      </c>
      <c r="U37" s="597" t="n">
        <v>0</v>
      </c>
      <c r="V37" s="597">
        <f>S53+T53</f>
        <v/>
      </c>
      <c r="W37" s="597">
        <f>S53+T53+U53</f>
        <v/>
      </c>
      <c r="X37" s="597">
        <f>W53*Q53</f>
        <v/>
      </c>
      <c r="Y37" s="595" t="n">
        <v>99</v>
      </c>
      <c r="Z37" s="595" t="n">
        <v>49.5</v>
      </c>
      <c r="AA37" s="594">
        <f>IF(Y53=Z53,"No","Yes")</f>
        <v/>
      </c>
      <c r="AB37" s="594" t="inlineStr">
        <is>
          <t>N212WU1105</t>
        </is>
      </c>
      <c r="AC37" s="593" t="inlineStr">
        <is>
          <t>半杯文胸</t>
        </is>
      </c>
    </row>
    <row r="38" ht="18" customHeight="1" s="229">
      <c r="A38" s="361" t="inlineStr">
        <is>
          <t>UltraFlex Light Mid Waist Brief 3-Pack</t>
        </is>
      </c>
      <c r="B38" s="362" t="inlineStr">
        <is>
          <t>Underwear</t>
        </is>
      </c>
      <c r="C38" s="589" t="inlineStr">
        <is>
          <t>REMOVE</t>
        </is>
      </c>
      <c r="D38" s="364" t="inlineStr">
        <is>
          <t>Below threshold — long tail</t>
        </is>
      </c>
      <c r="E38" s="364" t="inlineStr">
        <is>
          <t>3 — MEDIUM (selldown or markdown)</t>
        </is>
      </c>
      <c r="F38" s="365" t="inlineStr">
        <is>
          <t>Keep</t>
        </is>
      </c>
      <c r="G38" s="364" t="inlineStr">
        <is>
          <t>Keep, UltraFlex Collection is popular</t>
        </is>
      </c>
      <c r="H38" s="366" t="n">
        <v>3198.4</v>
      </c>
      <c r="I38" s="366" t="n">
        <v>4230</v>
      </c>
      <c r="J38" s="366" t="n">
        <v>-1010.6</v>
      </c>
      <c r="K38" s="380" t="n">
        <v>0.239</v>
      </c>
      <c r="L38" s="368" t="n">
        <v>140</v>
      </c>
      <c r="M38" s="366" t="n">
        <v>22.85</v>
      </c>
      <c r="N38" s="369" t="n">
        <v>0.0018</v>
      </c>
      <c r="O38" s="369" t="n">
        <v>0.8212</v>
      </c>
      <c r="P38" s="365" t="n">
        <v>8</v>
      </c>
      <c r="Q38" s="366" t="n">
        <v>10</v>
      </c>
      <c r="R38" s="368" t="n">
        <v>131</v>
      </c>
      <c r="S38" s="368" t="n">
        <v>0</v>
      </c>
      <c r="T38" s="368" t="n">
        <v>20</v>
      </c>
      <c r="U38" s="368" t="n">
        <v>0</v>
      </c>
      <c r="V38" s="368">
        <f>S56+T56</f>
        <v/>
      </c>
      <c r="W38" s="368">
        <f>S56+T56+U56</f>
        <v/>
      </c>
      <c r="X38" s="368">
        <f>W56*Q56</f>
        <v/>
      </c>
      <c r="Y38" s="366" t="n">
        <v>30</v>
      </c>
      <c r="Z38" s="366" t="n">
        <v>30</v>
      </c>
      <c r="AA38" s="365">
        <f>IF(Y56=Z56,"No","Yes")</f>
        <v/>
      </c>
      <c r="AB38" s="365" t="inlineStr">
        <is>
          <t>NO251WU1307</t>
        </is>
      </c>
      <c r="AC38" s="364" t="inlineStr">
        <is>
          <t>好弹超轻中腰内裤3条装</t>
        </is>
      </c>
    </row>
    <row r="39" ht="18" customHeight="1" s="229">
      <c r="A39" s="590" t="inlineStr">
        <is>
          <t>Twin Cross Mesh Mid Waist Brief</t>
        </is>
      </c>
      <c r="B39" s="591" t="inlineStr">
        <is>
          <t>Underwear</t>
        </is>
      </c>
      <c r="C39" s="592" t="inlineStr">
        <is>
          <t>REMOVE</t>
        </is>
      </c>
      <c r="D39" s="593" t="inlineStr">
        <is>
          <t>Below threshold — long tail</t>
        </is>
      </c>
      <c r="E39" s="593" t="inlineStr">
        <is>
          <t>3 — MEDIUM (selldown or markdown)</t>
        </is>
      </c>
      <c r="F39" s="594" t="inlineStr">
        <is>
          <t>Remove</t>
        </is>
      </c>
      <c r="G39" s="593" t="n"/>
      <c r="H39" s="595" t="n">
        <v>3156.97</v>
      </c>
      <c r="I39" s="595" t="n">
        <v>4265.9</v>
      </c>
      <c r="J39" s="595" t="n">
        <v>-1108.93</v>
      </c>
      <c r="K39" s="600" t="n">
        <v>0.26</v>
      </c>
      <c r="L39" s="597" t="n">
        <v>217</v>
      </c>
      <c r="M39" s="595" t="n">
        <v>14.55</v>
      </c>
      <c r="N39" s="598" t="n">
        <v>0.0017</v>
      </c>
      <c r="O39" s="598" t="n">
        <v>0.8262999999999999</v>
      </c>
      <c r="P39" s="594" t="n">
        <v>8</v>
      </c>
      <c r="Q39" s="595" t="n">
        <v>10</v>
      </c>
      <c r="R39" s="597" t="n">
        <v>179</v>
      </c>
      <c r="S39" s="597" t="n">
        <v>0</v>
      </c>
      <c r="T39" s="597" t="n">
        <v>37</v>
      </c>
      <c r="U39" s="597" t="n">
        <v>21</v>
      </c>
      <c r="V39" s="597">
        <f>S59+T59</f>
        <v/>
      </c>
      <c r="W39" s="597">
        <f>S59+T59+U59</f>
        <v/>
      </c>
      <c r="X39" s="597">
        <f>W59*Q59</f>
        <v/>
      </c>
      <c r="Y39" s="595" t="n">
        <v>29</v>
      </c>
      <c r="Z39" s="595" t="n">
        <v>17.4</v>
      </c>
      <c r="AA39" s="594">
        <f>IF(Y59=Z59,"No","Yes")</f>
        <v/>
      </c>
      <c r="AB39" s="594" t="inlineStr">
        <is>
          <t>NW221WU1317</t>
        </is>
      </c>
      <c r="AC39" s="593" t="inlineStr">
        <is>
          <t>中腰内裤</t>
        </is>
      </c>
    </row>
    <row r="40" ht="18" customHeight="1" s="229">
      <c r="A40" s="361" t="inlineStr">
        <is>
          <t>Plisse Lace 3/4 Cup Bra</t>
        </is>
      </c>
      <c r="B40" s="362" t="inlineStr">
        <is>
          <t>Underwear</t>
        </is>
      </c>
      <c r="C40" s="589" t="inlineStr">
        <is>
          <t>REMOVE</t>
        </is>
      </c>
      <c r="D40" s="364" t="inlineStr">
        <is>
          <t>Below threshold — long tail</t>
        </is>
      </c>
      <c r="E40" s="364" t="inlineStr">
        <is>
          <t>3 — MEDIUM (selldown or markdown)</t>
        </is>
      </c>
      <c r="F40" s="365" t="inlineStr">
        <is>
          <t>Remove</t>
        </is>
      </c>
      <c r="G40" s="364" t="n"/>
      <c r="H40" s="366" t="n">
        <v>2953.02</v>
      </c>
      <c r="I40" s="366" t="n">
        <v>3934.2</v>
      </c>
      <c r="J40" s="366" t="n">
        <v>-981.1799999999999</v>
      </c>
      <c r="K40" s="380" t="n">
        <v>0.249</v>
      </c>
      <c r="L40" s="368" t="n">
        <v>83</v>
      </c>
      <c r="M40" s="366" t="n">
        <v>35.58</v>
      </c>
      <c r="N40" s="369" t="n">
        <v>0.0016</v>
      </c>
      <c r="O40" s="369" t="n">
        <v>0.8279000000000001</v>
      </c>
      <c r="P40" s="365" t="n">
        <v>10</v>
      </c>
      <c r="Q40" s="366" t="n">
        <v>10</v>
      </c>
      <c r="R40" s="368" t="n">
        <v>81</v>
      </c>
      <c r="S40" s="368" t="n">
        <v>0</v>
      </c>
      <c r="T40" s="368" t="n">
        <v>34</v>
      </c>
      <c r="U40" s="368" t="n">
        <v>607</v>
      </c>
      <c r="V40" s="368">
        <f>S60+T60</f>
        <v/>
      </c>
      <c r="W40" s="368">
        <f>S60+T60+U60</f>
        <v/>
      </c>
      <c r="X40" s="368">
        <f>W60*Q60</f>
        <v/>
      </c>
      <c r="Y40" s="366" t="n">
        <v>79</v>
      </c>
      <c r="Z40" s="366" t="n">
        <v>47.4</v>
      </c>
      <c r="AA40" s="365">
        <f>IF(Y60=Z60,"No","Yes")</f>
        <v/>
      </c>
      <c r="AB40" s="365" t="inlineStr">
        <is>
          <t>NW221WU1173</t>
        </is>
      </c>
      <c r="AC40" s="364" t="inlineStr">
        <is>
          <t>3/4杯文胸</t>
        </is>
      </c>
    </row>
    <row r="41" ht="18" customHeight="1" s="229">
      <c r="A41" s="590" t="inlineStr">
        <is>
          <t>Twin Cross Wide Strap Plunge Contour Bra 2.0</t>
        </is>
      </c>
      <c r="B41" s="591" t="inlineStr">
        <is>
          <t>Underwear</t>
        </is>
      </c>
      <c r="C41" s="592" t="inlineStr">
        <is>
          <t>REMOVE</t>
        </is>
      </c>
      <c r="D41" s="593" t="inlineStr">
        <is>
          <t>Below threshold — long tail</t>
        </is>
      </c>
      <c r="E41" s="593" t="inlineStr">
        <is>
          <t>3 — MEDIUM (selldown or markdown)</t>
        </is>
      </c>
      <c r="F41" s="594" t="inlineStr">
        <is>
          <t>Remove</t>
        </is>
      </c>
      <c r="G41" s="593" t="n"/>
      <c r="H41" s="595" t="n">
        <v>2822.61</v>
      </c>
      <c r="I41" s="595" t="n">
        <v>3886.8</v>
      </c>
      <c r="J41" s="595" t="n">
        <v>-997.8299999999999</v>
      </c>
      <c r="K41" s="600" t="n">
        <v>0.257</v>
      </c>
      <c r="L41" s="597" t="n">
        <v>80</v>
      </c>
      <c r="M41" s="595" t="n">
        <v>35.28</v>
      </c>
      <c r="N41" s="598" t="n">
        <v>0.0016</v>
      </c>
      <c r="O41" s="598" t="n">
        <v>0.8343</v>
      </c>
      <c r="P41" s="594" t="n">
        <v>16</v>
      </c>
      <c r="Q41" s="595" t="n">
        <v>10</v>
      </c>
      <c r="R41" s="597" t="n">
        <v>77</v>
      </c>
      <c r="S41" s="597" t="n">
        <v>0</v>
      </c>
      <c r="T41" s="597" t="n">
        <v>57</v>
      </c>
      <c r="U41" s="597" t="n">
        <v>914</v>
      </c>
      <c r="V41" s="597">
        <f>S64+T64</f>
        <v/>
      </c>
      <c r="W41" s="597">
        <f>S64+T64+U64</f>
        <v/>
      </c>
      <c r="X41" s="597">
        <f>W64*Q64</f>
        <v/>
      </c>
      <c r="Y41" s="595" t="n">
        <v>79</v>
      </c>
      <c r="Z41" s="595" t="n">
        <v>47.4</v>
      </c>
      <c r="AA41" s="594">
        <f>IF(Y64=Z64,"No","Yes")</f>
        <v/>
      </c>
      <c r="AB41" s="594" t="inlineStr">
        <is>
          <t>NW221WU1166</t>
        </is>
      </c>
      <c r="AC41" s="593" t="inlineStr">
        <is>
          <t>宽肩带款文胸</t>
        </is>
      </c>
    </row>
    <row r="42" ht="18" customHeight="1" s="229">
      <c r="A42" s="361" t="inlineStr">
        <is>
          <t>Pure Comfort Ribbed Plunge Bra</t>
        </is>
      </c>
      <c r="B42" s="362" t="inlineStr">
        <is>
          <t>Underwear</t>
        </is>
      </c>
      <c r="C42" s="589" t="inlineStr">
        <is>
          <t>REMOVE</t>
        </is>
      </c>
      <c r="D42" s="364" t="inlineStr">
        <is>
          <t>Below threshold — long tail</t>
        </is>
      </c>
      <c r="E42" s="364" t="inlineStr">
        <is>
          <t>3 — MEDIUM (selldown or markdown)</t>
        </is>
      </c>
      <c r="F42" s="365" t="inlineStr">
        <is>
          <t>Remove</t>
        </is>
      </c>
      <c r="G42" s="364" t="n"/>
      <c r="H42" s="366" t="n">
        <v>2707.17</v>
      </c>
      <c r="I42" s="366" t="n">
        <v>5002.9</v>
      </c>
      <c r="J42" s="366" t="n">
        <v>-1276.01</v>
      </c>
      <c r="K42" s="367" t="n">
        <v>0.255</v>
      </c>
      <c r="L42" s="368" t="n">
        <v>75</v>
      </c>
      <c r="M42" s="366" t="n">
        <v>36.1</v>
      </c>
      <c r="N42" s="369" t="n">
        <v>0.0015</v>
      </c>
      <c r="O42" s="369" t="n">
        <v>0.8403</v>
      </c>
      <c r="P42" s="365" t="n">
        <v>16</v>
      </c>
      <c r="Q42" s="366" t="n">
        <v>10</v>
      </c>
      <c r="R42" s="368" t="n">
        <v>100</v>
      </c>
      <c r="S42" s="368" t="n">
        <v>38</v>
      </c>
      <c r="T42" s="368" t="n">
        <v>34</v>
      </c>
      <c r="U42" s="368" t="n">
        <v>583</v>
      </c>
      <c r="V42" s="368">
        <f>S68+T68</f>
        <v/>
      </c>
      <c r="W42" s="368">
        <f>S68+T68+U68</f>
        <v/>
      </c>
      <c r="X42" s="368">
        <f>W68*Q68</f>
        <v/>
      </c>
      <c r="Y42" s="366" t="n">
        <v>49</v>
      </c>
      <c r="Z42" s="366" t="n">
        <v>49</v>
      </c>
      <c r="AA42" s="365">
        <f>IF(Y68=Z68,"No","Yes")</f>
        <v/>
      </c>
      <c r="AB42" s="365" t="inlineStr">
        <is>
          <t>NW231WU1104</t>
        </is>
      </c>
      <c r="AC42" s="364" t="inlineStr">
        <is>
          <t>交叉长三角杯文胸</t>
        </is>
      </c>
    </row>
    <row r="43" ht="18" customHeight="1" s="229">
      <c r="A43" s="590" t="inlineStr">
        <is>
          <t>Pure Comfort Modal Mid Waist Brief</t>
        </is>
      </c>
      <c r="B43" s="591" t="inlineStr">
        <is>
          <t>Underwear</t>
        </is>
      </c>
      <c r="C43" s="592" t="inlineStr">
        <is>
          <t>REMOVE</t>
        </is>
      </c>
      <c r="D43" s="593" t="inlineStr">
        <is>
          <t>Below threshold — long tail</t>
        </is>
      </c>
      <c r="E43" s="593" t="inlineStr">
        <is>
          <t>3 — MEDIUM (selldown or markdown)</t>
        </is>
      </c>
      <c r="F43" s="594" t="inlineStr">
        <is>
          <t>Remove</t>
        </is>
      </c>
      <c r="G43" s="593" t="n"/>
      <c r="H43" s="595" t="n">
        <v>2667.37</v>
      </c>
      <c r="I43" s="595" t="n">
        <v>3458</v>
      </c>
      <c r="J43" s="595" t="n">
        <v>-790.63</v>
      </c>
      <c r="K43" s="596" t="n">
        <v>0.229</v>
      </c>
      <c r="L43" s="597" t="n">
        <v>182</v>
      </c>
      <c r="M43" s="595" t="n">
        <v>14.66</v>
      </c>
      <c r="N43" s="598" t="n">
        <v>0.0015</v>
      </c>
      <c r="O43" s="598" t="n">
        <v>0.8418000000000001</v>
      </c>
      <c r="P43" s="594" t="n">
        <v>22</v>
      </c>
      <c r="Q43" s="595" t="n">
        <v>10</v>
      </c>
      <c r="R43" s="597" t="n">
        <v>123</v>
      </c>
      <c r="S43" s="597" t="n">
        <v>0</v>
      </c>
      <c r="T43" s="597" t="n">
        <v>83</v>
      </c>
      <c r="U43" s="597" t="n">
        <v>1947</v>
      </c>
      <c r="V43" s="597">
        <f>S69+T69</f>
        <v/>
      </c>
      <c r="W43" s="597">
        <f>S69+T69+U69</f>
        <v/>
      </c>
      <c r="X43" s="597">
        <f>W69*Q69</f>
        <v/>
      </c>
      <c r="Y43" s="595" t="n">
        <v>19</v>
      </c>
      <c r="Z43" s="595" t="n">
        <v>19</v>
      </c>
      <c r="AA43" s="594">
        <f>IF(Y69=Z69,"No","Yes")</f>
        <v/>
      </c>
      <c r="AB43" s="594" t="inlineStr">
        <is>
          <t>NW222WU1325</t>
        </is>
      </c>
      <c r="AC43" s="593" t="e">
        <v>#N/A</v>
      </c>
    </row>
    <row r="44" ht="18" customHeight="1" s="229">
      <c r="A44" s="361" t="inlineStr">
        <is>
          <t>Pure Comfort Premium Jacquard Bra</t>
        </is>
      </c>
      <c r="B44" s="362" t="inlineStr">
        <is>
          <t>Underwear</t>
        </is>
      </c>
      <c r="C44" s="589" t="inlineStr">
        <is>
          <t>REMOVE</t>
        </is>
      </c>
      <c r="D44" s="364" t="inlineStr">
        <is>
          <t>Below threshold — long tail</t>
        </is>
      </c>
      <c r="E44" s="364" t="inlineStr">
        <is>
          <t>3 — MEDIUM (selldown or markdown)</t>
        </is>
      </c>
      <c r="F44" s="365" t="inlineStr">
        <is>
          <t>Remove</t>
        </is>
      </c>
      <c r="G44" s="364" t="n"/>
      <c r="H44" s="366" t="n">
        <v>2385.8</v>
      </c>
      <c r="I44" s="366" t="n">
        <v>3744.6</v>
      </c>
      <c r="J44" s="366" t="n">
        <v>-635.95</v>
      </c>
      <c r="K44" s="380" t="n">
        <v>0.17</v>
      </c>
      <c r="L44" s="368" t="n">
        <v>37</v>
      </c>
      <c r="M44" s="366" t="n">
        <v>64.48</v>
      </c>
      <c r="N44" s="369" t="n">
        <v>0.0013</v>
      </c>
      <c r="O44" s="369" t="n">
        <v>0.8528</v>
      </c>
      <c r="P44" s="365" t="n">
        <v>12</v>
      </c>
      <c r="Q44" s="366" t="n">
        <v>10</v>
      </c>
      <c r="R44" s="368" t="n">
        <v>47</v>
      </c>
      <c r="S44" s="368" t="n">
        <v>20</v>
      </c>
      <c r="T44" s="368" t="n">
        <v>36</v>
      </c>
      <c r="U44" s="368" t="n">
        <v>139</v>
      </c>
      <c r="V44" s="368">
        <f>S77+T77</f>
        <v/>
      </c>
      <c r="W44" s="368">
        <f>S77+T77+U77</f>
        <v/>
      </c>
      <c r="X44" s="368">
        <f>W77*Q77</f>
        <v/>
      </c>
      <c r="Y44" s="366" t="n">
        <v>79</v>
      </c>
      <c r="Z44" s="366" t="n">
        <v>79</v>
      </c>
      <c r="AA44" s="365">
        <f>IF(Y77=Z77,"No","Yes")</f>
        <v/>
      </c>
      <c r="AB44" s="365" t="inlineStr">
        <is>
          <t>NW241WU1106</t>
        </is>
      </c>
      <c r="AC44" s="364" t="inlineStr">
        <is>
          <t>3/4杯文胸</t>
        </is>
      </c>
    </row>
    <row r="45" ht="18" customHeight="1" s="229">
      <c r="A45" s="590" t="inlineStr">
        <is>
          <t>Nude Tulle Triangle Bra</t>
        </is>
      </c>
      <c r="B45" s="591" t="inlineStr">
        <is>
          <t>Underwear</t>
        </is>
      </c>
      <c r="C45" s="592" t="inlineStr">
        <is>
          <t>REMOVE</t>
        </is>
      </c>
      <c r="D45" s="593" t="inlineStr">
        <is>
          <t>Below threshold — long tail</t>
        </is>
      </c>
      <c r="E45" s="593" t="inlineStr">
        <is>
          <t>3 — MEDIUM (selldown or markdown)</t>
        </is>
      </c>
      <c r="F45" s="594" t="inlineStr">
        <is>
          <t>Remove</t>
        </is>
      </c>
      <c r="G45" s="593" t="n"/>
      <c r="H45" s="595" t="n">
        <v>2382.24</v>
      </c>
      <c r="I45" s="595" t="n">
        <v>3284.4</v>
      </c>
      <c r="J45" s="595" t="n">
        <v>-821.24</v>
      </c>
      <c r="K45" s="596" t="n">
        <v>0.25</v>
      </c>
      <c r="L45" s="597" t="n">
        <v>67</v>
      </c>
      <c r="M45" s="595" t="n">
        <v>35.56</v>
      </c>
      <c r="N45" s="598" t="n">
        <v>0.0013</v>
      </c>
      <c r="O45" s="598" t="n">
        <v>0.8541</v>
      </c>
      <c r="P45" s="594" t="n">
        <v>3</v>
      </c>
      <c r="Q45" s="595" t="n">
        <v>10</v>
      </c>
      <c r="R45" s="597" t="n">
        <v>65</v>
      </c>
      <c r="S45" s="597" t="n">
        <v>1</v>
      </c>
      <c r="T45" s="597" t="n">
        <v>19</v>
      </c>
      <c r="U45" s="597" t="n">
        <v>129</v>
      </c>
      <c r="V45" s="597">
        <f>S78+T78</f>
        <v/>
      </c>
      <c r="W45" s="597">
        <f>S78+T78+U78</f>
        <v/>
      </c>
      <c r="X45" s="597">
        <f>W78*Q78</f>
        <v/>
      </c>
      <c r="Y45" s="595" t="n">
        <v>68</v>
      </c>
      <c r="Z45" s="595" t="n">
        <v>47.6</v>
      </c>
      <c r="AA45" s="594">
        <f>IF(Y78=Z78,"No","Yes")</f>
        <v/>
      </c>
      <c r="AB45" s="594" t="inlineStr">
        <is>
          <t>NW221WU1128</t>
        </is>
      </c>
      <c r="AC45" s="593" t="inlineStr">
        <is>
          <t>镂空三角杯文胸</t>
        </is>
      </c>
    </row>
    <row r="46" ht="18" customHeight="1" s="229">
      <c r="A46" s="361" t="inlineStr">
        <is>
          <t>Self Silk Triangle Bra</t>
        </is>
      </c>
      <c r="B46" s="362" t="inlineStr">
        <is>
          <t>Underwear</t>
        </is>
      </c>
      <c r="C46" s="589" t="inlineStr">
        <is>
          <t>REMOVE</t>
        </is>
      </c>
      <c r="D46" s="364" t="inlineStr">
        <is>
          <t>Below threshold — long tail</t>
        </is>
      </c>
      <c r="E46" s="364" t="inlineStr">
        <is>
          <t>3 — MEDIUM (selldown or markdown)</t>
        </is>
      </c>
      <c r="F46" s="365" t="inlineStr">
        <is>
          <t>Remove</t>
        </is>
      </c>
      <c r="G46" s="364" t="n"/>
      <c r="H46" s="366" t="n">
        <v>2259.88</v>
      </c>
      <c r="I46" s="366" t="n">
        <v>3043.8</v>
      </c>
      <c r="J46" s="366" t="n">
        <v>-709.16</v>
      </c>
      <c r="K46" s="380" t="n">
        <v>0.233</v>
      </c>
      <c r="L46" s="368" t="n">
        <v>55</v>
      </c>
      <c r="M46" s="366" t="n">
        <v>41.09</v>
      </c>
      <c r="N46" s="369" t="n">
        <v>0.0012</v>
      </c>
      <c r="O46" s="369" t="n">
        <v>0.8579000000000001</v>
      </c>
      <c r="P46" s="365" t="n">
        <v>3</v>
      </c>
      <c r="Q46" s="366" t="n">
        <v>10</v>
      </c>
      <c r="R46" s="368" t="n">
        <v>52</v>
      </c>
      <c r="S46" s="368" t="n">
        <v>4</v>
      </c>
      <c r="T46" s="368" t="n">
        <v>50</v>
      </c>
      <c r="U46" s="368" t="n">
        <v>19</v>
      </c>
      <c r="V46" s="368">
        <f>S80+T80</f>
        <v/>
      </c>
      <c r="W46" s="368">
        <f>S80+T80+U80</f>
        <v/>
      </c>
      <c r="X46" s="368">
        <f>W80*Q80</f>
        <v/>
      </c>
      <c r="Y46" s="366" t="n">
        <v>89</v>
      </c>
      <c r="Z46" s="366" t="n">
        <v>53.4</v>
      </c>
      <c r="AA46" s="365">
        <f>IF(Y80=Z80,"No","Yes")</f>
        <v/>
      </c>
      <c r="AB46" s="365" t="inlineStr">
        <is>
          <t>N212WU1109</t>
        </is>
      </c>
      <c r="AC46" s="364" t="inlineStr">
        <is>
          <t>真丝三角杯文胸</t>
        </is>
      </c>
    </row>
    <row r="47" ht="18" customHeight="1" s="229">
      <c r="A47" s="590" t="inlineStr">
        <is>
          <t>Nude Tulle Thick Strap Bra</t>
        </is>
      </c>
      <c r="B47" s="591" t="inlineStr">
        <is>
          <t>Underwear</t>
        </is>
      </c>
      <c r="C47" s="592" t="inlineStr">
        <is>
          <t>REMOVE</t>
        </is>
      </c>
      <c r="D47" s="593" t="inlineStr">
        <is>
          <t>Below threshold — long tail</t>
        </is>
      </c>
      <c r="E47" s="593" t="inlineStr">
        <is>
          <t>3 — MEDIUM (selldown or markdown)</t>
        </is>
      </c>
      <c r="F47" s="594" t="inlineStr">
        <is>
          <t>Remove</t>
        </is>
      </c>
      <c r="G47" s="593" t="n"/>
      <c r="H47" s="595" t="n">
        <v>2259.43</v>
      </c>
      <c r="I47" s="595" t="n">
        <v>3100.8</v>
      </c>
      <c r="J47" s="595" t="n">
        <v>-841.37</v>
      </c>
      <c r="K47" s="600" t="n">
        <v>0.271</v>
      </c>
      <c r="L47" s="597" t="n">
        <v>76</v>
      </c>
      <c r="M47" s="595" t="n">
        <v>29.73</v>
      </c>
      <c r="N47" s="598" t="n">
        <v>0.0012</v>
      </c>
      <c r="O47" s="598" t="n">
        <v>0.8591</v>
      </c>
      <c r="P47" s="594" t="n">
        <v>10</v>
      </c>
      <c r="Q47" s="595" t="n">
        <v>10</v>
      </c>
      <c r="R47" s="597" t="n">
        <v>76</v>
      </c>
      <c r="S47" s="597" t="n">
        <v>0</v>
      </c>
      <c r="T47" s="597" t="n">
        <v>32</v>
      </c>
      <c r="U47" s="597" t="n">
        <v>177</v>
      </c>
      <c r="V47" s="597">
        <f>S81+T81</f>
        <v/>
      </c>
      <c r="W47" s="597">
        <f>S81+T81+U81</f>
        <v/>
      </c>
      <c r="X47" s="597">
        <f>W81*Q81</f>
        <v/>
      </c>
      <c r="Y47" s="595" t="n">
        <v>68</v>
      </c>
      <c r="Z47" s="595" t="n">
        <v>40.8</v>
      </c>
      <c r="AA47" s="594">
        <f>IF(Y81=Z81,"No","Yes")</f>
        <v/>
      </c>
      <c r="AB47" s="594" t="inlineStr">
        <is>
          <t>NW221WU1174</t>
        </is>
      </c>
      <c r="AC47" s="593" t="inlineStr">
        <is>
          <t>镂空窄肩款文胸</t>
        </is>
      </c>
    </row>
    <row r="48" ht="18" customHeight="1" s="229">
      <c r="A48" s="361" t="inlineStr">
        <is>
          <t>Cotton Cozy Briefs (3-Pack)</t>
        </is>
      </c>
      <c r="B48" s="362" t="inlineStr">
        <is>
          <t>Underwear</t>
        </is>
      </c>
      <c r="C48" s="589" t="inlineStr">
        <is>
          <t>REMOVE</t>
        </is>
      </c>
      <c r="D48" s="364" t="inlineStr">
        <is>
          <t>Below threshold — long tail</t>
        </is>
      </c>
      <c r="E48" s="364" t="inlineStr">
        <is>
          <t>3 — MEDIUM (selldown or markdown)</t>
        </is>
      </c>
      <c r="F48" s="365" t="inlineStr">
        <is>
          <t>Remove</t>
        </is>
      </c>
      <c r="G48" s="364" t="n"/>
      <c r="H48" s="366" t="n">
        <v>2168.35</v>
      </c>
      <c r="I48" s="366" t="n">
        <v>2840</v>
      </c>
      <c r="J48" s="366" t="n">
        <v>-671.65</v>
      </c>
      <c r="K48" s="380" t="n">
        <v>0.236</v>
      </c>
      <c r="L48" s="368" t="n">
        <v>67</v>
      </c>
      <c r="M48" s="366" t="n">
        <v>32.36</v>
      </c>
      <c r="N48" s="369" t="n">
        <v>0.0012</v>
      </c>
      <c r="O48" s="369" t="n">
        <v>0.8626999999999999</v>
      </c>
      <c r="P48" s="365" t="n">
        <v>8</v>
      </c>
      <c r="Q48" s="366" t="n">
        <v>10</v>
      </c>
      <c r="R48" s="368" t="n">
        <v>63</v>
      </c>
      <c r="S48" s="368" t="n">
        <v>0</v>
      </c>
      <c r="T48" s="368" t="n">
        <v>43</v>
      </c>
      <c r="U48" s="368" t="n">
        <v>852</v>
      </c>
      <c r="V48" s="368">
        <f>S83+T83</f>
        <v/>
      </c>
      <c r="W48" s="368">
        <f>S83+T83+U83</f>
        <v/>
      </c>
      <c r="X48" s="368">
        <f>W83*Q83</f>
        <v/>
      </c>
      <c r="Y48" s="366" t="n">
        <v>50</v>
      </c>
      <c r="Z48" s="366" t="n">
        <v>35</v>
      </c>
      <c r="AA48" s="365">
        <f>IF(Y83=Z83,"No","Yes")</f>
        <v/>
      </c>
      <c r="AB48" s="365" t="inlineStr">
        <is>
          <t>NW232WU1503</t>
        </is>
      </c>
      <c r="AC48" s="364" t="inlineStr">
        <is>
          <t>舒舒棉内裤3条装</t>
        </is>
      </c>
    </row>
    <row r="49" ht="18" customHeight="1" s="229">
      <c r="A49" s="590" t="inlineStr">
        <is>
          <t>UltraFlex Cotton Low Waist Briefs (2-Pack)</t>
        </is>
      </c>
      <c r="B49" s="591" t="inlineStr">
        <is>
          <t>Underwear</t>
        </is>
      </c>
      <c r="C49" s="592" t="inlineStr">
        <is>
          <t>REMOVE</t>
        </is>
      </c>
      <c r="D49" s="593" t="inlineStr">
        <is>
          <t>Below threshold — long tail</t>
        </is>
      </c>
      <c r="E49" s="593" t="inlineStr">
        <is>
          <t>3 — MEDIUM (selldown or markdown)</t>
        </is>
      </c>
      <c r="F49" s="594" t="inlineStr">
        <is>
          <t>Keep</t>
        </is>
      </c>
      <c r="G49" s="593" t="inlineStr">
        <is>
          <t>Keep, UltraFlex Collection is popular</t>
        </is>
      </c>
      <c r="H49" s="595" t="n">
        <v>2142.6</v>
      </c>
      <c r="I49" s="595" t="n">
        <v>2929</v>
      </c>
      <c r="J49" s="595" t="n">
        <v>-766.1</v>
      </c>
      <c r="K49" s="600" t="n">
        <v>0.262</v>
      </c>
      <c r="L49" s="597" t="n">
        <v>100</v>
      </c>
      <c r="M49" s="595" t="n">
        <v>21.43</v>
      </c>
      <c r="N49" s="598" t="n">
        <v>0.0012</v>
      </c>
      <c r="O49" s="598" t="n">
        <v>0.8639</v>
      </c>
      <c r="P49" s="594" t="n">
        <v>4</v>
      </c>
      <c r="Q49" s="595" t="n">
        <v>10</v>
      </c>
      <c r="R49" s="597" t="n">
        <v>95</v>
      </c>
      <c r="S49" s="597" t="n">
        <v>0</v>
      </c>
      <c r="T49" s="597" t="n">
        <v>133</v>
      </c>
      <c r="U49" s="597" t="n">
        <v>0</v>
      </c>
      <c r="V49" s="597">
        <f>S84+T84</f>
        <v/>
      </c>
      <c r="W49" s="597">
        <f>S84+T84+U84</f>
        <v/>
      </c>
      <c r="X49" s="597">
        <f>W84*Q84</f>
        <v/>
      </c>
      <c r="Y49" s="595" t="n">
        <v>29</v>
      </c>
      <c r="Z49" s="595" t="n">
        <v>29</v>
      </c>
      <c r="AA49" s="594">
        <f>IF(Y84=Z84,"No","Yes")</f>
        <v/>
      </c>
      <c r="AB49" s="594" t="inlineStr">
        <is>
          <t>NO251WU1511</t>
        </is>
      </c>
      <c r="AC49" s="593" t="inlineStr">
        <is>
          <t>好弹低腰细带内裤两条装</t>
        </is>
      </c>
    </row>
    <row r="50" ht="18" customHeight="1" s="229">
      <c r="A50" s="361" t="inlineStr">
        <is>
          <t>Pantie Pro High Waist Period Brief</t>
        </is>
      </c>
      <c r="B50" s="362" t="inlineStr">
        <is>
          <t>Underwear</t>
        </is>
      </c>
      <c r="C50" s="589" t="inlineStr">
        <is>
          <t>REMOVE</t>
        </is>
      </c>
      <c r="D50" s="364" t="inlineStr">
        <is>
          <t>Below threshold — long tail</t>
        </is>
      </c>
      <c r="E50" s="364" t="inlineStr">
        <is>
          <t>3 — MEDIUM (selldown or markdown)</t>
        </is>
      </c>
      <c r="F50" s="365" t="inlineStr">
        <is>
          <t>Remove</t>
        </is>
      </c>
      <c r="G50" s="364" t="n"/>
      <c r="H50" s="366" t="n">
        <v>2070.02</v>
      </c>
      <c r="I50" s="366" t="n">
        <v>2808</v>
      </c>
      <c r="J50" s="366" t="n">
        <v>-737.98</v>
      </c>
      <c r="K50" s="367" t="n">
        <v>0.263</v>
      </c>
      <c r="L50" s="368" t="n">
        <v>104</v>
      </c>
      <c r="M50" s="366" t="n">
        <v>19.9</v>
      </c>
      <c r="N50" s="369" t="n">
        <v>0.0011</v>
      </c>
      <c r="O50" s="369" t="n">
        <v>0.8697</v>
      </c>
      <c r="P50" s="365" t="n">
        <v>6</v>
      </c>
      <c r="Q50" s="366" t="n">
        <v>10</v>
      </c>
      <c r="R50" s="368" t="n">
        <v>78</v>
      </c>
      <c r="S50" s="368" t="n">
        <v>0</v>
      </c>
      <c r="T50" s="368" t="n">
        <v>19</v>
      </c>
      <c r="U50" s="368" t="n">
        <v>303</v>
      </c>
      <c r="V50" s="368">
        <f>S89+T89</f>
        <v/>
      </c>
      <c r="W50" s="368">
        <f>S89+T89+U89</f>
        <v/>
      </c>
      <c r="X50" s="368">
        <f>W89*Q89</f>
        <v/>
      </c>
      <c r="Y50" s="366" t="n">
        <v>45</v>
      </c>
      <c r="Z50" s="366" t="n">
        <v>27</v>
      </c>
      <c r="AA50" s="365">
        <f>IF(Y89=Z89,"No","Yes")</f>
        <v/>
      </c>
      <c r="AB50" s="365" t="inlineStr">
        <is>
          <t>N202WU2106</t>
        </is>
      </c>
      <c r="AC50" s="364" t="e">
        <v>#N/A</v>
      </c>
    </row>
    <row r="51" ht="18" customHeight="1" s="229">
      <c r="A51" s="590" t="inlineStr">
        <is>
          <t>Barely Zero Red Plaid Bra - Holiday Limited Edition</t>
        </is>
      </c>
      <c r="B51" s="591" t="inlineStr">
        <is>
          <t>Underwear</t>
        </is>
      </c>
      <c r="C51" s="592" t="inlineStr">
        <is>
          <t>REMOVE</t>
        </is>
      </c>
      <c r="D51" s="593" t="inlineStr">
        <is>
          <t>Below threshold — long tail</t>
        </is>
      </c>
      <c r="E51" s="593" t="inlineStr">
        <is>
          <t>3 — MEDIUM (selldown or markdown)</t>
        </is>
      </c>
      <c r="F51" s="594" t="inlineStr">
        <is>
          <t>Keep</t>
        </is>
      </c>
      <c r="G51" s="593" t="inlineStr">
        <is>
          <t>Keep, Seasonal Highlight</t>
        </is>
      </c>
      <c r="H51" s="595" t="n">
        <v>1971.02</v>
      </c>
      <c r="I51" s="595" t="n">
        <v>2401</v>
      </c>
      <c r="J51" s="595" t="n">
        <v>-429.98</v>
      </c>
      <c r="K51" s="596" t="n">
        <v>0.179</v>
      </c>
      <c r="L51" s="597" t="n">
        <v>49</v>
      </c>
      <c r="M51" s="595" t="n">
        <v>40.22</v>
      </c>
      <c r="N51" s="598" t="n">
        <v>0.0011</v>
      </c>
      <c r="O51" s="598" t="n">
        <v>0.873</v>
      </c>
      <c r="P51" s="594" t="n">
        <v>1</v>
      </c>
      <c r="Q51" s="595" t="n">
        <v>10</v>
      </c>
      <c r="R51" s="597" t="n">
        <v>41</v>
      </c>
      <c r="S51" s="597" t="n">
        <v>0</v>
      </c>
      <c r="T51" s="597" t="n">
        <v>727</v>
      </c>
      <c r="U51" s="597" t="n">
        <v>0</v>
      </c>
      <c r="V51" s="597">
        <f>S92+T92</f>
        <v/>
      </c>
      <c r="W51" s="597">
        <f>S92+T92+U92</f>
        <v/>
      </c>
      <c r="X51" s="597">
        <f>W92*Q92</f>
        <v/>
      </c>
      <c r="Y51" s="595" t="n">
        <v>49</v>
      </c>
      <c r="Z51" s="595" t="n">
        <v>49</v>
      </c>
      <c r="AA51" s="594">
        <f>IF(Y92=Z92,"No","Yes")</f>
        <v/>
      </c>
      <c r="AB51" s="594" t="inlineStr">
        <is>
          <t>NO261WU1121</t>
        </is>
      </c>
      <c r="AC51" s="593" t="inlineStr">
        <is>
          <t>云朵无尺码格纹文胸</t>
        </is>
      </c>
    </row>
    <row r="52" ht="18" customHeight="1" s="229">
      <c r="A52" s="361" t="inlineStr">
        <is>
          <t>Tempting Deep V Bra</t>
        </is>
      </c>
      <c r="B52" s="362" t="inlineStr">
        <is>
          <t>Underwear</t>
        </is>
      </c>
      <c r="C52" s="589" t="inlineStr">
        <is>
          <t>REMOVE</t>
        </is>
      </c>
      <c r="D52" s="364" t="inlineStr">
        <is>
          <t>Below threshold — long tail</t>
        </is>
      </c>
      <c r="E52" s="364" t="inlineStr">
        <is>
          <t>4 — LOW (natural sellthrough)</t>
        </is>
      </c>
      <c r="F52" s="365" t="inlineStr">
        <is>
          <t>Remove</t>
        </is>
      </c>
      <c r="G52" s="364" t="n"/>
      <c r="H52" s="366" t="n">
        <v>1889.39</v>
      </c>
      <c r="I52" s="366" t="n">
        <v>2435.4</v>
      </c>
      <c r="J52" s="366" t="n">
        <v>-546.01</v>
      </c>
      <c r="K52" s="380" t="n">
        <v>0.224</v>
      </c>
      <c r="L52" s="368" t="n">
        <v>41</v>
      </c>
      <c r="M52" s="366" t="n">
        <v>46.08</v>
      </c>
      <c r="N52" s="369" t="n">
        <v>0.001</v>
      </c>
      <c r="O52" s="369" t="n">
        <v>0.8761</v>
      </c>
      <c r="P52" s="365" t="n">
        <v>6</v>
      </c>
      <c r="Q52" s="366" t="n">
        <v>10</v>
      </c>
      <c r="R52" s="368" t="n">
        <v>41</v>
      </c>
      <c r="S52" s="368" t="n">
        <v>0</v>
      </c>
      <c r="T52" s="368" t="n">
        <v>8</v>
      </c>
      <c r="U52" s="368" t="n">
        <v>145</v>
      </c>
      <c r="V52" s="368">
        <f>S95+T95</f>
        <v/>
      </c>
      <c r="W52" s="368">
        <f>S95+T95+U95</f>
        <v/>
      </c>
      <c r="X52" s="368">
        <f>W95*Q95</f>
        <v/>
      </c>
      <c r="Y52" s="366" t="n">
        <v>99</v>
      </c>
      <c r="Z52" s="366" t="n">
        <v>59.4</v>
      </c>
      <c r="AA52" s="365">
        <f>IF(Y95=Z95,"No","Yes")</f>
        <v/>
      </c>
      <c r="AB52" s="365" t="inlineStr">
        <is>
          <t>NW221WU1127</t>
        </is>
      </c>
      <c r="AC52" s="364" t="inlineStr">
        <is>
          <t>深V文胸</t>
        </is>
      </c>
    </row>
    <row r="53" ht="18" customHeight="1" s="229">
      <c r="A53" s="590" t="inlineStr">
        <is>
          <t>Nude Shape Triangle Bra 2.0</t>
        </is>
      </c>
      <c r="B53" s="591" t="inlineStr">
        <is>
          <t>Underwear</t>
        </is>
      </c>
      <c r="C53" s="592" t="inlineStr">
        <is>
          <t>REMOVE</t>
        </is>
      </c>
      <c r="D53" s="593" t="inlineStr">
        <is>
          <t>Below threshold — long tail</t>
        </is>
      </c>
      <c r="E53" s="593" t="inlineStr">
        <is>
          <t>3 — MEDIUM (selldown or markdown)</t>
        </is>
      </c>
      <c r="F53" s="594" t="inlineStr">
        <is>
          <t>Keep</t>
        </is>
      </c>
      <c r="G53" s="593" t="inlineStr">
        <is>
          <t>Keep, strategic Non BZ bras</t>
        </is>
      </c>
      <c r="H53" s="595" t="n">
        <v>1840.4</v>
      </c>
      <c r="I53" s="595" t="n">
        <v>3285</v>
      </c>
      <c r="J53" s="595" t="n">
        <v>-758.85</v>
      </c>
      <c r="K53" s="596" t="n">
        <v>0.231</v>
      </c>
      <c r="L53" s="597" t="n">
        <v>52</v>
      </c>
      <c r="M53" s="595" t="n">
        <v>35.39</v>
      </c>
      <c r="N53" s="598" t="n">
        <v>0.001</v>
      </c>
      <c r="O53" s="598" t="n">
        <v>0.8811</v>
      </c>
      <c r="P53" s="594" t="n">
        <v>11</v>
      </c>
      <c r="Q53" s="595" t="n">
        <v>10</v>
      </c>
      <c r="R53" s="597" t="n">
        <v>71</v>
      </c>
      <c r="S53" s="597" t="n">
        <v>17</v>
      </c>
      <c r="T53" s="597" t="n">
        <v>25</v>
      </c>
      <c r="U53" s="597" t="n">
        <v>403</v>
      </c>
      <c r="V53" s="597">
        <f>S100+T100</f>
        <v/>
      </c>
      <c r="W53" s="597">
        <f>S100+T100+U100</f>
        <v/>
      </c>
      <c r="X53" s="597">
        <f>W100*Q100</f>
        <v/>
      </c>
      <c r="Y53" s="595" t="n">
        <v>45</v>
      </c>
      <c r="Z53" s="595" t="n">
        <v>45</v>
      </c>
      <c r="AA53" s="594">
        <f>IF(Y100=Z100,"No","Yes")</f>
        <v/>
      </c>
      <c r="AB53" s="594" t="inlineStr">
        <is>
          <t>NW232WU1107</t>
        </is>
      </c>
      <c r="AC53" s="593" t="inlineStr">
        <is>
          <t>软胶条三角杯模杯文胸</t>
        </is>
      </c>
    </row>
    <row r="54" ht="18" customHeight="1" s="229">
      <c r="A54" s="578" t="inlineStr">
        <is>
          <t>Essential Bandeau Bra 3.0</t>
        </is>
      </c>
      <c r="B54" s="579" t="inlineStr">
        <is>
          <t>Underwear</t>
        </is>
      </c>
      <c r="C54" s="587" t="inlineStr">
        <is>
          <t>KEEP — Tier 2</t>
        </is>
      </c>
      <c r="D54" s="581" t="inlineStr">
        <is>
          <t>Strategic non-BZ keeper</t>
        </is>
      </c>
      <c r="E54" s="581" t="n"/>
      <c r="F54" s="582" t="inlineStr">
        <is>
          <t>Keep</t>
        </is>
      </c>
      <c r="G54" s="581" t="inlineStr">
        <is>
          <t>Keep</t>
        </is>
      </c>
      <c r="H54" s="583" t="n">
        <v>1710.5</v>
      </c>
      <c r="I54" s="583" t="n">
        <v>3795</v>
      </c>
      <c r="J54" s="583" t="n">
        <v>-1015.87</v>
      </c>
      <c r="K54" s="584" t="n">
        <v>0.268</v>
      </c>
      <c r="L54" s="585" t="n">
        <v>42</v>
      </c>
      <c r="M54" s="583" t="n">
        <v>40.73</v>
      </c>
      <c r="N54" s="586" t="n">
        <v>0.0009</v>
      </c>
      <c r="O54" s="586" t="n">
        <v>0.8889</v>
      </c>
      <c r="P54" s="582" t="n">
        <v>4</v>
      </c>
      <c r="Q54" s="583" t="n">
        <v>10</v>
      </c>
      <c r="R54" s="585" t="n">
        <v>65</v>
      </c>
      <c r="S54" s="585" t="n">
        <v>5</v>
      </c>
      <c r="T54" s="585" t="n">
        <v>0</v>
      </c>
      <c r="U54" s="585" t="n">
        <v>329</v>
      </c>
      <c r="V54" s="585">
        <f>S108+T108</f>
        <v/>
      </c>
      <c r="W54" s="585">
        <f>S108+T108+U108</f>
        <v/>
      </c>
      <c r="X54" s="585">
        <f>W108*Q108</f>
        <v/>
      </c>
      <c r="Y54" s="583" t="n">
        <v>55</v>
      </c>
      <c r="Z54" s="583" t="n">
        <v>55</v>
      </c>
      <c r="AA54" s="582">
        <f>IF(Y108=Z108,"No","Yes")</f>
        <v/>
      </c>
      <c r="AB54" s="582" t="inlineStr">
        <is>
          <t>NW241WU1120</t>
        </is>
      </c>
      <c r="AC54" s="581" t="inlineStr">
        <is>
          <t>网纱拼接抹胸</t>
        </is>
      </c>
    </row>
    <row r="55" ht="18" customHeight="1" s="229">
      <c r="A55" s="569" t="inlineStr">
        <is>
          <t>Pure Comfort Soft Modal Triangle Bra 2.0</t>
        </is>
      </c>
      <c r="B55" s="570" t="inlineStr">
        <is>
          <t>Underwear</t>
        </is>
      </c>
      <c r="C55" s="588" t="inlineStr">
        <is>
          <t>KEEP — Tier 2</t>
        </is>
      </c>
      <c r="D55" s="572" t="inlineStr">
        <is>
          <t>Strategic non-BZ keeper</t>
        </is>
      </c>
      <c r="E55" s="572" t="n"/>
      <c r="F55" s="573" t="inlineStr">
        <is>
          <t>Keep</t>
        </is>
      </c>
      <c r="G55" s="572" t="inlineStr">
        <is>
          <t>Keep</t>
        </is>
      </c>
      <c r="H55" s="574" t="n">
        <v>1634.37</v>
      </c>
      <c r="I55" s="574" t="n">
        <v>2485.2</v>
      </c>
      <c r="J55" s="574" t="n">
        <v>-562.03</v>
      </c>
      <c r="K55" s="601" t="n">
        <v>0.226</v>
      </c>
      <c r="L55" s="576" t="n">
        <v>56</v>
      </c>
      <c r="M55" s="574" t="n">
        <v>29.19</v>
      </c>
      <c r="N55" s="577" t="n">
        <v>0.0009</v>
      </c>
      <c r="O55" s="577" t="n">
        <v>0.8934000000000001</v>
      </c>
      <c r="P55" s="573" t="n">
        <v>13</v>
      </c>
      <c r="Q55" s="574" t="n">
        <v>10</v>
      </c>
      <c r="R55" s="576" t="n">
        <v>61</v>
      </c>
      <c r="S55" s="576" t="n">
        <v>8</v>
      </c>
      <c r="T55" s="576" t="n">
        <v>38</v>
      </c>
      <c r="U55" s="576" t="n">
        <v>1198</v>
      </c>
      <c r="V55" s="576">
        <f>S113+T113</f>
        <v/>
      </c>
      <c r="W55" s="576">
        <f>S113+T113+U113</f>
        <v/>
      </c>
      <c r="X55" s="576">
        <f>W113*Q113</f>
        <v/>
      </c>
      <c r="Y55" s="574" t="n">
        <v>38</v>
      </c>
      <c r="Z55" s="574" t="n">
        <v>38</v>
      </c>
      <c r="AA55" s="573">
        <f>IF(Y113=Z113,"No","Yes")</f>
        <v/>
      </c>
      <c r="AB55" s="573" t="inlineStr">
        <is>
          <t>NW221WU1175</t>
        </is>
      </c>
      <c r="AC55" s="572" t="inlineStr">
        <is>
          <t>零敏玲珑文胸</t>
        </is>
      </c>
    </row>
    <row r="56" ht="18" customHeight="1" s="229">
      <c r="A56" s="361" t="inlineStr">
        <is>
          <t>Belle Lace Triangle Bra</t>
        </is>
      </c>
      <c r="B56" s="362" t="inlineStr">
        <is>
          <t>Underwear</t>
        </is>
      </c>
      <c r="C56" s="589" t="inlineStr">
        <is>
          <t>REMOVE</t>
        </is>
      </c>
      <c r="D56" s="364" t="inlineStr">
        <is>
          <t>Below threshold — long tail</t>
        </is>
      </c>
      <c r="E56" s="364" t="inlineStr">
        <is>
          <t>4 — LOW (natural sellthrough)</t>
        </is>
      </c>
      <c r="F56" s="365" t="inlineStr">
        <is>
          <t>Remove</t>
        </is>
      </c>
      <c r="G56" s="364" t="n"/>
      <c r="H56" s="366" t="n">
        <v>1585.86</v>
      </c>
      <c r="I56" s="366" t="n">
        <v>2212</v>
      </c>
      <c r="J56" s="366" t="n">
        <v>-570.84</v>
      </c>
      <c r="K56" s="367" t="n">
        <v>0.258</v>
      </c>
      <c r="L56" s="368" t="n">
        <v>39</v>
      </c>
      <c r="M56" s="366" t="n">
        <v>40.66</v>
      </c>
      <c r="N56" s="369" t="n">
        <v>0.0009</v>
      </c>
      <c r="O56" s="369" t="n">
        <v>0.8952</v>
      </c>
      <c r="P56" s="365" t="n">
        <v>3</v>
      </c>
      <c r="Q56" s="366" t="n">
        <v>10</v>
      </c>
      <c r="R56" s="368" t="n">
        <v>35</v>
      </c>
      <c r="S56" s="368" t="n">
        <v>5</v>
      </c>
      <c r="T56" s="368" t="n">
        <v>3</v>
      </c>
      <c r="U56" s="368" t="n">
        <v>47</v>
      </c>
      <c r="V56" s="368">
        <f>S115+T115</f>
        <v/>
      </c>
      <c r="W56" s="368">
        <f>S115+T115+U115</f>
        <v/>
      </c>
      <c r="X56" s="368">
        <f>W115*Q115</f>
        <v/>
      </c>
      <c r="Y56" s="366" t="n">
        <v>79</v>
      </c>
      <c r="Z56" s="366" t="n">
        <v>55.3</v>
      </c>
      <c r="AA56" s="365">
        <f>IF(Y115=Z115,"No","Yes")</f>
        <v/>
      </c>
      <c r="AB56" s="365" t="inlineStr">
        <is>
          <t>NW221WU1185</t>
        </is>
      </c>
      <c r="AC56" s="364" t="inlineStr">
        <is>
          <t>蕾丝三角杯模杯文胸</t>
        </is>
      </c>
    </row>
    <row r="57" ht="18" customHeight="1" s="229">
      <c r="A57" s="590" t="inlineStr">
        <is>
          <t>Pure Comfort Ribbed Triangle Bra</t>
        </is>
      </c>
      <c r="B57" s="591" t="inlineStr">
        <is>
          <t>Underwear</t>
        </is>
      </c>
      <c r="C57" s="592" t="inlineStr">
        <is>
          <t>REMOVE</t>
        </is>
      </c>
      <c r="D57" s="593" t="inlineStr">
        <is>
          <t>Below threshold — long tail</t>
        </is>
      </c>
      <c r="E57" s="593" t="inlineStr">
        <is>
          <t>3 — MEDIUM (selldown or markdown)</t>
        </is>
      </c>
      <c r="F57" s="594" t="inlineStr">
        <is>
          <t>Remove</t>
        </is>
      </c>
      <c r="G57" s="593" t="n"/>
      <c r="H57" s="595" t="n">
        <v>1584.21</v>
      </c>
      <c r="I57" s="595" t="n">
        <v>2379</v>
      </c>
      <c r="J57" s="595" t="n">
        <v>-533.49</v>
      </c>
      <c r="K57" s="596" t="n">
        <v>0.224</v>
      </c>
      <c r="L57" s="597" t="n">
        <v>52</v>
      </c>
      <c r="M57" s="595" t="n">
        <v>30.47</v>
      </c>
      <c r="N57" s="598" t="n">
        <v>0.0009</v>
      </c>
      <c r="O57" s="598" t="n">
        <v>0.8961</v>
      </c>
      <c r="P57" s="594" t="n">
        <v>9</v>
      </c>
      <c r="Q57" s="595" t="n">
        <v>10</v>
      </c>
      <c r="R57" s="597" t="n">
        <v>60</v>
      </c>
      <c r="S57" s="597" t="n">
        <v>0</v>
      </c>
      <c r="T57" s="597" t="n">
        <v>35</v>
      </c>
      <c r="U57" s="597" t="n">
        <v>282</v>
      </c>
      <c r="V57" s="597">
        <f>S116+T116</f>
        <v/>
      </c>
      <c r="W57" s="597">
        <f>S116+T116+U116</f>
        <v/>
      </c>
      <c r="X57" s="597">
        <f>W116*Q116</f>
        <v/>
      </c>
      <c r="Y57" s="595" t="n">
        <v>39</v>
      </c>
      <c r="Z57" s="595" t="n">
        <v>39</v>
      </c>
      <c r="AA57" s="594">
        <f>IF(Y116=Z116,"No","Yes")</f>
        <v/>
      </c>
      <c r="AB57" s="594" t="inlineStr">
        <is>
          <t>NW231WU1103</t>
        </is>
      </c>
      <c r="AC57" s="593" t="inlineStr">
        <is>
          <t>交叉三角杯文胸</t>
        </is>
      </c>
    </row>
    <row r="58" ht="18" customHeight="1" s="229">
      <c r="A58" s="361" t="inlineStr">
        <is>
          <t>Pure Comfort Ribbed Low Waist Brief</t>
        </is>
      </c>
      <c r="B58" s="362" t="inlineStr">
        <is>
          <t>Underwear</t>
        </is>
      </c>
      <c r="C58" s="589" t="inlineStr">
        <is>
          <t>REMOVE</t>
        </is>
      </c>
      <c r="D58" s="364" t="inlineStr">
        <is>
          <t>Below threshold — long tail</t>
        </is>
      </c>
      <c r="E58" s="364" t="inlineStr">
        <is>
          <t>3 — MEDIUM (selldown or markdown)</t>
        </is>
      </c>
      <c r="F58" s="365" t="inlineStr">
        <is>
          <t>Remove</t>
        </is>
      </c>
      <c r="G58" s="364" t="n"/>
      <c r="H58" s="366" t="n">
        <v>1572.25</v>
      </c>
      <c r="I58" s="366" t="n">
        <v>1991.2</v>
      </c>
      <c r="J58" s="366" t="n">
        <v>-418.95</v>
      </c>
      <c r="K58" s="380" t="n">
        <v>0.21</v>
      </c>
      <c r="L58" s="368" t="n">
        <v>127</v>
      </c>
      <c r="M58" s="366" t="n">
        <v>12.38</v>
      </c>
      <c r="N58" s="369" t="n">
        <v>0.0009</v>
      </c>
      <c r="O58" s="369" t="n">
        <v>0.8979</v>
      </c>
      <c r="P58" s="365" t="n">
        <v>11</v>
      </c>
      <c r="Q58" s="366" t="n">
        <v>10</v>
      </c>
      <c r="R58" s="368" t="n">
        <v>104</v>
      </c>
      <c r="S58" s="368" t="n">
        <v>0</v>
      </c>
      <c r="T58" s="368" t="n">
        <v>65</v>
      </c>
      <c r="U58" s="368" t="n">
        <v>1214</v>
      </c>
      <c r="V58" s="368">
        <f>S118+T118</f>
        <v/>
      </c>
      <c r="W58" s="368">
        <f>S118+T118+U118</f>
        <v/>
      </c>
      <c r="X58" s="368">
        <f>W118*Q118</f>
        <v/>
      </c>
      <c r="Y58" s="366" t="n">
        <v>19</v>
      </c>
      <c r="Z58" s="366" t="n">
        <v>13.3</v>
      </c>
      <c r="AA58" s="365">
        <f>IF(Y118=Z118,"No","Yes")</f>
        <v/>
      </c>
      <c r="AB58" s="365" t="inlineStr">
        <is>
          <t>NW231WU1303</t>
        </is>
      </c>
      <c r="AC58" s="364" t="inlineStr">
        <is>
          <t>低腰交叉内裤</t>
        </is>
      </c>
    </row>
    <row r="59" ht="18" customHeight="1" s="229">
      <c r="A59" s="590" t="inlineStr">
        <is>
          <t>Nude Shape Mid Waist Brief</t>
        </is>
      </c>
      <c r="B59" s="591" t="inlineStr">
        <is>
          <t>Underwear</t>
        </is>
      </c>
      <c r="C59" s="592" t="inlineStr">
        <is>
          <t>REMOVE</t>
        </is>
      </c>
      <c r="D59" s="593" t="inlineStr">
        <is>
          <t>Below threshold — long tail</t>
        </is>
      </c>
      <c r="E59" s="593" t="inlineStr">
        <is>
          <t>3 — MEDIUM (selldown or markdown)</t>
        </is>
      </c>
      <c r="F59" s="594" t="inlineStr">
        <is>
          <t>Remove</t>
        </is>
      </c>
      <c r="G59" s="593" t="n"/>
      <c r="H59" s="595" t="n">
        <v>1491.58</v>
      </c>
      <c r="I59" s="595" t="n">
        <v>1935.5</v>
      </c>
      <c r="J59" s="595" t="n">
        <v>-443.92</v>
      </c>
      <c r="K59" s="596" t="n">
        <v>0.229</v>
      </c>
      <c r="L59" s="597" t="n">
        <v>79</v>
      </c>
      <c r="M59" s="595" t="n">
        <v>18.88</v>
      </c>
      <c r="N59" s="598" t="n">
        <v>0.0008</v>
      </c>
      <c r="O59" s="598" t="n">
        <v>0.9076000000000001</v>
      </c>
      <c r="P59" s="594" t="n">
        <v>5</v>
      </c>
      <c r="Q59" s="595" t="n">
        <v>10</v>
      </c>
      <c r="R59" s="597" t="n">
        <v>66</v>
      </c>
      <c r="S59" s="597" t="n">
        <v>0</v>
      </c>
      <c r="T59" s="597" t="n">
        <v>35</v>
      </c>
      <c r="U59" s="597" t="n">
        <v>357</v>
      </c>
      <c r="V59" s="597">
        <f>S130+T130</f>
        <v/>
      </c>
      <c r="W59" s="597">
        <f>S130+T130+U130</f>
        <v/>
      </c>
      <c r="X59" s="597">
        <f>W130*Q130</f>
        <v/>
      </c>
      <c r="Y59" s="595" t="n">
        <v>49</v>
      </c>
      <c r="Z59" s="595" t="n">
        <v>24.5</v>
      </c>
      <c r="AA59" s="594">
        <f>IF(Y130=Z130,"No","Yes")</f>
        <v/>
      </c>
      <c r="AB59" s="594" t="inlineStr">
        <is>
          <t>N212WU2111</t>
        </is>
      </c>
      <c r="AC59" s="593" t="inlineStr">
        <is>
          <t>中腰裤</t>
        </is>
      </c>
    </row>
    <row r="60" ht="18" customHeight="1" s="229">
      <c r="A60" s="361" t="inlineStr">
        <is>
          <t>UltraFlex Cotton Mid Waist Briefs (3-Pack)</t>
        </is>
      </c>
      <c r="B60" s="362" t="inlineStr">
        <is>
          <t>Underwear</t>
        </is>
      </c>
      <c r="C60" s="589" t="inlineStr">
        <is>
          <t>REMOVE</t>
        </is>
      </c>
      <c r="D60" s="364" t="inlineStr">
        <is>
          <t>Below threshold — long tail</t>
        </is>
      </c>
      <c r="E60" s="364" t="inlineStr">
        <is>
          <t>4 — LOW (natural sellthrough)</t>
        </is>
      </c>
      <c r="F60" s="365" t="inlineStr">
        <is>
          <t>Remove</t>
        </is>
      </c>
      <c r="G60" s="364" t="inlineStr">
        <is>
          <t>OOS</t>
        </is>
      </c>
      <c r="H60" s="366" t="n">
        <v>1361.7</v>
      </c>
      <c r="I60" s="366" t="n">
        <v>1521</v>
      </c>
      <c r="J60" s="366" t="n">
        <v>-120.3</v>
      </c>
      <c r="K60" s="380" t="n">
        <v>0.079</v>
      </c>
      <c r="L60" s="368" t="n">
        <v>38</v>
      </c>
      <c r="M60" s="366" t="n">
        <v>35.83</v>
      </c>
      <c r="N60" s="369" t="n">
        <v>0.0007000000000000001</v>
      </c>
      <c r="O60" s="369" t="n">
        <v>0.9123</v>
      </c>
      <c r="P60" s="365" t="n">
        <v>2</v>
      </c>
      <c r="Q60" s="366" t="n">
        <v>10</v>
      </c>
      <c r="R60" s="368" t="n">
        <v>35</v>
      </c>
      <c r="S60" s="368" t="n">
        <v>0</v>
      </c>
      <c r="T60" s="368" t="n">
        <v>0</v>
      </c>
      <c r="U60" s="368" t="n">
        <v>0</v>
      </c>
      <c r="V60" s="368">
        <f>S136+T136</f>
        <v/>
      </c>
      <c r="W60" s="368">
        <f>S136+T136+U136</f>
        <v/>
      </c>
      <c r="X60" s="368">
        <f>W136*Q136</f>
        <v/>
      </c>
      <c r="Y60" s="366" t="n">
        <v>39</v>
      </c>
      <c r="Z60" s="366" t="n">
        <v>39</v>
      </c>
      <c r="AA60" s="365">
        <f>IF(Y136=Z136,"No","Yes")</f>
        <v/>
      </c>
      <c r="AB60" s="365" t="e">
        <v>#N/A</v>
      </c>
      <c r="AC60" s="364" t="e">
        <v>#N/A</v>
      </c>
    </row>
    <row r="61" ht="18" customHeight="1" s="229">
      <c r="A61" s="590" t="inlineStr">
        <is>
          <t>Self Silk Satin Triangle Bra</t>
        </is>
      </c>
      <c r="B61" s="591" t="inlineStr">
        <is>
          <t>Underwear</t>
        </is>
      </c>
      <c r="C61" s="592" t="inlineStr">
        <is>
          <t>REMOVE</t>
        </is>
      </c>
      <c r="D61" s="593" t="inlineStr">
        <is>
          <t>Below threshold — long tail</t>
        </is>
      </c>
      <c r="E61" s="593" t="inlineStr">
        <is>
          <t>3 — MEDIUM (selldown or markdown)</t>
        </is>
      </c>
      <c r="F61" s="594" t="inlineStr">
        <is>
          <t>Remove</t>
        </is>
      </c>
      <c r="G61" s="593" t="n"/>
      <c r="H61" s="595" t="n">
        <v>1272.7</v>
      </c>
      <c r="I61" s="595" t="n">
        <v>1869</v>
      </c>
      <c r="J61" s="595" t="n">
        <v>-307.05</v>
      </c>
      <c r="K61" s="596" t="n">
        <v>0.164</v>
      </c>
      <c r="L61" s="597" t="n">
        <v>17</v>
      </c>
      <c r="M61" s="595" t="n">
        <v>74.86</v>
      </c>
      <c r="N61" s="598" t="n">
        <v>0.0007000000000000001</v>
      </c>
      <c r="O61" s="598" t="n">
        <v>0.9179</v>
      </c>
      <c r="P61" s="594" t="n">
        <v>16</v>
      </c>
      <c r="Q61" s="595" t="n">
        <v>10</v>
      </c>
      <c r="R61" s="597" t="n">
        <v>20</v>
      </c>
      <c r="S61" s="597" t="n">
        <v>0</v>
      </c>
      <c r="T61" s="597" t="n">
        <v>220</v>
      </c>
      <c r="U61" s="597" t="n">
        <v>0</v>
      </c>
      <c r="V61" s="597">
        <f>S144+T144</f>
        <v/>
      </c>
      <c r="W61" s="597">
        <f>S144+T144+U144</f>
        <v/>
      </c>
      <c r="X61" s="597">
        <f>W144*Q144</f>
        <v/>
      </c>
      <c r="Y61" s="595" t="n">
        <v>89</v>
      </c>
      <c r="Z61" s="595" t="n">
        <v>89</v>
      </c>
      <c r="AA61" s="594">
        <f>IF(Y144=Z144,"No","Yes")</f>
        <v/>
      </c>
      <c r="AB61" s="594" t="inlineStr">
        <is>
          <t>NW242WU1116</t>
        </is>
      </c>
      <c r="AC61" s="593" t="inlineStr">
        <is>
          <t>真丝提花三角杯文胸</t>
        </is>
      </c>
    </row>
    <row r="62" ht="18" customHeight="1" s="229">
      <c r="A62" s="361" t="inlineStr">
        <is>
          <t>Pure Comfort Mid Waist Cheeky Brief</t>
        </is>
      </c>
      <c r="B62" s="362" t="inlineStr">
        <is>
          <t>Underwear</t>
        </is>
      </c>
      <c r="C62" s="589" t="inlineStr">
        <is>
          <t>REMOVE</t>
        </is>
      </c>
      <c r="D62" s="364" t="inlineStr">
        <is>
          <t>Below threshold — long tail</t>
        </is>
      </c>
      <c r="E62" s="364" t="inlineStr">
        <is>
          <t>3 — MEDIUM (selldown or markdown)</t>
        </is>
      </c>
      <c r="F62" s="365" t="inlineStr">
        <is>
          <t>Remove</t>
        </is>
      </c>
      <c r="G62" s="364" t="n"/>
      <c r="H62" s="366" t="n">
        <v>1257.78</v>
      </c>
      <c r="I62" s="366" t="n">
        <v>1596</v>
      </c>
      <c r="J62" s="366" t="n">
        <v>-338.22</v>
      </c>
      <c r="K62" s="380" t="n">
        <v>0.212</v>
      </c>
      <c r="L62" s="368" t="n">
        <v>84</v>
      </c>
      <c r="M62" s="366" t="n">
        <v>14.97</v>
      </c>
      <c r="N62" s="369" t="n">
        <v>0.0007000000000000001</v>
      </c>
      <c r="O62" s="369" t="n">
        <v>0.9193000000000001</v>
      </c>
      <c r="P62" s="365" t="n">
        <v>10</v>
      </c>
      <c r="Q62" s="366" t="n">
        <v>10</v>
      </c>
      <c r="R62" s="368" t="n">
        <v>67</v>
      </c>
      <c r="S62" s="368" t="n">
        <v>0</v>
      </c>
      <c r="T62" s="368" t="n">
        <v>55</v>
      </c>
      <c r="U62" s="368" t="n">
        <v>817</v>
      </c>
      <c r="V62" s="368">
        <f>S146+T146</f>
        <v/>
      </c>
      <c r="W62" s="368">
        <f>S146+T146+U146</f>
        <v/>
      </c>
      <c r="X62" s="368">
        <f>W146*Q146</f>
        <v/>
      </c>
      <c r="Y62" s="366" t="n">
        <v>19</v>
      </c>
      <c r="Z62" s="366" t="n">
        <v>19</v>
      </c>
      <c r="AA62" s="365">
        <f>IF(Y146=Z146,"No","Yes")</f>
        <v/>
      </c>
      <c r="AB62" s="365" t="inlineStr">
        <is>
          <t>NW222WU1303</t>
        </is>
      </c>
      <c r="AC62" s="364" t="inlineStr">
        <is>
          <t>0碳天丝莫代尔环保内裤</t>
        </is>
      </c>
    </row>
    <row r="63" ht="18" customHeight="1" s="229">
      <c r="A63" s="590" t="inlineStr">
        <is>
          <t>Cotton Cozy Bra</t>
        </is>
      </c>
      <c r="B63" s="591" t="inlineStr">
        <is>
          <t>Underwear</t>
        </is>
      </c>
      <c r="C63" s="592" t="inlineStr">
        <is>
          <t>REMOVE</t>
        </is>
      </c>
      <c r="D63" s="593" t="inlineStr">
        <is>
          <t>Below threshold — long tail</t>
        </is>
      </c>
      <c r="E63" s="593" t="inlineStr">
        <is>
          <t>3 — MEDIUM (selldown or markdown)</t>
        </is>
      </c>
      <c r="F63" s="594" t="inlineStr">
        <is>
          <t>Remove</t>
        </is>
      </c>
      <c r="G63" s="593" t="n"/>
      <c r="H63" s="595" t="n">
        <v>1256.83</v>
      </c>
      <c r="I63" s="595" t="n">
        <v>1622.5</v>
      </c>
      <c r="J63" s="595" t="n">
        <v>-365.67</v>
      </c>
      <c r="K63" s="596" t="n">
        <v>0.225</v>
      </c>
      <c r="L63" s="597" t="n">
        <v>37</v>
      </c>
      <c r="M63" s="595" t="n">
        <v>33.97</v>
      </c>
      <c r="N63" s="598" t="n">
        <v>0.0007000000000000001</v>
      </c>
      <c r="O63" s="598" t="n">
        <v>0.92</v>
      </c>
      <c r="P63" s="594" t="n">
        <v>13</v>
      </c>
      <c r="Q63" s="595" t="n">
        <v>10</v>
      </c>
      <c r="R63" s="597" t="n">
        <v>37</v>
      </c>
      <c r="S63" s="597" t="n">
        <v>8</v>
      </c>
      <c r="T63" s="597" t="n">
        <v>47</v>
      </c>
      <c r="U63" s="597" t="n">
        <v>213</v>
      </c>
      <c r="V63" s="597">
        <f>S147+T147</f>
        <v/>
      </c>
      <c r="W63" s="597">
        <f>S147+T147+U147</f>
        <v/>
      </c>
      <c r="X63" s="597">
        <f>W147*Q147</f>
        <v/>
      </c>
      <c r="Y63" s="595" t="n">
        <v>55</v>
      </c>
      <c r="Z63" s="595" t="n">
        <v>38.5</v>
      </c>
      <c r="AA63" s="594">
        <f>IF(Y147=Z147,"No","Yes")</f>
        <v/>
      </c>
      <c r="AB63" s="594" t="inlineStr">
        <is>
          <t>NW232WU1122</t>
        </is>
      </c>
      <c r="AC63" s="593" t="inlineStr">
        <is>
          <t>舒舒棉logo织带3/4杯文胸</t>
        </is>
      </c>
    </row>
    <row r="64" ht="18" customHeight="1" s="229">
      <c r="A64" s="361" t="inlineStr">
        <is>
          <t>Nude Shape High Waist Brief 2.0</t>
        </is>
      </c>
      <c r="B64" s="362" t="inlineStr">
        <is>
          <t>Underwear</t>
        </is>
      </c>
      <c r="C64" s="589" t="inlineStr">
        <is>
          <t>REMOVE</t>
        </is>
      </c>
      <c r="D64" s="364" t="inlineStr">
        <is>
          <t>Below threshold — long tail</t>
        </is>
      </c>
      <c r="E64" s="364" t="inlineStr">
        <is>
          <t>4 — LOW (natural sellthrough)</t>
        </is>
      </c>
      <c r="F64" s="365" t="inlineStr">
        <is>
          <t>Remove</t>
        </is>
      </c>
      <c r="G64" s="364" t="n"/>
      <c r="H64" s="366" t="n">
        <v>1147.04</v>
      </c>
      <c r="I64" s="366" t="n">
        <v>1560</v>
      </c>
      <c r="J64" s="366" t="n">
        <v>-412.96</v>
      </c>
      <c r="K64" s="367" t="n">
        <v>0.265</v>
      </c>
      <c r="L64" s="368" t="n">
        <v>24</v>
      </c>
      <c r="M64" s="366" t="n">
        <v>47.79</v>
      </c>
      <c r="N64" s="369" t="n">
        <v>0.0005999999999999999</v>
      </c>
      <c r="O64" s="369" t="n">
        <v>0.9272</v>
      </c>
      <c r="P64" s="365" t="n">
        <v>8</v>
      </c>
      <c r="Q64" s="366" t="n">
        <v>10</v>
      </c>
      <c r="R64" s="368" t="n">
        <v>23</v>
      </c>
      <c r="S64" s="368" t="n">
        <v>0</v>
      </c>
      <c r="T64" s="368" t="n">
        <v>17</v>
      </c>
      <c r="U64" s="368" t="n">
        <v>227</v>
      </c>
      <c r="V64" s="368">
        <f>S158+T158</f>
        <v/>
      </c>
      <c r="W64" s="368">
        <f>S158+T158+U158</f>
        <v/>
      </c>
      <c r="X64" s="368">
        <f>W158*Q158</f>
        <v/>
      </c>
      <c r="Y64" s="366" t="n">
        <v>65</v>
      </c>
      <c r="Z64" s="366" t="n">
        <v>65</v>
      </c>
      <c r="AA64" s="365">
        <f>IF(Y158=Z158,"No","Yes")</f>
        <v/>
      </c>
      <c r="AB64" s="365" t="inlineStr">
        <is>
          <t>NW232WU1302</t>
        </is>
      </c>
      <c r="AC64" s="364" t="inlineStr">
        <is>
          <t>网纱肌理镂空高腰塑身裤</t>
        </is>
      </c>
    </row>
    <row r="65" ht="18" customHeight="1" s="229">
      <c r="A65" s="590" t="inlineStr">
        <is>
          <t>Second Skin Mid Waist Brief</t>
        </is>
      </c>
      <c r="B65" s="591" t="inlineStr">
        <is>
          <t>Underwear</t>
        </is>
      </c>
      <c r="C65" s="592" t="inlineStr">
        <is>
          <t>REMOVE</t>
        </is>
      </c>
      <c r="D65" s="593" t="inlineStr">
        <is>
          <t>Below threshold — long tail</t>
        </is>
      </c>
      <c r="E65" s="593" t="inlineStr">
        <is>
          <t>4 — LOW (natural sellthrough)</t>
        </is>
      </c>
      <c r="F65" s="594" t="inlineStr">
        <is>
          <t>Remove</t>
        </is>
      </c>
      <c r="G65" s="593" t="n"/>
      <c r="H65" s="595" t="n">
        <v>1144.88</v>
      </c>
      <c r="I65" s="595" t="n">
        <v>1592.5</v>
      </c>
      <c r="J65" s="595" t="n">
        <v>-417.87</v>
      </c>
      <c r="K65" s="600" t="n">
        <v>0.262</v>
      </c>
      <c r="L65" s="597" t="n">
        <v>89</v>
      </c>
      <c r="M65" s="595" t="n">
        <v>12.86</v>
      </c>
      <c r="N65" s="598" t="n">
        <v>0.0005999999999999999</v>
      </c>
      <c r="O65" s="598" t="n">
        <v>0.9278</v>
      </c>
      <c r="P65" s="594" t="n">
        <v>4</v>
      </c>
      <c r="Q65" s="595" t="n">
        <v>10</v>
      </c>
      <c r="R65" s="597" t="n">
        <v>75</v>
      </c>
      <c r="S65" s="597" t="n">
        <v>0</v>
      </c>
      <c r="T65" s="597" t="n">
        <v>0</v>
      </c>
      <c r="U65" s="597" t="n">
        <v>63</v>
      </c>
      <c r="V65" s="597">
        <f>S159+T159</f>
        <v/>
      </c>
      <c r="W65" s="597">
        <f>S159+T159+U159</f>
        <v/>
      </c>
      <c r="X65" s="597">
        <f>W159*Q159</f>
        <v/>
      </c>
      <c r="Y65" s="595" t="n">
        <v>25</v>
      </c>
      <c r="Z65" s="595" t="n">
        <v>17.5</v>
      </c>
      <c r="AA65" s="594">
        <f>IF(Y159=Z159,"No","Yes")</f>
        <v/>
      </c>
      <c r="AB65" s="594" t="inlineStr">
        <is>
          <t>NW222WU1306</t>
        </is>
      </c>
      <c r="AC65" s="593" t="inlineStr">
        <is>
          <t>SecondSkin轻薄中腰内裤</t>
        </is>
      </c>
    </row>
    <row r="66" ht="18" customHeight="1" s="229">
      <c r="A66" s="361" t="inlineStr">
        <is>
          <t>Pure Comfort Mid Waist Brief</t>
        </is>
      </c>
      <c r="B66" s="362" t="inlineStr">
        <is>
          <t>Underwear</t>
        </is>
      </c>
      <c r="C66" s="589" t="inlineStr">
        <is>
          <t>REMOVE</t>
        </is>
      </c>
      <c r="D66" s="364" t="inlineStr">
        <is>
          <t>Below threshold — long tail</t>
        </is>
      </c>
      <c r="E66" s="364" t="inlineStr">
        <is>
          <t>3 — MEDIUM (selldown or markdown)</t>
        </is>
      </c>
      <c r="F66" s="365" t="inlineStr">
        <is>
          <t>Remove</t>
        </is>
      </c>
      <c r="G66" s="364" t="n"/>
      <c r="H66" s="366" t="n">
        <v>1110.9</v>
      </c>
      <c r="I66" s="366" t="n">
        <v>1440</v>
      </c>
      <c r="J66" s="366" t="n">
        <v>-312.3</v>
      </c>
      <c r="K66" s="380" t="n">
        <v>0.217</v>
      </c>
      <c r="L66" s="368" t="n">
        <v>118</v>
      </c>
      <c r="M66" s="366" t="n">
        <v>9.41</v>
      </c>
      <c r="N66" s="369" t="n">
        <v>0.0005999999999999999</v>
      </c>
      <c r="O66" s="369" t="n">
        <v>0.9296</v>
      </c>
      <c r="P66" s="365" t="n">
        <v>5</v>
      </c>
      <c r="Q66" s="366" t="n">
        <v>10</v>
      </c>
      <c r="R66" s="368" t="n">
        <v>92</v>
      </c>
      <c r="S66" s="368" t="n">
        <v>0</v>
      </c>
      <c r="T66" s="368" t="n">
        <v>45</v>
      </c>
      <c r="U66" s="368" t="n">
        <v>310</v>
      </c>
      <c r="V66" s="368">
        <f>S162+T162</f>
        <v/>
      </c>
      <c r="W66" s="368">
        <f>S162+T162+U162</f>
        <v/>
      </c>
      <c r="X66" s="368">
        <f>W162*Q162</f>
        <v/>
      </c>
      <c r="Y66" s="366" t="n">
        <v>12</v>
      </c>
      <c r="Z66" s="366" t="n">
        <v>12</v>
      </c>
      <c r="AA66" s="365">
        <f>IF(Y162=Z162,"No","Yes")</f>
        <v/>
      </c>
      <c r="AB66" s="365" t="inlineStr">
        <is>
          <t>NW221WU1325</t>
        </is>
      </c>
      <c r="AC66" s="364" t="inlineStr">
        <is>
          <t>零敏中腰内裤</t>
        </is>
      </c>
    </row>
    <row r="67" ht="18" customHeight="1" s="229">
      <c r="A67" s="590" t="inlineStr">
        <is>
          <t>Pliss√© Deep V Bra</t>
        </is>
      </c>
      <c r="B67" s="591" t="inlineStr">
        <is>
          <t>Underwear</t>
        </is>
      </c>
      <c r="C67" s="592" t="inlineStr">
        <is>
          <t>REMOVE</t>
        </is>
      </c>
      <c r="D67" s="593" t="inlineStr">
        <is>
          <t>Below threshold — long tail</t>
        </is>
      </c>
      <c r="E67" s="593" t="inlineStr">
        <is>
          <t>4 — LOW (natural sellthrough)</t>
        </is>
      </c>
      <c r="F67" s="594" t="inlineStr">
        <is>
          <t>Remove</t>
        </is>
      </c>
      <c r="G67" s="593" t="n"/>
      <c r="H67" s="595" t="n">
        <v>1097.71</v>
      </c>
      <c r="I67" s="595" t="n">
        <v>1548.6</v>
      </c>
      <c r="J67" s="595" t="n">
        <v>-450.89</v>
      </c>
      <c r="K67" s="600" t="n">
        <v>0.291</v>
      </c>
      <c r="L67" s="597" t="n">
        <v>29</v>
      </c>
      <c r="M67" s="595" t="n">
        <v>37.85</v>
      </c>
      <c r="N67" s="598" t="n">
        <v>0.0005999999999999999</v>
      </c>
      <c r="O67" s="598" t="n">
        <v>0.9314</v>
      </c>
      <c r="P67" s="594" t="n">
        <v>6</v>
      </c>
      <c r="Q67" s="595" t="n">
        <v>10</v>
      </c>
      <c r="R67" s="597" t="n">
        <v>29</v>
      </c>
      <c r="S67" s="597" t="n">
        <v>0</v>
      </c>
      <c r="T67" s="597" t="n">
        <v>10</v>
      </c>
      <c r="U67" s="597" t="n">
        <v>239</v>
      </c>
      <c r="V67" s="597">
        <f>S165+T165</f>
        <v/>
      </c>
      <c r="W67" s="597">
        <f>S165+T165+U165</f>
        <v/>
      </c>
      <c r="X67" s="597">
        <f>W165*Q165</f>
        <v/>
      </c>
      <c r="Y67" s="595" t="n">
        <v>89</v>
      </c>
      <c r="Z67" s="595" t="n">
        <v>53.4</v>
      </c>
      <c r="AA67" s="594">
        <f>IF(Y165=Z165,"No","Yes")</f>
        <v/>
      </c>
      <c r="AB67" s="594" t="inlineStr">
        <is>
          <t>NW221WU1142</t>
        </is>
      </c>
      <c r="AC67" s="593" t="inlineStr">
        <is>
          <t>深V褶皱文胸</t>
        </is>
      </c>
    </row>
    <row r="68" ht="18" customHeight="1" s="229">
      <c r="A68" s="361" t="inlineStr">
        <is>
          <t>Nude Shape High Waist Sculpture Shorts</t>
        </is>
      </c>
      <c r="B68" s="362" t="inlineStr">
        <is>
          <t>Underwear</t>
        </is>
      </c>
      <c r="C68" s="589" t="inlineStr">
        <is>
          <t>REMOVE</t>
        </is>
      </c>
      <c r="D68" s="364" t="inlineStr">
        <is>
          <t>Below threshold — long tail</t>
        </is>
      </c>
      <c r="E68" s="364" t="inlineStr">
        <is>
          <t>4 — LOW (natural sellthrough)</t>
        </is>
      </c>
      <c r="F68" s="365" t="inlineStr">
        <is>
          <t>Remove</t>
        </is>
      </c>
      <c r="G68" s="364" t="n"/>
      <c r="H68" s="366" t="n">
        <v>1044.04</v>
      </c>
      <c r="I68" s="366" t="n">
        <v>1531.8</v>
      </c>
      <c r="J68" s="366" t="n">
        <v>-458.78</v>
      </c>
      <c r="K68" s="367" t="n">
        <v>0.3</v>
      </c>
      <c r="L68" s="368" t="n">
        <v>36</v>
      </c>
      <c r="M68" s="366" t="n">
        <v>29</v>
      </c>
      <c r="N68" s="369" t="n">
        <v>0.0005999999999999999</v>
      </c>
      <c r="O68" s="369" t="n">
        <v>0.9356</v>
      </c>
      <c r="P68" s="365" t="n">
        <v>2</v>
      </c>
      <c r="Q68" s="366" t="n">
        <v>10</v>
      </c>
      <c r="R68" s="368" t="n">
        <v>33</v>
      </c>
      <c r="S68" s="368" t="n">
        <v>0</v>
      </c>
      <c r="T68" s="368" t="n">
        <v>12</v>
      </c>
      <c r="U68" s="368" t="n">
        <v>33</v>
      </c>
      <c r="V68" s="368">
        <f>S172+T172</f>
        <v/>
      </c>
      <c r="W68" s="368">
        <f>S172+T172+U172</f>
        <v/>
      </c>
      <c r="X68" s="368">
        <f>W172*Q172</f>
        <v/>
      </c>
      <c r="Y68" s="366" t="n">
        <v>69</v>
      </c>
      <c r="Z68" s="366" t="n">
        <v>41.4</v>
      </c>
      <c r="AA68" s="365">
        <f>IF(Y172=Z172,"No","Yes")</f>
        <v/>
      </c>
      <c r="AB68" s="365" t="inlineStr">
        <is>
          <t>N212WU2107</t>
        </is>
      </c>
      <c r="AC68" s="364" t="inlineStr">
        <is>
          <t>高腰塑身裤</t>
        </is>
      </c>
    </row>
    <row r="69" ht="18" customHeight="1" s="229">
      <c r="A69" s="569" t="inlineStr">
        <is>
          <t>Pure Comfort 5/8 Cup Bandeau Bra 2.0</t>
        </is>
      </c>
      <c r="B69" s="570" t="inlineStr">
        <is>
          <t>Underwear</t>
        </is>
      </c>
      <c r="C69" s="588" t="inlineStr">
        <is>
          <t>KEEP — Tier 2</t>
        </is>
      </c>
      <c r="D69" s="572" t="inlineStr">
        <is>
          <t>Strategic non-BZ keeper</t>
        </is>
      </c>
      <c r="E69" s="572" t="n"/>
      <c r="F69" s="573" t="inlineStr">
        <is>
          <t>Keep</t>
        </is>
      </c>
      <c r="G69" s="572" t="inlineStr">
        <is>
          <t>Keep</t>
        </is>
      </c>
      <c r="H69" s="574" t="n">
        <v>1028.18</v>
      </c>
      <c r="I69" s="574" t="n">
        <v>1748</v>
      </c>
      <c r="J69" s="574" t="n">
        <v>-406.32</v>
      </c>
      <c r="K69" s="601" t="n">
        <v>0.232</v>
      </c>
      <c r="L69" s="576" t="n">
        <v>35</v>
      </c>
      <c r="M69" s="574" t="n">
        <v>29.38</v>
      </c>
      <c r="N69" s="577" t="n">
        <v>0.0005999999999999999</v>
      </c>
      <c r="O69" s="577" t="n">
        <v>0.9368000000000001</v>
      </c>
      <c r="P69" s="573" t="n">
        <v>22</v>
      </c>
      <c r="Q69" s="574" t="n">
        <v>10</v>
      </c>
      <c r="R69" s="576" t="n">
        <v>43</v>
      </c>
      <c r="S69" s="576" t="n">
        <v>36</v>
      </c>
      <c r="T69" s="576" t="n">
        <v>109</v>
      </c>
      <c r="U69" s="576" t="n">
        <v>571</v>
      </c>
      <c r="V69" s="576">
        <f>S174+T174</f>
        <v/>
      </c>
      <c r="W69" s="576">
        <f>S174+T174+U174</f>
        <v/>
      </c>
      <c r="X69" s="576">
        <f>W174*Q174</f>
        <v/>
      </c>
      <c r="Y69" s="574" t="n">
        <v>38</v>
      </c>
      <c r="Z69" s="574" t="n">
        <v>38</v>
      </c>
      <c r="AA69" s="573">
        <f>IF(Y174=Z174,"No","Yes")</f>
        <v/>
      </c>
      <c r="AB69" s="573" t="inlineStr">
        <is>
          <t>N211WU1119</t>
        </is>
      </c>
      <c r="AC69" s="572" t="inlineStr">
        <is>
          <t>零敏丰盈文胸</t>
        </is>
      </c>
    </row>
    <row r="70" ht="18" customHeight="1" s="229">
      <c r="A70" s="361" t="inlineStr">
        <is>
          <t>Nude Shape Mesh Bra</t>
        </is>
      </c>
      <c r="B70" s="362" t="inlineStr">
        <is>
          <t>Underwear</t>
        </is>
      </c>
      <c r="C70" s="589" t="inlineStr">
        <is>
          <t>REMOVE</t>
        </is>
      </c>
      <c r="D70" s="364" t="inlineStr">
        <is>
          <t>Below threshold — long tail</t>
        </is>
      </c>
      <c r="E70" s="364" t="inlineStr">
        <is>
          <t>4 — LOW (natural sellthrough)</t>
        </is>
      </c>
      <c r="F70" s="365" t="inlineStr">
        <is>
          <t>Remove</t>
        </is>
      </c>
      <c r="G70" s="364" t="n"/>
      <c r="H70" s="366" t="n">
        <v>1019.96</v>
      </c>
      <c r="I70" s="366" t="n">
        <v>1526</v>
      </c>
      <c r="J70" s="366" t="n">
        <v>-293.41</v>
      </c>
      <c r="K70" s="380" t="n">
        <v>0.192</v>
      </c>
      <c r="L70" s="368" t="n">
        <v>12</v>
      </c>
      <c r="M70" s="366" t="n">
        <v>85</v>
      </c>
      <c r="N70" s="369" t="n">
        <v>0.0005999999999999999</v>
      </c>
      <c r="O70" s="369" t="n">
        <v>0.9379999999999999</v>
      </c>
      <c r="P70" s="365" t="n">
        <v>12</v>
      </c>
      <c r="Q70" s="366" t="n">
        <v>10</v>
      </c>
      <c r="R70" s="368" t="n">
        <v>14</v>
      </c>
      <c r="S70" s="368" t="n">
        <v>2</v>
      </c>
      <c r="T70" s="368" t="n">
        <v>41</v>
      </c>
      <c r="U70" s="368" t="n">
        <v>345</v>
      </c>
      <c r="V70" s="368">
        <f>S176+T176</f>
        <v/>
      </c>
      <c r="W70" s="368">
        <f>S176+T176+U176</f>
        <v/>
      </c>
      <c r="X70" s="368">
        <f>W176*Q176</f>
        <v/>
      </c>
      <c r="Y70" s="366" t="n">
        <v>109</v>
      </c>
      <c r="Z70" s="366" t="n">
        <v>109</v>
      </c>
      <c r="AA70" s="365">
        <f>IF(Y176=Z176,"No","Yes")</f>
        <v/>
      </c>
      <c r="AB70" s="365" t="inlineStr">
        <is>
          <t>NW222WU1108</t>
        </is>
      </c>
      <c r="AC70" s="364" t="inlineStr">
        <is>
          <t>侧镂空网纱模杯文胸</t>
        </is>
      </c>
    </row>
    <row r="71" ht="18" customHeight="1" s="229">
      <c r="A71" s="590" t="inlineStr">
        <is>
          <t>Nude Skin Mesh Mid Waist Brief</t>
        </is>
      </c>
      <c r="B71" s="591" t="inlineStr">
        <is>
          <t>Underwear</t>
        </is>
      </c>
      <c r="C71" s="592" t="inlineStr">
        <is>
          <t>REMOVE</t>
        </is>
      </c>
      <c r="D71" s="593" t="inlineStr">
        <is>
          <t>Below threshold — long tail</t>
        </is>
      </c>
      <c r="E71" s="593" t="inlineStr">
        <is>
          <t>3 — MEDIUM (selldown or markdown)</t>
        </is>
      </c>
      <c r="F71" s="594" t="inlineStr">
        <is>
          <t>Remove</t>
        </is>
      </c>
      <c r="G71" s="593" t="n"/>
      <c r="H71" s="595" t="n">
        <v>1007.88</v>
      </c>
      <c r="I71" s="595" t="n">
        <v>1417.5</v>
      </c>
      <c r="J71" s="595" t="n">
        <v>-372.87</v>
      </c>
      <c r="K71" s="600" t="n">
        <v>0.263</v>
      </c>
      <c r="L71" s="597" t="n">
        <v>78</v>
      </c>
      <c r="M71" s="595" t="n">
        <v>12.92</v>
      </c>
      <c r="N71" s="598" t="n">
        <v>0.0005999999999999999</v>
      </c>
      <c r="O71" s="598" t="n">
        <v>0.9398000000000001</v>
      </c>
      <c r="P71" s="594" t="n">
        <v>6</v>
      </c>
      <c r="Q71" s="595" t="n">
        <v>10</v>
      </c>
      <c r="R71" s="597" t="n">
        <v>68</v>
      </c>
      <c r="S71" s="597" t="n">
        <v>0</v>
      </c>
      <c r="T71" s="597" t="n">
        <v>23</v>
      </c>
      <c r="U71" s="597" t="n">
        <v>164</v>
      </c>
      <c r="V71" s="597">
        <f>S179+T179</f>
        <v/>
      </c>
      <c r="W71" s="597">
        <f>S179+T179+U179</f>
        <v/>
      </c>
      <c r="X71" s="597">
        <f>W179*Q179</f>
        <v/>
      </c>
      <c r="Y71" s="595" t="n">
        <v>25</v>
      </c>
      <c r="Z71" s="595" t="n">
        <v>17.5</v>
      </c>
      <c r="AA71" s="594">
        <f>IF(Y179=Z179,"No","Yes")</f>
        <v/>
      </c>
      <c r="AB71" s="594" t="inlineStr">
        <is>
          <t>NW221WU1347</t>
        </is>
      </c>
      <c r="AC71" s="593" t="inlineStr">
        <is>
          <t>网纱拼接中腰内裤</t>
        </is>
      </c>
    </row>
    <row r="72" ht="18" customHeight="1" s="229">
      <c r="A72" s="361" t="inlineStr">
        <is>
          <t>Nude Shape Mid Waist Brief 2.0</t>
        </is>
      </c>
      <c r="B72" s="362" t="inlineStr">
        <is>
          <t>Underwear</t>
        </is>
      </c>
      <c r="C72" s="589" t="inlineStr">
        <is>
          <t>REMOVE</t>
        </is>
      </c>
      <c r="D72" s="364" t="inlineStr">
        <is>
          <t>Low sales (&lt;$1K in 90 days)</t>
        </is>
      </c>
      <c r="E72" s="364" t="inlineStr">
        <is>
          <t>4 — LOW (natural sellthrough)</t>
        </is>
      </c>
      <c r="F72" s="365" t="inlineStr">
        <is>
          <t>Remove</t>
        </is>
      </c>
      <c r="G72" s="364" t="n"/>
      <c r="H72" s="366" t="n">
        <v>927.36</v>
      </c>
      <c r="I72" s="366" t="n">
        <v>1276.8</v>
      </c>
      <c r="J72" s="366" t="n">
        <v>-349.44</v>
      </c>
      <c r="K72" s="367" t="n">
        <v>0.274</v>
      </c>
      <c r="L72" s="368" t="n">
        <v>96</v>
      </c>
      <c r="M72" s="366" t="n">
        <v>9.66</v>
      </c>
      <c r="N72" s="369" t="n">
        <v>0.0005</v>
      </c>
      <c r="O72" s="369" t="n">
        <v>0.9438</v>
      </c>
      <c r="P72" s="365" t="n">
        <v>5</v>
      </c>
      <c r="Q72" s="366" t="n">
        <v>10</v>
      </c>
      <c r="R72" s="368" t="n">
        <v>61</v>
      </c>
      <c r="S72" s="368" t="n">
        <v>0</v>
      </c>
      <c r="T72" s="368" t="n">
        <v>1</v>
      </c>
      <c r="U72" s="368" t="n">
        <v>103</v>
      </c>
      <c r="V72" s="368">
        <f>S186+T186</f>
        <v/>
      </c>
      <c r="W72" s="368">
        <f>S186+T186+U186</f>
        <v/>
      </c>
      <c r="X72" s="368">
        <f>W186*Q186</f>
        <v/>
      </c>
      <c r="Y72" s="366" t="n">
        <v>19</v>
      </c>
      <c r="Z72" s="366" t="n">
        <v>13.3</v>
      </c>
      <c r="AA72" s="365">
        <f>IF(Y186=Z186,"No","Yes")</f>
        <v/>
      </c>
      <c r="AB72" s="365" t="inlineStr">
        <is>
          <t>NW221WU1330</t>
        </is>
      </c>
      <c r="AC72" s="364" t="inlineStr">
        <is>
          <t>贴合中腰内裤</t>
        </is>
      </c>
    </row>
    <row r="73" ht="18" customHeight="1" s="229">
      <c r="A73" s="590" t="inlineStr">
        <is>
          <t>Pure Comfort Premium Triangle Bra</t>
        </is>
      </c>
      <c r="B73" s="591" t="inlineStr">
        <is>
          <t>Underwear</t>
        </is>
      </c>
      <c r="C73" s="592" t="inlineStr">
        <is>
          <t>REMOVE</t>
        </is>
      </c>
      <c r="D73" s="593" t="inlineStr">
        <is>
          <t>Low sales (&lt;$1K in 90 days)</t>
        </is>
      </c>
      <c r="E73" s="593" t="inlineStr">
        <is>
          <t>4 — LOW (natural sellthrough)</t>
        </is>
      </c>
      <c r="F73" s="594" t="inlineStr">
        <is>
          <t>Remove</t>
        </is>
      </c>
      <c r="G73" s="593" t="n"/>
      <c r="H73" s="595" t="n">
        <v>855.95</v>
      </c>
      <c r="I73" s="595" t="n">
        <v>1518</v>
      </c>
      <c r="J73" s="595" t="n">
        <v>-310.15</v>
      </c>
      <c r="K73" s="596" t="n">
        <v>0.204</v>
      </c>
      <c r="L73" s="597" t="n">
        <v>16</v>
      </c>
      <c r="M73" s="595" t="n">
        <v>53.5</v>
      </c>
      <c r="N73" s="598" t="n">
        <v>0.0005</v>
      </c>
      <c r="O73" s="598" t="n">
        <v>0.9483</v>
      </c>
      <c r="P73" s="594" t="n">
        <v>4</v>
      </c>
      <c r="Q73" s="595" t="n">
        <v>10</v>
      </c>
      <c r="R73" s="597" t="n">
        <v>22</v>
      </c>
      <c r="S73" s="597" t="n">
        <v>2</v>
      </c>
      <c r="T73" s="597" t="n">
        <v>4</v>
      </c>
      <c r="U73" s="597" t="n">
        <v>65</v>
      </c>
      <c r="V73" s="597">
        <f>S195+T195</f>
        <v/>
      </c>
      <c r="W73" s="597">
        <f>S195+T195+U195</f>
        <v/>
      </c>
      <c r="X73" s="597">
        <f>W195*Q195</f>
        <v/>
      </c>
      <c r="Y73" s="595" t="n">
        <v>69</v>
      </c>
      <c r="Z73" s="595" t="n">
        <v>69</v>
      </c>
      <c r="AA73" s="594">
        <f>IF(Y195=Z195,"No","Yes")</f>
        <v/>
      </c>
      <c r="AB73" s="594" t="inlineStr">
        <is>
          <t>NW221WU1156</t>
        </is>
      </c>
      <c r="AC73" s="593" t="inlineStr">
        <is>
          <t>三角杯文胸</t>
        </is>
      </c>
    </row>
    <row r="74" ht="18" customHeight="1" s="229">
      <c r="A74" s="361" t="inlineStr">
        <is>
          <t>Self Silk Mid Waist Brief</t>
        </is>
      </c>
      <c r="B74" s="362" t="inlineStr">
        <is>
          <t>Underwear</t>
        </is>
      </c>
      <c r="C74" s="589" t="inlineStr">
        <is>
          <t>REMOVE</t>
        </is>
      </c>
      <c r="D74" s="364" t="inlineStr">
        <is>
          <t>Low sales (&lt;$1K in 90 days)</t>
        </is>
      </c>
      <c r="E74" s="364" t="inlineStr">
        <is>
          <t>3 — MEDIUM (selldown or markdown)</t>
        </is>
      </c>
      <c r="F74" s="365" t="inlineStr">
        <is>
          <t>Remove</t>
        </is>
      </c>
      <c r="G74" s="364" t="n"/>
      <c r="H74" s="366" t="n">
        <v>837</v>
      </c>
      <c r="I74" s="366" t="n">
        <v>1200.6</v>
      </c>
      <c r="J74" s="366" t="n">
        <v>-328.8</v>
      </c>
      <c r="K74" s="367" t="n">
        <v>0.274</v>
      </c>
      <c r="L74" s="368" t="n">
        <v>66</v>
      </c>
      <c r="M74" s="366" t="n">
        <v>12.68</v>
      </c>
      <c r="N74" s="369" t="n">
        <v>0.0005</v>
      </c>
      <c r="O74" s="369" t="n">
        <v>0.9508</v>
      </c>
      <c r="P74" s="365" t="n">
        <v>7</v>
      </c>
      <c r="Q74" s="366" t="n">
        <v>10</v>
      </c>
      <c r="R74" s="368" t="n">
        <v>60</v>
      </c>
      <c r="S74" s="368" t="n">
        <v>0</v>
      </c>
      <c r="T74" s="368" t="n">
        <v>28</v>
      </c>
      <c r="U74" s="368" t="n">
        <v>79</v>
      </c>
      <c r="V74" s="368">
        <f>S200+T200</f>
        <v/>
      </c>
      <c r="W74" s="368">
        <f>S200+T200+U200</f>
        <v/>
      </c>
      <c r="X74" s="368">
        <f>W200*Q200</f>
        <v/>
      </c>
      <c r="Y74" s="366" t="n">
        <v>29</v>
      </c>
      <c r="Z74" s="366" t="n">
        <v>17.4</v>
      </c>
      <c r="AA74" s="365">
        <f>IF(Y200=Z200,"No","Yes")</f>
        <v/>
      </c>
      <c r="AB74" s="365" t="inlineStr">
        <is>
          <t>NW221WU1329</t>
        </is>
      </c>
      <c r="AC74" s="364" t="inlineStr">
        <is>
          <t>斜纹丝棉中腰内裤</t>
        </is>
      </c>
    </row>
    <row r="75" ht="18" customHeight="1" s="229">
      <c r="A75" s="590" t="inlineStr">
        <is>
          <t>Pantie Pro Mid Waist Period Brief</t>
        </is>
      </c>
      <c r="B75" s="591" t="inlineStr">
        <is>
          <t>Underwear</t>
        </is>
      </c>
      <c r="C75" s="592" t="inlineStr">
        <is>
          <t>REMOVE</t>
        </is>
      </c>
      <c r="D75" s="593" t="inlineStr">
        <is>
          <t>Low sales (&lt;$1K in 90 days)</t>
        </is>
      </c>
      <c r="E75" s="593" t="inlineStr">
        <is>
          <t>4 — LOW (natural sellthrough)</t>
        </is>
      </c>
      <c r="F75" s="594" t="inlineStr">
        <is>
          <t>Remove</t>
        </is>
      </c>
      <c r="G75" s="593" t="n"/>
      <c r="H75" s="595" t="n">
        <v>826.98</v>
      </c>
      <c r="I75" s="595" t="n">
        <v>1162.8</v>
      </c>
      <c r="J75" s="595" t="n">
        <v>-335.82</v>
      </c>
      <c r="K75" s="600" t="n">
        <v>0.289</v>
      </c>
      <c r="L75" s="597" t="n">
        <v>51</v>
      </c>
      <c r="M75" s="595" t="n">
        <v>16.22</v>
      </c>
      <c r="N75" s="598" t="n">
        <v>0.0005</v>
      </c>
      <c r="O75" s="598" t="n">
        <v>0.9523</v>
      </c>
      <c r="P75" s="594" t="n">
        <v>6</v>
      </c>
      <c r="Q75" s="595" t="n">
        <v>10</v>
      </c>
      <c r="R75" s="597" t="n">
        <v>47</v>
      </c>
      <c r="S75" s="597" t="n">
        <v>0</v>
      </c>
      <c r="T75" s="597" t="n">
        <v>21</v>
      </c>
      <c r="U75" s="597" t="n">
        <v>771</v>
      </c>
      <c r="V75" s="597">
        <f>S203+T203</f>
        <v/>
      </c>
      <c r="W75" s="597">
        <f>S203+T203+U203</f>
        <v/>
      </c>
      <c r="X75" s="597">
        <f>W203*Q203</f>
        <v/>
      </c>
      <c r="Y75" s="595" t="n">
        <v>38</v>
      </c>
      <c r="Z75" s="595" t="n">
        <v>22.8</v>
      </c>
      <c r="AA75" s="594">
        <f>IF(Y203=Z203,"No","Yes")</f>
        <v/>
      </c>
      <c r="AB75" s="594" t="inlineStr">
        <is>
          <t>N202WU2104</t>
        </is>
      </c>
      <c r="AC75" s="593" t="e">
        <v>#N/A</v>
      </c>
    </row>
    <row r="76" ht="18" customHeight="1" s="229">
      <c r="A76" s="361" t="inlineStr">
        <is>
          <t>Nude Tulle Mid Waist Brief</t>
        </is>
      </c>
      <c r="B76" s="362" t="inlineStr">
        <is>
          <t>Underwear</t>
        </is>
      </c>
      <c r="C76" s="589" t="inlineStr">
        <is>
          <t>REMOVE</t>
        </is>
      </c>
      <c r="D76" s="364" t="inlineStr">
        <is>
          <t>Low sales (&lt;$1K in 90 days)</t>
        </is>
      </c>
      <c r="E76" s="364" t="inlineStr">
        <is>
          <t>3 — MEDIUM (selldown or markdown)</t>
        </is>
      </c>
      <c r="F76" s="365" t="inlineStr">
        <is>
          <t>Remove</t>
        </is>
      </c>
      <c r="G76" s="364" t="n"/>
      <c r="H76" s="366" t="n">
        <v>802.6</v>
      </c>
      <c r="I76" s="366" t="n">
        <v>1080</v>
      </c>
      <c r="J76" s="366" t="n">
        <v>-277.4</v>
      </c>
      <c r="K76" s="367" t="n">
        <v>0.257</v>
      </c>
      <c r="L76" s="368" t="n">
        <v>72</v>
      </c>
      <c r="M76" s="366" t="n">
        <v>11.15</v>
      </c>
      <c r="N76" s="369" t="n">
        <v>0.0004</v>
      </c>
      <c r="O76" s="369" t="n">
        <v>0.9536</v>
      </c>
      <c r="P76" s="365" t="n">
        <v>8</v>
      </c>
      <c r="Q76" s="366" t="n">
        <v>10</v>
      </c>
      <c r="R76" s="368" t="n">
        <v>65</v>
      </c>
      <c r="S76" s="368" t="n">
        <v>0</v>
      </c>
      <c r="T76" s="368" t="n">
        <v>25</v>
      </c>
      <c r="U76" s="368" t="n">
        <v>309</v>
      </c>
      <c r="V76" s="368">
        <f>S206+T206</f>
        <v/>
      </c>
      <c r="W76" s="368">
        <f>S206+T206+U206</f>
        <v/>
      </c>
      <c r="X76" s="368">
        <f>W206*Q206</f>
        <v/>
      </c>
      <c r="Y76" s="366" t="n">
        <v>25</v>
      </c>
      <c r="Z76" s="366" t="n">
        <v>15</v>
      </c>
      <c r="AA76" s="365">
        <f>IF(Y206=Z206,"No","Yes")</f>
        <v/>
      </c>
      <c r="AB76" s="365" t="inlineStr">
        <is>
          <t>NW221WU1301</t>
        </is>
      </c>
      <c r="AC76" s="364" t="inlineStr">
        <is>
          <t>中腰内裤</t>
        </is>
      </c>
    </row>
    <row r="77" ht="18" customHeight="1" s="229">
      <c r="A77" s="590" t="inlineStr">
        <is>
          <t>Nude Shape 3/4 Cup Bra</t>
        </is>
      </c>
      <c r="B77" s="591" t="inlineStr">
        <is>
          <t>Underwear</t>
        </is>
      </c>
      <c r="C77" s="592" t="inlineStr">
        <is>
          <t>REMOVE</t>
        </is>
      </c>
      <c r="D77" s="593" t="inlineStr">
        <is>
          <t>Low sales (&lt;$1K in 90 days)</t>
        </is>
      </c>
      <c r="E77" s="593" t="inlineStr">
        <is>
          <t>2 — HIGH (excess inventory vs demand)</t>
        </is>
      </c>
      <c r="F77" s="594" t="inlineStr">
        <is>
          <t>Remove</t>
        </is>
      </c>
      <c r="G77" s="593" t="n"/>
      <c r="H77" s="595" t="n">
        <v>752.1</v>
      </c>
      <c r="I77" s="595" t="n">
        <v>1417</v>
      </c>
      <c r="J77" s="595" t="n">
        <v>-332.43</v>
      </c>
      <c r="K77" s="596" t="n">
        <v>0.235</v>
      </c>
      <c r="L77" s="597" t="n">
        <v>9</v>
      </c>
      <c r="M77" s="595" t="n">
        <v>83.56999999999999</v>
      </c>
      <c r="N77" s="598" t="n">
        <v>0.0004</v>
      </c>
      <c r="O77" s="598" t="n">
        <v>0.9571999999999999</v>
      </c>
      <c r="P77" s="594" t="n">
        <v>10</v>
      </c>
      <c r="Q77" s="595" t="n">
        <v>10</v>
      </c>
      <c r="R77" s="597" t="n">
        <v>13</v>
      </c>
      <c r="S77" s="597" t="n">
        <v>0</v>
      </c>
      <c r="T77" s="597" t="n">
        <v>613</v>
      </c>
      <c r="U77" s="597" t="n">
        <v>0</v>
      </c>
      <c r="V77" s="597">
        <f>S215+T215</f>
        <v/>
      </c>
      <c r="W77" s="597">
        <f>S215+T215+U215</f>
        <v/>
      </c>
      <c r="X77" s="597">
        <f>W215*Q215</f>
        <v/>
      </c>
      <c r="Y77" s="595" t="n">
        <v>109</v>
      </c>
      <c r="Z77" s="595" t="n">
        <v>109</v>
      </c>
      <c r="AA77" s="594">
        <f>IF(Y215=Z215,"No","Yes")</f>
        <v/>
      </c>
      <c r="AB77" s="594" t="inlineStr">
        <is>
          <t>NW242WU1103</t>
        </is>
      </c>
      <c r="AC77" s="593" t="inlineStr">
        <is>
          <t>软钢圈托片3/4杯</t>
        </is>
      </c>
    </row>
    <row r="78" ht="18" customHeight="1" s="229">
      <c r="A78" s="361" t="inlineStr">
        <is>
          <t>Belle Lace Mid Waist Brief 2.0</t>
        </is>
      </c>
      <c r="B78" s="362" t="inlineStr">
        <is>
          <t>Underwear</t>
        </is>
      </c>
      <c r="C78" s="589" t="inlineStr">
        <is>
          <t>REMOVE</t>
        </is>
      </c>
      <c r="D78" s="364" t="inlineStr">
        <is>
          <t>Low sales (&lt;$1K in 90 days)</t>
        </is>
      </c>
      <c r="E78" s="364" t="inlineStr">
        <is>
          <t>3 — MEDIUM (selldown or markdown)</t>
        </is>
      </c>
      <c r="F78" s="365" t="inlineStr">
        <is>
          <t>Remove</t>
        </is>
      </c>
      <c r="G78" s="364" t="n"/>
      <c r="H78" s="366" t="n">
        <v>740.58</v>
      </c>
      <c r="I78" s="366" t="n">
        <v>1050</v>
      </c>
      <c r="J78" s="366" t="n">
        <v>-309.42</v>
      </c>
      <c r="K78" s="367" t="n">
        <v>0.295</v>
      </c>
      <c r="L78" s="368" t="n">
        <v>44</v>
      </c>
      <c r="M78" s="366" t="n">
        <v>16.83</v>
      </c>
      <c r="N78" s="369" t="n">
        <v>0.0004</v>
      </c>
      <c r="O78" s="369" t="n">
        <v>0.958</v>
      </c>
      <c r="P78" s="365" t="n">
        <v>9</v>
      </c>
      <c r="Q78" s="366" t="n">
        <v>10</v>
      </c>
      <c r="R78" s="368" t="n">
        <v>40</v>
      </c>
      <c r="S78" s="368" t="n">
        <v>0</v>
      </c>
      <c r="T78" s="368" t="n">
        <v>33</v>
      </c>
      <c r="U78" s="368" t="n">
        <v>337</v>
      </c>
      <c r="V78" s="368">
        <f>S217+T217</f>
        <v/>
      </c>
      <c r="W78" s="368">
        <f>S217+T217+U217</f>
        <v/>
      </c>
      <c r="X78" s="368">
        <f>W217*Q217</f>
        <v/>
      </c>
      <c r="Y78" s="366" t="n">
        <v>35</v>
      </c>
      <c r="Z78" s="366" t="n">
        <v>21</v>
      </c>
      <c r="AA78" s="365">
        <f>IF(Y217=Z217,"No","Yes")</f>
        <v/>
      </c>
      <c r="AB78" s="365" t="inlineStr">
        <is>
          <t>NW221WU1334</t>
        </is>
      </c>
      <c r="AC78" s="364" t="inlineStr">
        <is>
          <t>蕾丝贴合中腰内裤</t>
        </is>
      </c>
    </row>
    <row r="79" ht="18" customHeight="1" s="229">
      <c r="A79" s="590" t="inlineStr">
        <is>
          <t>Postpartum High Waist Shaping Brief</t>
        </is>
      </c>
      <c r="B79" s="591" t="inlineStr">
        <is>
          <t>Underwear</t>
        </is>
      </c>
      <c r="C79" s="592" t="inlineStr">
        <is>
          <t>REMOVE</t>
        </is>
      </c>
      <c r="D79" s="593" t="inlineStr">
        <is>
          <t>Low sales (&lt;$1K in 90 days)</t>
        </is>
      </c>
      <c r="E79" s="593" t="inlineStr">
        <is>
          <t>4 — LOW (natural sellthrough)</t>
        </is>
      </c>
      <c r="F79" s="594" t="inlineStr">
        <is>
          <t>Remove</t>
        </is>
      </c>
      <c r="G79" s="593" t="n"/>
      <c r="H79" s="595" t="n">
        <v>715.9300000000001</v>
      </c>
      <c r="I79" s="595" t="n">
        <v>945</v>
      </c>
      <c r="J79" s="595" t="n">
        <v>-229.07</v>
      </c>
      <c r="K79" s="596" t="n">
        <v>0.242</v>
      </c>
      <c r="L79" s="597" t="n">
        <v>27</v>
      </c>
      <c r="M79" s="595" t="n">
        <v>26.52</v>
      </c>
      <c r="N79" s="598" t="n">
        <v>0.0004</v>
      </c>
      <c r="O79" s="598" t="n">
        <v>0.9604</v>
      </c>
      <c r="P79" s="594" t="n">
        <v>7</v>
      </c>
      <c r="Q79" s="595" t="n">
        <v>10</v>
      </c>
      <c r="R79" s="597" t="n">
        <v>23</v>
      </c>
      <c r="S79" s="597" t="n">
        <v>0</v>
      </c>
      <c r="T79" s="597" t="n">
        <v>14</v>
      </c>
      <c r="U79" s="597" t="n">
        <v>265</v>
      </c>
      <c r="V79" s="597">
        <f>S223+T223</f>
        <v/>
      </c>
      <c r="W79" s="597">
        <f>S223+T223+U223</f>
        <v/>
      </c>
      <c r="X79" s="597">
        <f>W223*Q223</f>
        <v/>
      </c>
      <c r="Y79" s="595" t="n">
        <v>35</v>
      </c>
      <c r="Z79" s="595" t="n">
        <v>35</v>
      </c>
      <c r="AA79" s="594">
        <f>IF(Y223=Z223,"No","Yes")</f>
        <v/>
      </c>
      <c r="AB79" s="594" t="inlineStr">
        <is>
          <t>NW231WU1328</t>
        </is>
      </c>
      <c r="AC79" s="593" t="inlineStr">
        <is>
          <t>高腰收腹内裤</t>
        </is>
      </c>
    </row>
    <row r="80" ht="18" customHeight="1" s="229">
      <c r="A80" s="361" t="inlineStr">
        <is>
          <t>Twin Cross High Waist Brief 2.0</t>
        </is>
      </c>
      <c r="B80" s="362" t="inlineStr">
        <is>
          <t>Underwear</t>
        </is>
      </c>
      <c r="C80" s="589" t="inlineStr">
        <is>
          <t>REMOVE</t>
        </is>
      </c>
      <c r="D80" s="364" t="inlineStr">
        <is>
          <t>Low sales (&lt;$1K in 90 days)</t>
        </is>
      </c>
      <c r="E80" s="364" t="inlineStr">
        <is>
          <t>4 — LOW (natural sellthrough)</t>
        </is>
      </c>
      <c r="F80" s="365" t="inlineStr">
        <is>
          <t>Remove</t>
        </is>
      </c>
      <c r="G80" s="364" t="inlineStr">
        <is>
          <t>OOS</t>
        </is>
      </c>
      <c r="H80" s="366" t="n">
        <v>709.46</v>
      </c>
      <c r="I80" s="366" t="n">
        <v>1020.8</v>
      </c>
      <c r="J80" s="366" t="n">
        <v>-287.13</v>
      </c>
      <c r="K80" s="367" t="n">
        <v>0.281</v>
      </c>
      <c r="L80" s="368" t="n">
        <v>49</v>
      </c>
      <c r="M80" s="366" t="n">
        <v>14.48</v>
      </c>
      <c r="N80" s="369" t="n">
        <v>0.0004</v>
      </c>
      <c r="O80" s="369" t="n">
        <v>0.9608</v>
      </c>
      <c r="P80" s="365" t="n">
        <v>2</v>
      </c>
      <c r="Q80" s="366" t="n">
        <v>10</v>
      </c>
      <c r="R80" s="368" t="n">
        <v>42</v>
      </c>
      <c r="S80" s="368" t="n">
        <v>0</v>
      </c>
      <c r="T80" s="368" t="n">
        <v>0</v>
      </c>
      <c r="U80" s="368" t="n">
        <v>0</v>
      </c>
      <c r="V80" s="368">
        <f>S224+T224</f>
        <v/>
      </c>
      <c r="W80" s="368">
        <f>S224+T224+U224</f>
        <v/>
      </c>
      <c r="X80" s="368">
        <f>W224*Q224</f>
        <v/>
      </c>
      <c r="Y80" s="366" t="n">
        <v>29</v>
      </c>
      <c r="Z80" s="366" t="n">
        <v>17.4</v>
      </c>
      <c r="AA80" s="365">
        <f>IF(Y224=Z224,"No","Yes")</f>
        <v/>
      </c>
      <c r="AB80" s="365" t="e">
        <v>#N/A</v>
      </c>
      <c r="AC80" s="364" t="e">
        <v>#N/A</v>
      </c>
    </row>
    <row r="81" ht="18" customHeight="1" s="229">
      <c r="A81" s="590" t="inlineStr">
        <is>
          <t>Self Silk Satin Mid Waist Brief</t>
        </is>
      </c>
      <c r="B81" s="591" t="inlineStr">
        <is>
          <t>Underwear</t>
        </is>
      </c>
      <c r="C81" s="592" t="inlineStr">
        <is>
          <t>REMOVE</t>
        </is>
      </c>
      <c r="D81" s="593" t="inlineStr">
        <is>
          <t>Low sales (&lt;$1K in 90 days)</t>
        </is>
      </c>
      <c r="E81" s="593" t="inlineStr">
        <is>
          <t>2 — HIGH (excess inventory vs demand)</t>
        </is>
      </c>
      <c r="F81" s="594" t="inlineStr">
        <is>
          <t>Remove</t>
        </is>
      </c>
      <c r="G81" s="593" t="n"/>
      <c r="H81" s="595" t="n">
        <v>671.3</v>
      </c>
      <c r="I81" s="595" t="n">
        <v>840</v>
      </c>
      <c r="J81" s="595" t="n">
        <v>-144.2</v>
      </c>
      <c r="K81" s="596" t="n">
        <v>0.172</v>
      </c>
      <c r="L81" s="597" t="n">
        <v>23</v>
      </c>
      <c r="M81" s="595" t="n">
        <v>29.19</v>
      </c>
      <c r="N81" s="598" t="n">
        <v>0.0004</v>
      </c>
      <c r="O81" s="598" t="n">
        <v>0.9636</v>
      </c>
      <c r="P81" s="594" t="n">
        <v>14</v>
      </c>
      <c r="Q81" s="595" t="n">
        <v>10</v>
      </c>
      <c r="R81" s="597" t="n">
        <v>19</v>
      </c>
      <c r="S81" s="597" t="n">
        <v>0</v>
      </c>
      <c r="T81" s="597" t="n">
        <v>220</v>
      </c>
      <c r="U81" s="597" t="n">
        <v>0</v>
      </c>
      <c r="V81" s="597">
        <f>S231+T231</f>
        <v/>
      </c>
      <c r="W81" s="597">
        <f>S231+T231+U231</f>
        <v/>
      </c>
      <c r="X81" s="597">
        <f>W231*Q231</f>
        <v/>
      </c>
      <c r="Y81" s="595" t="n">
        <v>35</v>
      </c>
      <c r="Z81" s="595" t="n">
        <v>35</v>
      </c>
      <c r="AA81" s="594">
        <f>IF(Y231=Z231,"No","Yes")</f>
        <v/>
      </c>
      <c r="AB81" s="594" t="inlineStr">
        <is>
          <t>NW242WU1307</t>
        </is>
      </c>
      <c r="AC81" s="593" t="inlineStr">
        <is>
          <t>真丝提花中低腰内裤</t>
        </is>
      </c>
    </row>
    <row r="82" ht="18" customHeight="1" s="229">
      <c r="A82" s="578" t="inlineStr">
        <is>
          <t>Barely Zero Cooling Clasp Bra</t>
        </is>
      </c>
      <c r="B82" s="579" t="inlineStr">
        <is>
          <t>Underwear</t>
        </is>
      </c>
      <c r="C82" s="580" t="inlineStr">
        <is>
          <t>KEEP — Tier 1</t>
        </is>
      </c>
      <c r="D82" s="581" t="inlineStr">
        <is>
          <t>Core Barely Zero</t>
        </is>
      </c>
      <c r="E82" s="581" t="n"/>
      <c r="F82" s="582" t="inlineStr">
        <is>
          <t>Keep</t>
        </is>
      </c>
      <c r="G82" s="581" t="inlineStr">
        <is>
          <t>Keep</t>
        </is>
      </c>
      <c r="H82" s="583" t="n">
        <v>629.9300000000001</v>
      </c>
      <c r="I82" s="583" t="n">
        <v>770</v>
      </c>
      <c r="J82" s="583" t="n">
        <v>-140.07</v>
      </c>
      <c r="K82" s="599" t="n">
        <v>0.182</v>
      </c>
      <c r="L82" s="585" t="n">
        <v>14</v>
      </c>
      <c r="M82" s="583" t="n">
        <v>45</v>
      </c>
      <c r="N82" s="586" t="n">
        <v>0.0003</v>
      </c>
      <c r="O82" s="586" t="n">
        <v>0.9677</v>
      </c>
      <c r="P82" s="582" t="n">
        <v>4</v>
      </c>
      <c r="Q82" s="583" t="n">
        <v>10</v>
      </c>
      <c r="R82" s="585" t="n">
        <v>13</v>
      </c>
      <c r="S82" s="585" t="n">
        <v>0</v>
      </c>
      <c r="T82" s="585" t="n">
        <v>355</v>
      </c>
      <c r="U82" s="585" t="n">
        <v>0</v>
      </c>
      <c r="V82" s="585">
        <f>S242+T242</f>
        <v/>
      </c>
      <c r="W82" s="585">
        <f>S242+T242+U242</f>
        <v/>
      </c>
      <c r="X82" s="585">
        <f>W242*Q242</f>
        <v/>
      </c>
      <c r="Y82" s="583" t="n">
        <v>55</v>
      </c>
      <c r="Z82" s="583" t="n">
        <v>55</v>
      </c>
      <c r="AA82" s="582">
        <f>IF(Y242=Z242,"No","Yes")</f>
        <v/>
      </c>
      <c r="AB82" s="582" t="inlineStr">
        <is>
          <t>NO261WU1132</t>
        </is>
      </c>
      <c r="AC82" s="581" t="inlineStr">
        <is>
          <t>云朵针织真丝吊带背扣文胸</t>
        </is>
      </c>
    </row>
    <row r="83" ht="18" customHeight="1" s="229">
      <c r="A83" s="590" t="inlineStr">
        <is>
          <t>Essential Low-Waist Brief</t>
        </is>
      </c>
      <c r="B83" s="591" t="inlineStr">
        <is>
          <t>Underwear</t>
        </is>
      </c>
      <c r="C83" s="592" t="inlineStr">
        <is>
          <t>REMOVE</t>
        </is>
      </c>
      <c r="D83" s="593" t="inlineStr">
        <is>
          <t>Low sales (&lt;$1K in 90 days)</t>
        </is>
      </c>
      <c r="E83" s="593" t="inlineStr">
        <is>
          <t>2 — HIGH (excess inventory vs demand)</t>
        </is>
      </c>
      <c r="F83" s="594" t="inlineStr">
        <is>
          <t>Remove</t>
        </is>
      </c>
      <c r="G83" s="593" t="n"/>
      <c r="H83" s="595" t="n">
        <v>591.25</v>
      </c>
      <c r="I83" s="595" t="n">
        <v>869.4</v>
      </c>
      <c r="J83" s="595" t="n">
        <v>-251.69</v>
      </c>
      <c r="K83" s="600" t="n">
        <v>0.289</v>
      </c>
      <c r="L83" s="597" t="n">
        <v>66</v>
      </c>
      <c r="M83" s="595" t="n">
        <v>8.960000000000001</v>
      </c>
      <c r="N83" s="598" t="n">
        <v>0.0003</v>
      </c>
      <c r="O83" s="598" t="n">
        <v>0.9706999999999999</v>
      </c>
      <c r="P83" s="594" t="n">
        <v>3</v>
      </c>
      <c r="Q83" s="595" t="n">
        <v>10</v>
      </c>
      <c r="R83" s="597" t="n">
        <v>55</v>
      </c>
      <c r="S83" s="597" t="n">
        <v>0</v>
      </c>
      <c r="T83" s="597" t="n">
        <v>41</v>
      </c>
      <c r="U83" s="597" t="n">
        <v>0</v>
      </c>
      <c r="V83" s="597">
        <f>S252+T252</f>
        <v/>
      </c>
      <c r="W83" s="597">
        <f>S252+T252+U252</f>
        <v/>
      </c>
      <c r="X83" s="597">
        <f>W252*Q252</f>
        <v/>
      </c>
      <c r="Y83" s="595" t="n">
        <v>18</v>
      </c>
      <c r="Z83" s="595" t="n">
        <v>12.6</v>
      </c>
      <c r="AA83" s="594">
        <f>IF(Y252=Z252,"No","Yes")</f>
        <v/>
      </c>
      <c r="AB83" s="594" t="inlineStr">
        <is>
          <t>N212WU2102</t>
        </is>
      </c>
      <c r="AC83" s="593" t="inlineStr">
        <is>
          <t>低腰内裤</t>
        </is>
      </c>
    </row>
    <row r="84" ht="18" customHeight="1" s="229">
      <c r="A84" s="361" t="inlineStr">
        <is>
          <t>Plisse Lace Low Waist Brief</t>
        </is>
      </c>
      <c r="B84" s="362" t="inlineStr">
        <is>
          <t>Underwear</t>
        </is>
      </c>
      <c r="C84" s="589" t="inlineStr">
        <is>
          <t>REMOVE</t>
        </is>
      </c>
      <c r="D84" s="364" t="inlineStr">
        <is>
          <t>Low sales (&lt;$1K in 90 days)</t>
        </is>
      </c>
      <c r="E84" s="364" t="inlineStr">
        <is>
          <t>3 — MEDIUM (selldown or markdown)</t>
        </is>
      </c>
      <c r="F84" s="365" t="inlineStr">
        <is>
          <t>Remove</t>
        </is>
      </c>
      <c r="G84" s="364" t="n"/>
      <c r="H84" s="366" t="n">
        <v>578.3100000000001</v>
      </c>
      <c r="I84" s="366" t="n">
        <v>772.1999999999999</v>
      </c>
      <c r="J84" s="366" t="n">
        <v>-193.89</v>
      </c>
      <c r="K84" s="367" t="n">
        <v>0.251</v>
      </c>
      <c r="L84" s="368" t="n">
        <v>33</v>
      </c>
      <c r="M84" s="366" t="n">
        <v>17.52</v>
      </c>
      <c r="N84" s="369" t="n">
        <v>0.0003</v>
      </c>
      <c r="O84" s="369" t="n">
        <v>0.9719</v>
      </c>
      <c r="P84" s="365" t="n">
        <v>6</v>
      </c>
      <c r="Q84" s="366" t="n">
        <v>10</v>
      </c>
      <c r="R84" s="368" t="n">
        <v>31</v>
      </c>
      <c r="S84" s="368" t="n">
        <v>0</v>
      </c>
      <c r="T84" s="368" t="n">
        <v>18</v>
      </c>
      <c r="U84" s="368" t="n">
        <v>429</v>
      </c>
      <c r="V84" s="368">
        <f>S256+T256</f>
        <v/>
      </c>
      <c r="W84" s="368">
        <f>S256+T256+U256</f>
        <v/>
      </c>
      <c r="X84" s="368">
        <f>W256*Q256</f>
        <v/>
      </c>
      <c r="Y84" s="366" t="n">
        <v>39</v>
      </c>
      <c r="Z84" s="366" t="n">
        <v>23.4</v>
      </c>
      <c r="AA84" s="365">
        <f>IF(Y256=Z256,"No","Yes")</f>
        <v/>
      </c>
      <c r="AB84" s="365" t="inlineStr">
        <is>
          <t>NW221WU1323</t>
        </is>
      </c>
      <c r="AC84" s="364" t="inlineStr">
        <is>
          <t>低腰内裤</t>
        </is>
      </c>
    </row>
    <row r="85" ht="18" customHeight="1" s="229">
      <c r="A85" s="590" t="inlineStr">
        <is>
          <t>Winged Support ¬æ Cup Bra</t>
        </is>
      </c>
      <c r="B85" s="591" t="inlineStr">
        <is>
          <t>Underwear</t>
        </is>
      </c>
      <c r="C85" s="592" t="inlineStr">
        <is>
          <t>REMOVE</t>
        </is>
      </c>
      <c r="D85" s="593" t="inlineStr">
        <is>
          <t>Low sales (&lt;$1K in 90 days)</t>
        </is>
      </c>
      <c r="E85" s="593" t="inlineStr">
        <is>
          <t>3 — MEDIUM (selldown or markdown)</t>
        </is>
      </c>
      <c r="F85" s="594" t="inlineStr">
        <is>
          <t>Remove</t>
        </is>
      </c>
      <c r="G85" s="593" t="n"/>
      <c r="H85" s="595" t="n">
        <v>570</v>
      </c>
      <c r="I85" s="595" t="n">
        <v>1275</v>
      </c>
      <c r="J85" s="595" t="n">
        <v>-302.5</v>
      </c>
      <c r="K85" s="596" t="n">
        <v>0.237</v>
      </c>
      <c r="L85" s="597" t="n">
        <v>10</v>
      </c>
      <c r="M85" s="595" t="n">
        <v>57</v>
      </c>
      <c r="N85" s="598" t="n">
        <v>0.0003</v>
      </c>
      <c r="O85" s="598" t="n">
        <v>0.9728</v>
      </c>
      <c r="P85" s="594" t="n">
        <v>9</v>
      </c>
      <c r="Q85" s="595" t="n">
        <v>10</v>
      </c>
      <c r="R85" s="597" t="n">
        <v>16</v>
      </c>
      <c r="S85" s="597" t="n">
        <v>17</v>
      </c>
      <c r="T85" s="597" t="n">
        <v>45</v>
      </c>
      <c r="U85" s="597" t="n">
        <v>0</v>
      </c>
      <c r="V85" s="597">
        <f>S259+T259</f>
        <v/>
      </c>
      <c r="W85" s="597">
        <f>S259+T259+U259</f>
        <v/>
      </c>
      <c r="X85" s="597">
        <f>W259*Q259</f>
        <v/>
      </c>
      <c r="Y85" s="595" t="n">
        <v>75</v>
      </c>
      <c r="Z85" s="595" t="n">
        <v>75</v>
      </c>
      <c r="AA85" s="594">
        <f>IF(Y259=Z259,"No","Yes")</f>
        <v/>
      </c>
      <c r="AB85" s="594" t="inlineStr">
        <is>
          <t>NW231WU1127</t>
        </is>
      </c>
      <c r="AC85" s="593" t="inlineStr">
        <is>
          <t>New-bio3/4杯模杯文胸</t>
        </is>
      </c>
    </row>
    <row r="86" ht="18" customHeight="1" s="229">
      <c r="A86" s="361" t="inlineStr">
        <is>
          <t>Nude Shape Bra Top</t>
        </is>
      </c>
      <c r="B86" s="362" t="inlineStr">
        <is>
          <t>Underwear</t>
        </is>
      </c>
      <c r="C86" s="589" t="inlineStr">
        <is>
          <t>REMOVE</t>
        </is>
      </c>
      <c r="D86" s="364" t="inlineStr">
        <is>
          <t>Low sales (&lt;$1K in 90 days)</t>
        </is>
      </c>
      <c r="E86" s="364" t="inlineStr">
        <is>
          <t>2 — HIGH (excess inventory vs demand)</t>
        </is>
      </c>
      <c r="F86" s="365" t="inlineStr">
        <is>
          <t>Remove</t>
        </is>
      </c>
      <c r="G86" s="364" t="n"/>
      <c r="H86" s="366" t="n">
        <v>546.1</v>
      </c>
      <c r="I86" s="366" t="n">
        <v>2071</v>
      </c>
      <c r="J86" s="366" t="n">
        <v>-576.6</v>
      </c>
      <c r="K86" s="367" t="n">
        <v>0.278</v>
      </c>
      <c r="L86" s="368" t="n">
        <v>8</v>
      </c>
      <c r="M86" s="366" t="n">
        <v>68.26000000000001</v>
      </c>
      <c r="N86" s="369" t="n">
        <v>0.0003</v>
      </c>
      <c r="O86" s="369" t="n">
        <v>0.9754999999999999</v>
      </c>
      <c r="P86" s="365" t="n">
        <v>11</v>
      </c>
      <c r="Q86" s="366" t="n">
        <v>10</v>
      </c>
      <c r="R86" s="368" t="n">
        <v>19</v>
      </c>
      <c r="S86" s="368" t="n">
        <v>7</v>
      </c>
      <c r="T86" s="368" t="n">
        <v>364</v>
      </c>
      <c r="U86" s="368" t="n">
        <v>0</v>
      </c>
      <c r="V86" s="368">
        <f>S268+T268</f>
        <v/>
      </c>
      <c r="W86" s="368">
        <f>S268+T268+U268</f>
        <v/>
      </c>
      <c r="X86" s="368">
        <f>W268*Q268</f>
        <v/>
      </c>
      <c r="Y86" s="366" t="n">
        <v>109</v>
      </c>
      <c r="Z86" s="366" t="n">
        <v>109</v>
      </c>
      <c r="AA86" s="365">
        <f>IF(Y268=Z268,"No","Yes")</f>
        <v/>
      </c>
      <c r="AB86" s="365" t="inlineStr">
        <is>
          <t>NW242WU1104</t>
        </is>
      </c>
      <c r="AC86" s="364" t="inlineStr">
        <is>
          <t>软钢圈托片 bra-top</t>
        </is>
      </c>
    </row>
    <row r="87" ht="18" customHeight="1" s="229">
      <c r="A87" s="590" t="inlineStr">
        <is>
          <t>Winged Support Curve Bra</t>
        </is>
      </c>
      <c r="B87" s="591" t="inlineStr">
        <is>
          <t>Underwear</t>
        </is>
      </c>
      <c r="C87" s="592" t="inlineStr">
        <is>
          <t>REMOVE</t>
        </is>
      </c>
      <c r="D87" s="593" t="inlineStr">
        <is>
          <t>Low sales (&lt;$1K in 90 days)</t>
        </is>
      </c>
      <c r="E87" s="593" t="inlineStr">
        <is>
          <t>3 — MEDIUM (selldown or markdown)</t>
        </is>
      </c>
      <c r="F87" s="594" t="inlineStr">
        <is>
          <t>Remove</t>
        </is>
      </c>
      <c r="G87" s="593" t="n"/>
      <c r="H87" s="595" t="n">
        <v>520</v>
      </c>
      <c r="I87" s="595" t="n">
        <v>2041</v>
      </c>
      <c r="J87" s="595" t="n">
        <v>-442</v>
      </c>
      <c r="K87" s="596" t="n">
        <v>0.217</v>
      </c>
      <c r="L87" s="597" t="n">
        <v>10</v>
      </c>
      <c r="M87" s="595" t="n">
        <v>52</v>
      </c>
      <c r="N87" s="598" t="n">
        <v>0.0003</v>
      </c>
      <c r="O87" s="598" t="n">
        <v>0.9779000000000001</v>
      </c>
      <c r="P87" s="594" t="n">
        <v>12</v>
      </c>
      <c r="Q87" s="595" t="n">
        <v>10</v>
      </c>
      <c r="R87" s="597" t="n">
        <v>28</v>
      </c>
      <c r="S87" s="597" t="n">
        <v>11</v>
      </c>
      <c r="T87" s="597" t="n">
        <v>32</v>
      </c>
      <c r="U87" s="597" t="n">
        <v>119</v>
      </c>
      <c r="V87" s="597">
        <f>S276+T276</f>
        <v/>
      </c>
      <c r="W87" s="597">
        <f>S276+T276+U276</f>
        <v/>
      </c>
      <c r="X87" s="597">
        <f>W276*Q276</f>
        <v/>
      </c>
      <c r="Y87" s="595" t="n">
        <v>65</v>
      </c>
      <c r="Z87" s="595" t="n">
        <v>65</v>
      </c>
      <c r="AA87" s="594">
        <f>IF(Y276=Z276,"No","Yes")</f>
        <v/>
      </c>
      <c r="AB87" s="594" t="inlineStr">
        <is>
          <t>NW232WU1104</t>
        </is>
      </c>
      <c r="AC87" s="593" t="inlineStr">
        <is>
          <t>NewBio-wire3/4模杯大胸款</t>
        </is>
      </c>
    </row>
    <row r="88" ht="18" customHeight="1" s="229">
      <c r="A88" s="361" t="inlineStr">
        <is>
          <t>Tempting Low Waist Brief</t>
        </is>
      </c>
      <c r="B88" s="362" t="inlineStr">
        <is>
          <t>Underwear</t>
        </is>
      </c>
      <c r="C88" s="589" t="inlineStr">
        <is>
          <t>REMOVE</t>
        </is>
      </c>
      <c r="D88" s="364" t="inlineStr">
        <is>
          <t>Very low sales (&lt;$500 in 90 days)</t>
        </is>
      </c>
      <c r="E88" s="364" t="inlineStr">
        <is>
          <t>4 — LOW (natural sellthrough)</t>
        </is>
      </c>
      <c r="F88" s="365" t="inlineStr">
        <is>
          <t>Remove</t>
        </is>
      </c>
      <c r="G88" s="364" t="n"/>
      <c r="H88" s="366" t="n">
        <v>479.4</v>
      </c>
      <c r="I88" s="366" t="n">
        <v>621</v>
      </c>
      <c r="J88" s="366" t="n">
        <v>-141.6</v>
      </c>
      <c r="K88" s="380" t="n">
        <v>0.228</v>
      </c>
      <c r="L88" s="368" t="n">
        <v>23</v>
      </c>
      <c r="M88" s="366" t="n">
        <v>20.84</v>
      </c>
      <c r="N88" s="369" t="n">
        <v>0.0003</v>
      </c>
      <c r="O88" s="369" t="n">
        <v>0.9806</v>
      </c>
      <c r="P88" s="365" t="n">
        <v>6</v>
      </c>
      <c r="Q88" s="366" t="n">
        <v>10</v>
      </c>
      <c r="R88" s="368" t="n">
        <v>22</v>
      </c>
      <c r="S88" s="368" t="n">
        <v>0</v>
      </c>
      <c r="T88" s="368" t="n">
        <v>11</v>
      </c>
      <c r="U88" s="368" t="n">
        <v>159</v>
      </c>
      <c r="V88" s="368">
        <f>S285+T285</f>
        <v/>
      </c>
      <c r="W88" s="368">
        <f>S285+T285+U285</f>
        <v/>
      </c>
      <c r="X88" s="368">
        <f>W285*Q285</f>
        <v/>
      </c>
      <c r="Y88" s="366" t="n">
        <v>45</v>
      </c>
      <c r="Z88" s="366" t="n">
        <v>27</v>
      </c>
      <c r="AA88" s="365">
        <f>IF(Y285=Z285,"No","Yes")</f>
        <v/>
      </c>
      <c r="AB88" s="365" t="inlineStr">
        <is>
          <t>NW221WU1318</t>
        </is>
      </c>
      <c r="AC88" s="364" t="inlineStr">
        <is>
          <t>低腰内裤</t>
        </is>
      </c>
    </row>
    <row r="89" ht="18" customHeight="1" s="229">
      <c r="A89" s="569" t="inlineStr">
        <is>
          <t>Essential Support Bandeau Bra</t>
        </is>
      </c>
      <c r="B89" s="570" t="inlineStr">
        <is>
          <t>Underwear</t>
        </is>
      </c>
      <c r="C89" s="588" t="inlineStr">
        <is>
          <t>KEEP — Tier 2</t>
        </is>
      </c>
      <c r="D89" s="572" t="inlineStr">
        <is>
          <t>Strategic non-BZ keeper</t>
        </is>
      </c>
      <c r="E89" s="572" t="n"/>
      <c r="F89" s="573" t="inlineStr">
        <is>
          <t>Remove</t>
        </is>
      </c>
      <c r="G89" s="572" t="inlineStr">
        <is>
          <t>OOS</t>
        </is>
      </c>
      <c r="H89" s="574" t="n">
        <v>466.22</v>
      </c>
      <c r="I89" s="574" t="n">
        <v>1155</v>
      </c>
      <c r="J89" s="574" t="n">
        <v>-210.75</v>
      </c>
      <c r="K89" s="601" t="n">
        <v>0.182</v>
      </c>
      <c r="L89" s="576" t="n">
        <v>11</v>
      </c>
      <c r="M89" s="574" t="n">
        <v>42.38</v>
      </c>
      <c r="N89" s="577" t="n">
        <v>0.0003</v>
      </c>
      <c r="O89" s="577" t="n">
        <v>0.9809</v>
      </c>
      <c r="P89" s="573" t="n">
        <v>9</v>
      </c>
      <c r="Q89" s="574" t="n">
        <v>10</v>
      </c>
      <c r="R89" s="576" t="n">
        <v>21</v>
      </c>
      <c r="S89" s="576" t="n">
        <v>0</v>
      </c>
      <c r="T89" s="576" t="n">
        <v>0</v>
      </c>
      <c r="U89" s="576" t="n">
        <v>0</v>
      </c>
      <c r="V89" s="576">
        <f>S286+T286</f>
        <v/>
      </c>
      <c r="W89" s="576">
        <f>S286+T286+U286</f>
        <v/>
      </c>
      <c r="X89" s="576">
        <f>W286*Q286</f>
        <v/>
      </c>
      <c r="Y89" s="574" t="n">
        <v>55</v>
      </c>
      <c r="Z89" s="574" t="n">
        <v>55</v>
      </c>
      <c r="AA89" s="573">
        <f>IF(Y286=Z286,"No","Yes")</f>
        <v/>
      </c>
      <c r="AB89" s="573" t="e">
        <v>#N/A</v>
      </c>
      <c r="AC89" s="572" t="e">
        <v>#N/A</v>
      </c>
    </row>
    <row r="90" ht="18" customHeight="1" s="229">
      <c r="A90" s="361" t="inlineStr">
        <is>
          <t>Shimmer Low Waist Brief</t>
        </is>
      </c>
      <c r="B90" s="362" t="inlineStr">
        <is>
          <t>Underwear</t>
        </is>
      </c>
      <c r="C90" s="589" t="inlineStr">
        <is>
          <t>REMOVE</t>
        </is>
      </c>
      <c r="D90" s="364" t="inlineStr">
        <is>
          <t>Very low sales (&lt;$500 in 90 days)</t>
        </is>
      </c>
      <c r="E90" s="364" t="inlineStr">
        <is>
          <t>3 — MEDIUM (selldown or markdown)</t>
        </is>
      </c>
      <c r="F90" s="365" t="inlineStr">
        <is>
          <t>Remove</t>
        </is>
      </c>
      <c r="G90" s="364" t="n"/>
      <c r="H90" s="366" t="n">
        <v>435</v>
      </c>
      <c r="I90" s="366" t="n">
        <v>500</v>
      </c>
      <c r="J90" s="366" t="n">
        <v>-65</v>
      </c>
      <c r="K90" s="380" t="n">
        <v>0.13</v>
      </c>
      <c r="L90" s="368" t="n">
        <v>20</v>
      </c>
      <c r="M90" s="366" t="n">
        <v>21.75</v>
      </c>
      <c r="N90" s="369" t="n">
        <v>0.0002</v>
      </c>
      <c r="O90" s="369" t="n">
        <v>0.982</v>
      </c>
      <c r="P90" s="365" t="n">
        <v>14</v>
      </c>
      <c r="Q90" s="366" t="n">
        <v>10</v>
      </c>
      <c r="R90" s="368" t="n">
        <v>16</v>
      </c>
      <c r="S90" s="368" t="n">
        <v>0</v>
      </c>
      <c r="T90" s="368" t="n">
        <v>75</v>
      </c>
      <c r="U90" s="368" t="n">
        <v>487</v>
      </c>
      <c r="V90" s="368">
        <f>S291+T291</f>
        <v/>
      </c>
      <c r="W90" s="368">
        <f>S291+T291+U291</f>
        <v/>
      </c>
      <c r="X90" s="368">
        <f>W291*Q291</f>
        <v/>
      </c>
      <c r="Y90" s="366" t="n">
        <v>25</v>
      </c>
      <c r="Z90" s="366" t="n">
        <v>25</v>
      </c>
      <c r="AA90" s="365">
        <f>IF(Y291=Z291,"No","Yes")</f>
        <v/>
      </c>
      <c r="AB90" s="365" t="inlineStr">
        <is>
          <t>NW241WU1322</t>
        </is>
      </c>
      <c r="AC90" s="364" t="inlineStr">
        <is>
          <t>低腰贴合内裤</t>
        </is>
      </c>
    </row>
    <row r="91" ht="18" customHeight="1" s="229">
      <c r="A91" s="590" t="inlineStr">
        <is>
          <t>Pliss√© Low Waist Brief</t>
        </is>
      </c>
      <c r="B91" s="591" t="inlineStr">
        <is>
          <t>Underwear</t>
        </is>
      </c>
      <c r="C91" s="592" t="inlineStr">
        <is>
          <t>REMOVE</t>
        </is>
      </c>
      <c r="D91" s="593" t="inlineStr">
        <is>
          <t>Very low sales (&lt;$500 in 90 days)</t>
        </is>
      </c>
      <c r="E91" s="593" t="inlineStr">
        <is>
          <t>3 — MEDIUM (selldown or markdown)</t>
        </is>
      </c>
      <c r="F91" s="594" t="inlineStr">
        <is>
          <t>Remove</t>
        </is>
      </c>
      <c r="G91" s="593" t="n"/>
      <c r="H91" s="595" t="n">
        <v>423.24</v>
      </c>
      <c r="I91" s="595" t="n">
        <v>585</v>
      </c>
      <c r="J91" s="595" t="n">
        <v>-161.76</v>
      </c>
      <c r="K91" s="600" t="n">
        <v>0.277</v>
      </c>
      <c r="L91" s="597" t="n">
        <v>25</v>
      </c>
      <c r="M91" s="595" t="n">
        <v>16.93</v>
      </c>
      <c r="N91" s="598" t="n">
        <v>0.0002</v>
      </c>
      <c r="O91" s="598" t="n">
        <v>0.9828</v>
      </c>
      <c r="P91" s="594" t="n">
        <v>5</v>
      </c>
      <c r="Q91" s="595" t="n">
        <v>10</v>
      </c>
      <c r="R91" s="597" t="n">
        <v>25</v>
      </c>
      <c r="S91" s="597" t="n">
        <v>0</v>
      </c>
      <c r="T91" s="597" t="n">
        <v>46</v>
      </c>
      <c r="U91" s="597" t="n">
        <v>367</v>
      </c>
      <c r="V91" s="597">
        <f>S295+T295</f>
        <v/>
      </c>
      <c r="W91" s="597">
        <f>S295+T295+U295</f>
        <v/>
      </c>
      <c r="X91" s="597">
        <f>W295*Q295</f>
        <v/>
      </c>
      <c r="Y91" s="595" t="n">
        <v>39</v>
      </c>
      <c r="Z91" s="595" t="n">
        <v>23.4</v>
      </c>
      <c r="AA91" s="594">
        <f>IF(Y295=Z295,"No","Yes")</f>
        <v/>
      </c>
      <c r="AB91" s="594" t="inlineStr">
        <is>
          <t>NW221WU1303</t>
        </is>
      </c>
      <c r="AC91" s="593" t="inlineStr">
        <is>
          <t>褶皱低腰内裤</t>
        </is>
      </c>
    </row>
    <row r="92" ht="18" customHeight="1" s="229">
      <c r="A92" s="361" t="inlineStr">
        <is>
          <t>Barely Zero Spaghetti Strap Bra Red Gift Set</t>
        </is>
      </c>
      <c r="B92" s="362" t="inlineStr">
        <is>
          <t>Underwear</t>
        </is>
      </c>
      <c r="C92" s="589" t="inlineStr">
        <is>
          <t>REMOVE</t>
        </is>
      </c>
      <c r="D92" s="364" t="inlineStr">
        <is>
          <t>Bundle/Gift Set — low velocity</t>
        </is>
      </c>
      <c r="E92" s="364" t="inlineStr">
        <is>
          <t>4 — LOW (natural sellthrough)</t>
        </is>
      </c>
      <c r="F92" s="365" t="inlineStr">
        <is>
          <t>Remove</t>
        </is>
      </c>
      <c r="G92" s="364" t="inlineStr">
        <is>
          <t>OOS</t>
        </is>
      </c>
      <c r="H92" s="366" t="n">
        <v>407</v>
      </c>
      <c r="I92" s="366" t="n">
        <v>440</v>
      </c>
      <c r="J92" s="366" t="n">
        <v>-33</v>
      </c>
      <c r="K92" s="380" t="n">
        <v>0.075</v>
      </c>
      <c r="L92" s="368" t="n">
        <v>8</v>
      </c>
      <c r="M92" s="366" t="n">
        <v>50.88</v>
      </c>
      <c r="N92" s="369" t="n">
        <v>0.0002</v>
      </c>
      <c r="O92" s="369" t="n">
        <v>0.9843999999999999</v>
      </c>
      <c r="P92" s="365" t="n">
        <v>1</v>
      </c>
      <c r="Q92" s="366" t="n">
        <v>10</v>
      </c>
      <c r="R92" s="368" t="n">
        <v>8</v>
      </c>
      <c r="S92" s="368" t="n">
        <v>0</v>
      </c>
      <c r="T92" s="368" t="n">
        <v>0</v>
      </c>
      <c r="U92" s="368" t="n">
        <v>0</v>
      </c>
      <c r="V92" s="368">
        <f>S303+T303</f>
        <v/>
      </c>
      <c r="W92" s="368">
        <f>S303+T303+U303</f>
        <v/>
      </c>
      <c r="X92" s="368">
        <f>W303*Q303</f>
        <v/>
      </c>
      <c r="Y92" s="366" t="n">
        <v>55</v>
      </c>
      <c r="Z92" s="366" t="n">
        <v>55</v>
      </c>
      <c r="AA92" s="365">
        <f>IF(Y303=Z303,"No","Yes")</f>
        <v/>
      </c>
      <c r="AB92" s="365" t="e">
        <v>#N/A</v>
      </c>
      <c r="AC92" s="364" t="e">
        <v>#N/A</v>
      </c>
    </row>
    <row r="93" ht="18" customHeight="1" s="229">
      <c r="A93" s="590" t="inlineStr">
        <is>
          <t>Pantie Pro Light Mid Waist Period Brief</t>
        </is>
      </c>
      <c r="B93" s="591" t="inlineStr">
        <is>
          <t>Underwear</t>
        </is>
      </c>
      <c r="C93" s="592" t="inlineStr">
        <is>
          <t>REMOVE</t>
        </is>
      </c>
      <c r="D93" s="593" t="inlineStr">
        <is>
          <t>Very low sales (&lt;$500 in 90 days)</t>
        </is>
      </c>
      <c r="E93" s="593" t="inlineStr">
        <is>
          <t>4 — LOW (natural sellthrough)</t>
        </is>
      </c>
      <c r="F93" s="594" t="inlineStr">
        <is>
          <t>Remove</t>
        </is>
      </c>
      <c r="G93" s="593" t="n"/>
      <c r="H93" s="595" t="n">
        <v>375.2</v>
      </c>
      <c r="I93" s="595" t="n">
        <v>560</v>
      </c>
      <c r="J93" s="595" t="n">
        <v>-155.05</v>
      </c>
      <c r="K93" s="600" t="n">
        <v>0.277</v>
      </c>
      <c r="L93" s="597" t="n">
        <v>15</v>
      </c>
      <c r="M93" s="595" t="n">
        <v>25.01</v>
      </c>
      <c r="N93" s="598" t="n">
        <v>0.0002</v>
      </c>
      <c r="O93" s="598" t="n">
        <v>0.9864000000000001</v>
      </c>
      <c r="P93" s="594" t="n">
        <v>5</v>
      </c>
      <c r="Q93" s="595" t="n">
        <v>10</v>
      </c>
      <c r="R93" s="597" t="n">
        <v>12</v>
      </c>
      <c r="S93" s="597" t="n">
        <v>0</v>
      </c>
      <c r="T93" s="597" t="n">
        <v>2</v>
      </c>
      <c r="U93" s="597" t="n">
        <v>54</v>
      </c>
      <c r="V93" s="597">
        <f>S313+T313</f>
        <v/>
      </c>
      <c r="W93" s="597">
        <f>S313+T313+U313</f>
        <v/>
      </c>
      <c r="X93" s="597">
        <f>W313*Q313</f>
        <v/>
      </c>
      <c r="Y93" s="595" t="n">
        <v>35</v>
      </c>
      <c r="Z93" s="595" t="n">
        <v>35</v>
      </c>
      <c r="AA93" s="594">
        <f>IF(Y313=Z313,"No","Yes")</f>
        <v/>
      </c>
      <c r="AB93" s="594" t="inlineStr">
        <is>
          <t>NW221WU1339</t>
        </is>
      </c>
      <c r="AC93" s="593" t="inlineStr">
        <is>
          <t>加长款棉质中腰内裤</t>
        </is>
      </c>
    </row>
    <row r="94" ht="18" customHeight="1" s="229">
      <c r="A94" s="361" t="inlineStr">
        <is>
          <t>Bandeau Bra - TikTok</t>
        </is>
      </c>
      <c r="B94" s="362" t="inlineStr">
        <is>
          <t>Underwear</t>
        </is>
      </c>
      <c r="C94" s="589" t="inlineStr">
        <is>
          <t>REMOVE</t>
        </is>
      </c>
      <c r="D94" s="364" t="inlineStr">
        <is>
          <t>TikTok duplicate — massive dead inventory</t>
        </is>
      </c>
      <c r="E94" s="364" t="inlineStr">
        <is>
          <t>2 — HIGH (excess inventory vs demand)</t>
        </is>
      </c>
      <c r="F94" s="365" t="inlineStr">
        <is>
          <t>Remove</t>
        </is>
      </c>
      <c r="G94" s="364" t="n"/>
      <c r="H94" s="366" t="n">
        <v>327.01</v>
      </c>
      <c r="I94" s="366" t="n">
        <v>342</v>
      </c>
      <c r="J94" s="366" t="n">
        <v>-14.99</v>
      </c>
      <c r="K94" s="380" t="n">
        <v>0.044</v>
      </c>
      <c r="L94" s="368" t="n">
        <v>9</v>
      </c>
      <c r="M94" s="366" t="n">
        <v>36.33</v>
      </c>
      <c r="N94" s="369" t="n">
        <v>0.0002</v>
      </c>
      <c r="O94" s="369" t="n">
        <v>0.9893999999999999</v>
      </c>
      <c r="P94" s="365" t="n">
        <v>10</v>
      </c>
      <c r="Q94" s="366" t="n">
        <v>10</v>
      </c>
      <c r="R94" s="368" t="n">
        <v>9</v>
      </c>
      <c r="S94" s="368" t="n">
        <v>0</v>
      </c>
      <c r="T94" s="368" t="n">
        <v>0</v>
      </c>
      <c r="U94" s="368" t="n">
        <v>0</v>
      </c>
      <c r="V94" s="368">
        <f>S327+T327</f>
        <v/>
      </c>
      <c r="W94" s="368">
        <f>S327+T327+U327</f>
        <v/>
      </c>
      <c r="X94" s="368">
        <f>W327*Q327</f>
        <v/>
      </c>
      <c r="Y94" s="366" t="n">
        <v>38</v>
      </c>
      <c r="Z94" s="366" t="n">
        <v>38</v>
      </c>
      <c r="AA94" s="365">
        <f>IF(Y327=Z327,"No","Yes")</f>
        <v/>
      </c>
      <c r="AB94" s="365" t="e">
        <v>#N/A</v>
      </c>
      <c r="AC94" s="364" t="e">
        <v>#N/A</v>
      </c>
    </row>
    <row r="95" ht="18" customHeight="1" s="229">
      <c r="A95" s="590" t="inlineStr">
        <is>
          <t>Belle Lace Wireless Bra</t>
        </is>
      </c>
      <c r="B95" s="591" t="inlineStr">
        <is>
          <t>Underwear</t>
        </is>
      </c>
      <c r="C95" s="592" t="inlineStr">
        <is>
          <t>REMOVE</t>
        </is>
      </c>
      <c r="D95" s="593" t="inlineStr">
        <is>
          <t>Very low sales (&lt;$500 in 90 days)</t>
        </is>
      </c>
      <c r="E95" s="593" t="inlineStr">
        <is>
          <t>1 — URGENT (high inventory, no sales)</t>
        </is>
      </c>
      <c r="F95" s="594" t="inlineStr">
        <is>
          <t>Remove</t>
        </is>
      </c>
      <c r="G95" s="593" t="n"/>
      <c r="H95" s="595" t="n">
        <v>324.24</v>
      </c>
      <c r="I95" s="595" t="n">
        <v>417.6</v>
      </c>
      <c r="J95" s="595" t="n">
        <v>-93.36</v>
      </c>
      <c r="K95" s="596" t="n">
        <v>0.224</v>
      </c>
      <c r="L95" s="597" t="n">
        <v>15</v>
      </c>
      <c r="M95" s="595" t="n">
        <v>21.62</v>
      </c>
      <c r="N95" s="598" t="n">
        <v>0.0002</v>
      </c>
      <c r="O95" s="598" t="n">
        <v>0.9895999999999999</v>
      </c>
      <c r="P95" s="594" t="n">
        <v>3</v>
      </c>
      <c r="Q95" s="595" t="n">
        <v>10</v>
      </c>
      <c r="R95" s="597" t="n">
        <v>13</v>
      </c>
      <c r="S95" s="597" t="n">
        <v>0</v>
      </c>
      <c r="T95" s="597" t="n">
        <v>1151</v>
      </c>
      <c r="U95" s="597" t="n">
        <v>0</v>
      </c>
      <c r="V95" s="597">
        <f>S328+T328</f>
        <v/>
      </c>
      <c r="W95" s="597">
        <f>S328+T328+U328</f>
        <v/>
      </c>
      <c r="X95" s="597">
        <f>W328*Q328</f>
        <v/>
      </c>
      <c r="Y95" s="595" t="n">
        <v>48</v>
      </c>
      <c r="Z95" s="595" t="n">
        <v>24</v>
      </c>
      <c r="AA95" s="594">
        <f>IF(Y328=Z328,"No","Yes")</f>
        <v/>
      </c>
      <c r="AB95" s="594" t="inlineStr">
        <is>
          <t>N212WU1101</t>
        </is>
      </c>
      <c r="AC95" s="593" t="inlineStr">
        <is>
          <t>蕾丝少尺码文胸</t>
        </is>
      </c>
    </row>
    <row r="96" ht="18" customHeight="1" s="229">
      <c r="A96" s="361" t="inlineStr">
        <is>
          <t>Basic Chic Bikini Brief</t>
        </is>
      </c>
      <c r="B96" s="362" t="inlineStr">
        <is>
          <t>Underwear</t>
        </is>
      </c>
      <c r="C96" s="589" t="inlineStr">
        <is>
          <t>REMOVE</t>
        </is>
      </c>
      <c r="D96" s="364" t="inlineStr">
        <is>
          <t>Very low sales (&lt;$500 in 90 days)</t>
        </is>
      </c>
      <c r="E96" s="364" t="inlineStr">
        <is>
          <t>4 — LOW (natural sellthrough)</t>
        </is>
      </c>
      <c r="F96" s="365" t="inlineStr">
        <is>
          <t>Remove</t>
        </is>
      </c>
      <c r="G96" s="364" t="n"/>
      <c r="H96" s="366" t="n">
        <v>303.79</v>
      </c>
      <c r="I96" s="366" t="n">
        <v>390</v>
      </c>
      <c r="J96" s="366" t="n">
        <v>-86.20999999999999</v>
      </c>
      <c r="K96" s="380" t="n">
        <v>0.221</v>
      </c>
      <c r="L96" s="368" t="n">
        <v>26</v>
      </c>
      <c r="M96" s="366" t="n">
        <v>11.68</v>
      </c>
      <c r="N96" s="369" t="n">
        <v>0.0002</v>
      </c>
      <c r="O96" s="369" t="n">
        <v>0.9912000000000001</v>
      </c>
      <c r="P96" s="365" t="n">
        <v>8</v>
      </c>
      <c r="Q96" s="366" t="n">
        <v>10</v>
      </c>
      <c r="R96" s="368" t="n">
        <v>21</v>
      </c>
      <c r="S96" s="368" t="n">
        <v>0</v>
      </c>
      <c r="T96" s="368" t="n">
        <v>25</v>
      </c>
      <c r="U96" s="368" t="n">
        <v>119</v>
      </c>
      <c r="V96" s="368">
        <f>S336+T336</f>
        <v/>
      </c>
      <c r="W96" s="368">
        <f>S336+T336+U336</f>
        <v/>
      </c>
      <c r="X96" s="368">
        <f>W336*Q336</f>
        <v/>
      </c>
      <c r="Y96" s="366" t="n">
        <v>15</v>
      </c>
      <c r="Z96" s="366" t="n">
        <v>15</v>
      </c>
      <c r="AA96" s="365">
        <f>IF(Y336=Z336,"No","Yes")</f>
        <v/>
      </c>
      <c r="AB96" s="365" t="inlineStr">
        <is>
          <t>NW231WU1325</t>
        </is>
      </c>
      <c r="AC96" s="364" t="inlineStr">
        <is>
          <t>中高腰高开衩内裤</t>
        </is>
      </c>
    </row>
    <row r="97" ht="18" customHeight="1" s="229">
      <c r="A97" s="590" t="inlineStr">
        <is>
          <t>Pantie Pro Light Low Waist Period Brief</t>
        </is>
      </c>
      <c r="B97" s="591" t="inlineStr">
        <is>
          <t>Underwear</t>
        </is>
      </c>
      <c r="C97" s="592" t="inlineStr">
        <is>
          <t>REMOVE</t>
        </is>
      </c>
      <c r="D97" s="593" t="inlineStr">
        <is>
          <t>Very low sales (&lt;$500 in 90 days)</t>
        </is>
      </c>
      <c r="E97" s="593" t="inlineStr">
        <is>
          <t>4 — LOW (natural sellthrough)</t>
        </is>
      </c>
      <c r="F97" s="594" t="inlineStr">
        <is>
          <t>Remove</t>
        </is>
      </c>
      <c r="G97" s="593" t="n"/>
      <c r="H97" s="595" t="n">
        <v>297.58</v>
      </c>
      <c r="I97" s="595" t="n">
        <v>464</v>
      </c>
      <c r="J97" s="595" t="n">
        <v>-125.82</v>
      </c>
      <c r="K97" s="600" t="n">
        <v>0.271</v>
      </c>
      <c r="L97" s="597" t="n">
        <v>14</v>
      </c>
      <c r="M97" s="595" t="n">
        <v>21.26</v>
      </c>
      <c r="N97" s="598" t="n">
        <v>0.0002</v>
      </c>
      <c r="O97" s="598" t="n">
        <v>0.9915999999999999</v>
      </c>
      <c r="P97" s="594" t="n">
        <v>3</v>
      </c>
      <c r="Q97" s="595" t="n">
        <v>10</v>
      </c>
      <c r="R97" s="597" t="n">
        <v>11</v>
      </c>
      <c r="S97" s="597" t="n">
        <v>0</v>
      </c>
      <c r="T97" s="597" t="n">
        <v>0</v>
      </c>
      <c r="U97" s="597" t="n">
        <v>244</v>
      </c>
      <c r="V97" s="597">
        <f>S338+T338</f>
        <v/>
      </c>
      <c r="W97" s="597">
        <f>S338+T338+U338</f>
        <v/>
      </c>
      <c r="X97" s="597">
        <f>W338*Q338</f>
        <v/>
      </c>
      <c r="Y97" s="595" t="n">
        <v>29</v>
      </c>
      <c r="Z97" s="595" t="n">
        <v>29</v>
      </c>
      <c r="AA97" s="594">
        <f>IF(Y338=Z338,"No","Yes")</f>
        <v/>
      </c>
      <c r="AB97" s="594" t="inlineStr">
        <is>
          <t>NW221WU1338</t>
        </is>
      </c>
      <c r="AC97" s="593" t="inlineStr">
        <is>
          <t>日常款莱卡低腰内裤</t>
        </is>
      </c>
    </row>
    <row r="98" ht="18" customHeight="1" s="229">
      <c r="A98" s="361" t="inlineStr">
        <is>
          <t>Lightweight Unpadded¬†Triangle Bra</t>
        </is>
      </c>
      <c r="B98" s="362" t="inlineStr">
        <is>
          <t>Underwear</t>
        </is>
      </c>
      <c r="C98" s="589" t="inlineStr">
        <is>
          <t>REMOVE</t>
        </is>
      </c>
      <c r="D98" s="364" t="inlineStr">
        <is>
          <t>Very low sales (&lt;$500 in 90 days)</t>
        </is>
      </c>
      <c r="E98" s="364" t="inlineStr">
        <is>
          <t>4 — LOW (natural sellthrough)</t>
        </is>
      </c>
      <c r="F98" s="365" t="inlineStr">
        <is>
          <t>Remove</t>
        </is>
      </c>
      <c r="G98" s="364" t="inlineStr">
        <is>
          <t>Almost OOS</t>
        </is>
      </c>
      <c r="H98" s="366" t="n">
        <v>260.7</v>
      </c>
      <c r="I98" s="366" t="n">
        <v>331.8</v>
      </c>
      <c r="J98" s="366" t="n">
        <v>-71.09999999999999</v>
      </c>
      <c r="K98" s="380" t="n">
        <v>0.214</v>
      </c>
      <c r="L98" s="368" t="n">
        <v>7</v>
      </c>
      <c r="M98" s="366" t="n">
        <v>37.24</v>
      </c>
      <c r="N98" s="369" t="n">
        <v>0.0001</v>
      </c>
      <c r="O98" s="369" t="n">
        <v>0.9932</v>
      </c>
      <c r="P98" s="365" t="n">
        <v>1</v>
      </c>
      <c r="Q98" s="366" t="n">
        <v>10</v>
      </c>
      <c r="R98" s="368" t="n">
        <v>6</v>
      </c>
      <c r="S98" s="368" t="n">
        <v>6</v>
      </c>
      <c r="T98" s="368" t="n">
        <v>0</v>
      </c>
      <c r="U98" s="368" t="n">
        <v>0</v>
      </c>
      <c r="V98" s="368">
        <f>S348+T348</f>
        <v/>
      </c>
      <c r="W98" s="368">
        <f>S348+T348+U348</f>
        <v/>
      </c>
      <c r="X98" s="368">
        <f>W348*Q348</f>
        <v/>
      </c>
      <c r="Y98" s="366" t="n">
        <v>79</v>
      </c>
      <c r="Z98" s="366" t="n">
        <v>47.4</v>
      </c>
      <c r="AA98" s="365">
        <f>IF(Y348=Z348,"No","Yes")</f>
        <v/>
      </c>
      <c r="AB98" s="365" t="inlineStr">
        <is>
          <t>NW221WU1184</t>
        </is>
      </c>
      <c r="AC98" s="364" t="inlineStr">
        <is>
          <t>轻薄无胸垫三角杯文胸</t>
        </is>
      </c>
    </row>
    <row r="99" ht="18" customHeight="1" s="229">
      <c r="A99" s="590" t="inlineStr">
        <is>
          <t>Cooling Briefs (3-Pack)</t>
        </is>
      </c>
      <c r="B99" s="591" t="inlineStr">
        <is>
          <t>Underwear</t>
        </is>
      </c>
      <c r="C99" s="592" t="inlineStr">
        <is>
          <t>REMOVE</t>
        </is>
      </c>
      <c r="D99" s="593" t="inlineStr">
        <is>
          <t>Very low sales (&lt;$500 in 90 days)</t>
        </is>
      </c>
      <c r="E99" s="593" t="inlineStr">
        <is>
          <t>4 — LOW (natural sellthrough)</t>
        </is>
      </c>
      <c r="F99" s="594" t="inlineStr">
        <is>
          <t>Remove</t>
        </is>
      </c>
      <c r="G99" s="593" t="n"/>
      <c r="H99" s="595" t="n">
        <v>253.79</v>
      </c>
      <c r="I99" s="595" t="n">
        <v>351</v>
      </c>
      <c r="J99" s="595" t="n">
        <v>-97.20999999999999</v>
      </c>
      <c r="K99" s="600" t="n">
        <v>0.277</v>
      </c>
      <c r="L99" s="597" t="n">
        <v>9</v>
      </c>
      <c r="M99" s="595" t="n">
        <v>28.2</v>
      </c>
      <c r="N99" s="598" t="n">
        <v>0.0001</v>
      </c>
      <c r="O99" s="598" t="n">
        <v>0.9934999999999999</v>
      </c>
      <c r="P99" s="594" t="n">
        <v>3</v>
      </c>
      <c r="Q99" s="595" t="n">
        <v>10</v>
      </c>
      <c r="R99" s="597" t="n">
        <v>8</v>
      </c>
      <c r="S99" s="597" t="n">
        <v>0</v>
      </c>
      <c r="T99" s="597" t="n">
        <v>9</v>
      </c>
      <c r="U99" s="597" t="n">
        <v>20</v>
      </c>
      <c r="V99" s="597">
        <f>S351+T351</f>
        <v/>
      </c>
      <c r="W99" s="597">
        <f>S351+T351+U351</f>
        <v/>
      </c>
      <c r="X99" s="597">
        <f>W351*Q351</f>
        <v/>
      </c>
      <c r="Y99" s="595" t="n">
        <v>39</v>
      </c>
      <c r="Z99" s="595" t="n">
        <v>39</v>
      </c>
      <c r="AA99" s="594">
        <f>IF(Y351=Z351,"No","Yes")</f>
        <v/>
      </c>
      <c r="AB99" s="594" t="inlineStr">
        <is>
          <t>NW231WU1502</t>
        </is>
      </c>
      <c r="AC99" s="593" t="inlineStr">
        <is>
          <t>夏季基础内裤3条装</t>
        </is>
      </c>
    </row>
    <row r="100" ht="18" customHeight="1" s="229">
      <c r="A100" s="361" t="inlineStr">
        <is>
          <t>Pantie Pro Overnight Mid Waist Period Brief</t>
        </is>
      </c>
      <c r="B100" s="362" t="inlineStr">
        <is>
          <t>Underwear</t>
        </is>
      </c>
      <c r="C100" s="589" t="inlineStr">
        <is>
          <t>REMOVE</t>
        </is>
      </c>
      <c r="D100" s="364" t="inlineStr">
        <is>
          <t>Very low sales (&lt;$500 in 90 days)</t>
        </is>
      </c>
      <c r="E100" s="364" t="inlineStr">
        <is>
          <t>4 — LOW (natural sellthrough)</t>
        </is>
      </c>
      <c r="F100" s="365" t="inlineStr">
        <is>
          <t>Remove</t>
        </is>
      </c>
      <c r="G100" s="364" t="n"/>
      <c r="H100" s="366" t="n">
        <v>202.91</v>
      </c>
      <c r="I100" s="366" t="n">
        <v>312</v>
      </c>
      <c r="J100" s="366" t="n">
        <v>-70.09</v>
      </c>
      <c r="K100" s="380" t="n">
        <v>0.225</v>
      </c>
      <c r="L100" s="368" t="n">
        <v>7</v>
      </c>
      <c r="M100" s="366" t="n">
        <v>28.99</v>
      </c>
      <c r="N100" s="369" t="n">
        <v>0.0001</v>
      </c>
      <c r="O100" s="369" t="n">
        <v>0.9952</v>
      </c>
      <c r="P100" s="365" t="n">
        <v>6</v>
      </c>
      <c r="Q100" s="366" t="n">
        <v>10</v>
      </c>
      <c r="R100" s="368" t="n">
        <v>8</v>
      </c>
      <c r="S100" s="368" t="n">
        <v>0</v>
      </c>
      <c r="T100" s="368" t="n">
        <v>13</v>
      </c>
      <c r="U100" s="368" t="n">
        <v>125</v>
      </c>
      <c r="V100" s="368">
        <f>S368+T368</f>
        <v/>
      </c>
      <c r="W100" s="368">
        <f>S368+T368+U368</f>
        <v/>
      </c>
      <c r="X100" s="368">
        <f>W368*Q368</f>
        <v/>
      </c>
      <c r="Y100" s="366" t="n">
        <v>39</v>
      </c>
      <c r="Z100" s="366" t="n">
        <v>39</v>
      </c>
      <c r="AA100" s="365">
        <f>IF(Y368=Z368,"No","Yes")</f>
        <v/>
      </c>
      <c r="AB100" s="365" t="inlineStr">
        <is>
          <t>NW221WU1340</t>
        </is>
      </c>
      <c r="AC100" s="364" t="inlineStr">
        <is>
          <t>夜用款棉质中腰内裤</t>
        </is>
      </c>
    </row>
    <row r="101" ht="18" customHeight="1" s="229">
      <c r="A101" s="590" t="inlineStr">
        <is>
          <t>Shimmer Plunge Bra</t>
        </is>
      </c>
      <c r="B101" s="591" t="inlineStr">
        <is>
          <t>Underwear</t>
        </is>
      </c>
      <c r="C101" s="592" t="inlineStr">
        <is>
          <t>REMOVE</t>
        </is>
      </c>
      <c r="D101" s="593" t="inlineStr">
        <is>
          <t>Very low sales (&lt;$500 in 90 days)</t>
        </is>
      </c>
      <c r="E101" s="593" t="inlineStr">
        <is>
          <t>4 — LOW (natural sellthrough)</t>
        </is>
      </c>
      <c r="F101" s="594" t="inlineStr">
        <is>
          <t>Remove</t>
        </is>
      </c>
      <c r="G101" s="593" t="n"/>
      <c r="H101" s="595" t="n">
        <v>178.65</v>
      </c>
      <c r="I101" s="595" t="n">
        <v>196</v>
      </c>
      <c r="J101" s="595" t="n">
        <v>-17.35</v>
      </c>
      <c r="K101" s="596" t="n">
        <v>0.08900000000000001</v>
      </c>
      <c r="L101" s="597" t="n">
        <v>4</v>
      </c>
      <c r="M101" s="595" t="n">
        <v>44.66</v>
      </c>
      <c r="N101" s="598" t="n">
        <v>0.0001</v>
      </c>
      <c r="O101" s="598" t="n">
        <v>0.996</v>
      </c>
      <c r="P101" s="594" t="n">
        <v>2</v>
      </c>
      <c r="Q101" s="595" t="n">
        <v>10</v>
      </c>
      <c r="R101" s="597" t="n">
        <v>3</v>
      </c>
      <c r="S101" s="597" t="n">
        <v>9</v>
      </c>
      <c r="T101" s="597" t="n">
        <v>0</v>
      </c>
      <c r="U101" s="597" t="n">
        <v>26</v>
      </c>
      <c r="V101" s="597">
        <f>S376+T376</f>
        <v/>
      </c>
      <c r="W101" s="597">
        <f>S376+T376+U376</f>
        <v/>
      </c>
      <c r="X101" s="597">
        <f>W376*Q376</f>
        <v/>
      </c>
      <c r="Y101" s="595" t="n">
        <v>49</v>
      </c>
      <c r="Z101" s="595" t="n">
        <v>49</v>
      </c>
      <c r="AA101" s="594">
        <f>IF(Y376=Z376,"No","Yes")</f>
        <v/>
      </c>
      <c r="AB101" s="594" t="inlineStr">
        <is>
          <t>NW241WU1134</t>
        </is>
      </c>
      <c r="AC101" s="593" t="inlineStr">
        <is>
          <t>软钢圈立体胶条长三角杯</t>
        </is>
      </c>
    </row>
    <row r="102" ht="18" customHeight="1" s="229">
      <c r="A102" s="361" t="inlineStr">
        <is>
          <t>Nursing Bra</t>
        </is>
      </c>
      <c r="B102" s="362" t="inlineStr">
        <is>
          <t>Underwear</t>
        </is>
      </c>
      <c r="C102" s="589" t="inlineStr">
        <is>
          <t>REMOVE</t>
        </is>
      </c>
      <c r="D102" s="364" t="inlineStr">
        <is>
          <t>Very low sales (&lt;$500 in 90 days)</t>
        </is>
      </c>
      <c r="E102" s="364" t="inlineStr">
        <is>
          <t>4 — LOW (natural sellthrough)</t>
        </is>
      </c>
      <c r="F102" s="365" t="inlineStr">
        <is>
          <t>Remove</t>
        </is>
      </c>
      <c r="G102" s="364" t="inlineStr">
        <is>
          <t>OOS</t>
        </is>
      </c>
      <c r="H102" s="366" t="n">
        <v>175.5</v>
      </c>
      <c r="I102" s="366" t="n">
        <v>195</v>
      </c>
      <c r="J102" s="366" t="n">
        <v>-19.5</v>
      </c>
      <c r="K102" s="380" t="n">
        <v>0.1</v>
      </c>
      <c r="L102" s="368" t="n">
        <v>3</v>
      </c>
      <c r="M102" s="366" t="n">
        <v>58.5</v>
      </c>
      <c r="N102" s="369" t="n">
        <v>0.0001</v>
      </c>
      <c r="O102" s="369" t="n">
        <v>0.9961</v>
      </c>
      <c r="P102" s="365" t="n">
        <v>1</v>
      </c>
      <c r="Q102" s="366" t="n">
        <v>10</v>
      </c>
      <c r="R102" s="368" t="n">
        <v>2</v>
      </c>
      <c r="S102" s="368" t="n">
        <v>0</v>
      </c>
      <c r="T102" s="368" t="n">
        <v>0</v>
      </c>
      <c r="U102" s="368" t="n">
        <v>0</v>
      </c>
      <c r="V102" s="368">
        <f>S377+T377</f>
        <v/>
      </c>
      <c r="W102" s="368">
        <f>S377+T377+U377</f>
        <v/>
      </c>
      <c r="X102" s="368">
        <f>W377*Q377</f>
        <v/>
      </c>
      <c r="Y102" s="366" t="n">
        <v>65</v>
      </c>
      <c r="Z102" s="366" t="n">
        <v>65</v>
      </c>
      <c r="AA102" s="365">
        <f>IF(Y377=Z377,"No","Yes")</f>
        <v/>
      </c>
      <c r="AB102" s="365" t="e">
        <v>#N/A</v>
      </c>
      <c r="AC102" s="364" t="e">
        <v>#N/A</v>
      </c>
    </row>
    <row r="103" ht="18" customHeight="1" s="229">
      <c r="A103" s="590" t="inlineStr">
        <is>
          <t>Modal Silk Briefs 3-Pack</t>
        </is>
      </c>
      <c r="B103" s="591" t="inlineStr">
        <is>
          <t>Underwear</t>
        </is>
      </c>
      <c r="C103" s="592" t="inlineStr">
        <is>
          <t>REMOVE</t>
        </is>
      </c>
      <c r="D103" s="593" t="inlineStr">
        <is>
          <t>Very low sales (&lt;$500 in 90 days)</t>
        </is>
      </c>
      <c r="E103" s="593" t="inlineStr">
        <is>
          <t>2 — HIGH (excess inventory vs demand)</t>
        </is>
      </c>
      <c r="F103" s="594" t="inlineStr">
        <is>
          <t>Keep</t>
        </is>
      </c>
      <c r="G103" s="593" t="inlineStr">
        <is>
          <t>Keep, New Product</t>
        </is>
      </c>
      <c r="H103" s="595" t="n">
        <v>162.83</v>
      </c>
      <c r="I103" s="595" t="n">
        <v>234</v>
      </c>
      <c r="J103" s="595" t="n">
        <v>-71.17</v>
      </c>
      <c r="K103" s="600" t="n">
        <v>0.304</v>
      </c>
      <c r="L103" s="597" t="n">
        <v>6</v>
      </c>
      <c r="M103" s="595" t="n">
        <v>27.14</v>
      </c>
      <c r="N103" s="598" t="n">
        <v>0.0001</v>
      </c>
      <c r="O103" s="598" t="n">
        <v>0.9964</v>
      </c>
      <c r="P103" s="594" t="n">
        <v>2</v>
      </c>
      <c r="Q103" s="595" t="n">
        <v>10</v>
      </c>
      <c r="R103" s="597" t="n">
        <v>6</v>
      </c>
      <c r="S103" s="597" t="n">
        <v>0</v>
      </c>
      <c r="T103" s="597" t="n">
        <v>528</v>
      </c>
      <c r="U103" s="597" t="n">
        <v>0</v>
      </c>
      <c r="V103" s="597">
        <f>S380+T380</f>
        <v/>
      </c>
      <c r="W103" s="597">
        <f>S380+T380+U380</f>
        <v/>
      </c>
      <c r="X103" s="597">
        <f>W380*Q380</f>
        <v/>
      </c>
      <c r="Y103" s="595" t="n">
        <v>39</v>
      </c>
      <c r="Z103" s="595" t="n">
        <v>39</v>
      </c>
      <c r="AA103" s="594">
        <f>IF(Y380=Z380,"No","Yes")</f>
        <v/>
      </c>
      <c r="AB103" s="594" t="inlineStr">
        <is>
          <t>NO261WU1507</t>
        </is>
      </c>
      <c r="AC103" s="593" t="inlineStr">
        <is>
          <t>莫代尔丝中腰内裤三条装</t>
        </is>
      </c>
    </row>
    <row r="104" ht="18" customHeight="1" s="229">
      <c r="A104" s="361" t="inlineStr">
        <is>
          <t>Barely Zero Plunge Bra Red Gift Set</t>
        </is>
      </c>
      <c r="B104" s="362" t="inlineStr">
        <is>
          <t>Underwear</t>
        </is>
      </c>
      <c r="C104" s="589" t="inlineStr">
        <is>
          <t>REMOVE</t>
        </is>
      </c>
      <c r="D104" s="364" t="inlineStr">
        <is>
          <t>Bundle/Gift Set — low velocity</t>
        </is>
      </c>
      <c r="E104" s="364" t="inlineStr">
        <is>
          <t>4 — LOW (natural sellthrough)</t>
        </is>
      </c>
      <c r="F104" s="365" t="inlineStr">
        <is>
          <t>Remove</t>
        </is>
      </c>
      <c r="G104" s="364" t="inlineStr">
        <is>
          <t>Almost OOS</t>
        </is>
      </c>
      <c r="H104" s="366" t="n">
        <v>140.25</v>
      </c>
      <c r="I104" s="366" t="n">
        <v>165</v>
      </c>
      <c r="J104" s="366" t="n">
        <v>-24.75</v>
      </c>
      <c r="K104" s="380" t="n">
        <v>0.15</v>
      </c>
      <c r="L104" s="368" t="n">
        <v>3</v>
      </c>
      <c r="M104" s="366" t="n">
        <v>46.75</v>
      </c>
      <c r="N104" s="369" t="n">
        <v>0.0001</v>
      </c>
      <c r="O104" s="369" t="n">
        <v>0.9972</v>
      </c>
      <c r="P104" s="365" t="n">
        <v>1</v>
      </c>
      <c r="Q104" s="366" t="n">
        <v>10</v>
      </c>
      <c r="R104" s="368" t="n">
        <v>3</v>
      </c>
      <c r="S104" s="368" t="n">
        <v>4</v>
      </c>
      <c r="T104" s="368" t="n">
        <v>0</v>
      </c>
      <c r="U104" s="368" t="n">
        <v>0</v>
      </c>
      <c r="V104" s="368">
        <f>S388+T388</f>
        <v/>
      </c>
      <c r="W104" s="368">
        <f>S388+T388+U388</f>
        <v/>
      </c>
      <c r="X104" s="368">
        <f>W388*Q388</f>
        <v/>
      </c>
      <c r="Y104" s="366" t="n">
        <v>55</v>
      </c>
      <c r="Z104" s="366" t="n">
        <v>55</v>
      </c>
      <c r="AA104" s="365">
        <f>IF(Y388=Z388,"No","Yes")</f>
        <v/>
      </c>
      <c r="AB104" s="365" t="inlineStr">
        <is>
          <t>NW242WA8905</t>
        </is>
      </c>
      <c r="AC104" s="364" t="inlineStr">
        <is>
          <t>云朵4.0红盒（美国）</t>
        </is>
      </c>
    </row>
    <row r="105" ht="18" customHeight="1" s="229">
      <c r="A105" s="590" t="inlineStr">
        <is>
          <t>Pure Beauty Bridal Low Waist Brief</t>
        </is>
      </c>
      <c r="B105" s="591" t="inlineStr">
        <is>
          <t>Underwear</t>
        </is>
      </c>
      <c r="C105" s="592" t="inlineStr">
        <is>
          <t>REMOVE</t>
        </is>
      </c>
      <c r="D105" s="593" t="inlineStr">
        <is>
          <t>Very low sales (&lt;$500 in 90 days)</t>
        </is>
      </c>
      <c r="E105" s="593" t="inlineStr">
        <is>
          <t>4 — LOW (natural sellthrough)</t>
        </is>
      </c>
      <c r="F105" s="594" t="inlineStr">
        <is>
          <t>Remove</t>
        </is>
      </c>
      <c r="G105" s="593" t="inlineStr">
        <is>
          <t>Almost OOS</t>
        </is>
      </c>
      <c r="H105" s="595" t="n">
        <v>127.38</v>
      </c>
      <c r="I105" s="595" t="n">
        <v>176.4</v>
      </c>
      <c r="J105" s="595" t="n">
        <v>-49.02</v>
      </c>
      <c r="K105" s="600" t="n">
        <v>0.278</v>
      </c>
      <c r="L105" s="597" t="n">
        <v>6</v>
      </c>
      <c r="M105" s="595" t="n">
        <v>21.23</v>
      </c>
      <c r="N105" s="598" t="n">
        <v>0.0001</v>
      </c>
      <c r="O105" s="598" t="n">
        <v>0.9976999999999999</v>
      </c>
      <c r="P105" s="594" t="n">
        <v>2</v>
      </c>
      <c r="Q105" s="595" t="n">
        <v>10</v>
      </c>
      <c r="R105" s="597" t="n">
        <v>6</v>
      </c>
      <c r="S105" s="597" t="n">
        <v>0</v>
      </c>
      <c r="T105" s="597" t="n">
        <v>7</v>
      </c>
      <c r="U105" s="597" t="n">
        <v>0</v>
      </c>
      <c r="V105" s="597">
        <f>S393+T393</f>
        <v/>
      </c>
      <c r="W105" s="597">
        <f>S393+T393+U393</f>
        <v/>
      </c>
      <c r="X105" s="597">
        <f>W393*Q393</f>
        <v/>
      </c>
      <c r="Y105" s="595" t="n">
        <v>49</v>
      </c>
      <c r="Z105" s="595" t="n">
        <v>29.4</v>
      </c>
      <c r="AA105" s="594">
        <f>IF(Y393=Z393,"No","Yes")</f>
        <v/>
      </c>
      <c r="AB105" s="594" t="inlineStr">
        <is>
          <t>N212WU2108</t>
        </is>
      </c>
      <c r="AC105" s="593" t="inlineStr">
        <is>
          <t>低腰内裤</t>
        </is>
      </c>
    </row>
    <row r="106" ht="18" customHeight="1" s="229">
      <c r="A106" s="361" t="inlineStr">
        <is>
          <t>Thin¬†Strap¬†Low¬†Waist¬†Brief</t>
        </is>
      </c>
      <c r="B106" s="362" t="inlineStr">
        <is>
          <t>Underwear</t>
        </is>
      </c>
      <c r="C106" s="589" t="inlineStr">
        <is>
          <t>REMOVE</t>
        </is>
      </c>
      <c r="D106" s="364" t="inlineStr">
        <is>
          <t>Very low sales (&lt;$500 in 90 days)</t>
        </is>
      </c>
      <c r="E106" s="364" t="inlineStr">
        <is>
          <t>4 — LOW (natural sellthrough)</t>
        </is>
      </c>
      <c r="F106" s="365" t="inlineStr">
        <is>
          <t>Remove</t>
        </is>
      </c>
      <c r="G106" s="364" t="n"/>
      <c r="H106" s="366" t="n">
        <v>120.51</v>
      </c>
      <c r="I106" s="366" t="n">
        <v>163.8</v>
      </c>
      <c r="J106" s="366" t="n">
        <v>-43.29</v>
      </c>
      <c r="K106" s="367" t="n">
        <v>0.264</v>
      </c>
      <c r="L106" s="368" t="n">
        <v>7</v>
      </c>
      <c r="M106" s="366" t="n">
        <v>17.22</v>
      </c>
      <c r="N106" s="369" t="n">
        <v>0.0001</v>
      </c>
      <c r="O106" s="369" t="n">
        <v>0.998</v>
      </c>
      <c r="P106" s="365" t="n">
        <v>1</v>
      </c>
      <c r="Q106" s="366" t="n">
        <v>10</v>
      </c>
      <c r="R106" s="368" t="n">
        <v>6</v>
      </c>
      <c r="S106" s="368" t="n">
        <v>0</v>
      </c>
      <c r="T106" s="368" t="n">
        <v>4</v>
      </c>
      <c r="U106" s="368" t="n">
        <v>33</v>
      </c>
      <c r="V106" s="368">
        <f>S396+T396</f>
        <v/>
      </c>
      <c r="W106" s="368">
        <f>S396+T396+U396</f>
        <v/>
      </c>
      <c r="X106" s="368">
        <f>W396*Q396</f>
        <v/>
      </c>
      <c r="Y106" s="366" t="n">
        <v>39</v>
      </c>
      <c r="Z106" s="366" t="n">
        <v>23.4</v>
      </c>
      <c r="AA106" s="365">
        <f>IF(Y396=Z396,"No","Yes")</f>
        <v/>
      </c>
      <c r="AB106" s="365" t="inlineStr">
        <is>
          <t>NW221WU1322</t>
        </is>
      </c>
      <c r="AC106" s="364" t="inlineStr">
        <is>
          <t>细带低腰内裤</t>
        </is>
      </c>
    </row>
    <row r="107" ht="18" customHeight="1" s="229">
      <c r="A107" s="590" t="inlineStr">
        <is>
          <t>Nude Shape Low Waist Brief</t>
        </is>
      </c>
      <c r="B107" s="591" t="inlineStr">
        <is>
          <t>Underwear</t>
        </is>
      </c>
      <c r="C107" s="592" t="inlineStr">
        <is>
          <t>REMOVE</t>
        </is>
      </c>
      <c r="D107" s="593" t="inlineStr">
        <is>
          <t>Very low sales (&lt;$500 in 90 days)</t>
        </is>
      </c>
      <c r="E107" s="593" t="inlineStr">
        <is>
          <t>2 — HIGH (excess inventory vs demand)</t>
        </is>
      </c>
      <c r="F107" s="594" t="inlineStr">
        <is>
          <t>Remove</t>
        </is>
      </c>
      <c r="G107" s="593" t="n"/>
      <c r="H107" s="595" t="n">
        <v>119.13</v>
      </c>
      <c r="I107" s="595" t="n">
        <v>157.5</v>
      </c>
      <c r="J107" s="595" t="n">
        <v>-38.37</v>
      </c>
      <c r="K107" s="596" t="n">
        <v>0.244</v>
      </c>
      <c r="L107" s="597" t="n">
        <v>11</v>
      </c>
      <c r="M107" s="595" t="n">
        <v>10.83</v>
      </c>
      <c r="N107" s="598" t="n">
        <v>0.0001</v>
      </c>
      <c r="O107" s="598" t="n">
        <v>0.9981</v>
      </c>
      <c r="P107" s="594" t="n">
        <v>3</v>
      </c>
      <c r="Q107" s="595" t="n">
        <v>10</v>
      </c>
      <c r="R107" s="597" t="n">
        <v>10</v>
      </c>
      <c r="S107" s="597" t="n">
        <v>0</v>
      </c>
      <c r="T107" s="597" t="n">
        <v>55</v>
      </c>
      <c r="U107" s="597" t="n">
        <v>0</v>
      </c>
      <c r="V107" s="597">
        <f>S397+T397</f>
        <v/>
      </c>
      <c r="W107" s="597">
        <f>S397+T397+U397</f>
        <v/>
      </c>
      <c r="X107" s="597">
        <f>W397*Q397</f>
        <v/>
      </c>
      <c r="Y107" s="595" t="n">
        <v>25</v>
      </c>
      <c r="Z107" s="595" t="n">
        <v>12.5</v>
      </c>
      <c r="AA107" s="594">
        <f>IF(Y397=Z397,"No","Yes")</f>
        <v/>
      </c>
      <c r="AB107" s="594" t="inlineStr">
        <is>
          <t>N211WU2101</t>
        </is>
      </c>
      <c r="AC107" s="593" t="inlineStr">
        <is>
          <t>低腰贴合内裤</t>
        </is>
      </c>
    </row>
    <row r="108" ht="18" customHeight="1" s="229">
      <c r="A108" s="361" t="inlineStr">
        <is>
          <t>Velvet Low-Waist Brief</t>
        </is>
      </c>
      <c r="B108" s="362" t="inlineStr">
        <is>
          <t>Underwear</t>
        </is>
      </c>
      <c r="C108" s="589" t="inlineStr">
        <is>
          <t>REMOVE</t>
        </is>
      </c>
      <c r="D108" s="364" t="inlineStr">
        <is>
          <t>Very low sales (&lt;$500 in 90 days)</t>
        </is>
      </c>
      <c r="E108" s="364" t="inlineStr">
        <is>
          <t>4 — LOW (natural sellthrough)</t>
        </is>
      </c>
      <c r="F108" s="365" t="inlineStr">
        <is>
          <t>Remove</t>
        </is>
      </c>
      <c r="G108" s="364" t="inlineStr">
        <is>
          <t>Almost OOS</t>
        </is>
      </c>
      <c r="H108" s="366" t="n">
        <v>104.38</v>
      </c>
      <c r="I108" s="366" t="n">
        <v>137.5</v>
      </c>
      <c r="J108" s="366" t="n">
        <v>-33.12</v>
      </c>
      <c r="K108" s="380" t="n">
        <v>0.241</v>
      </c>
      <c r="L108" s="368" t="n">
        <v>11</v>
      </c>
      <c r="M108" s="366" t="n">
        <v>9.49</v>
      </c>
      <c r="N108" s="369" t="n">
        <v>0.0001</v>
      </c>
      <c r="O108" s="369" t="n">
        <v>0.9984000000000001</v>
      </c>
      <c r="P108" s="365" t="n">
        <v>2</v>
      </c>
      <c r="Q108" s="366" t="n">
        <v>10</v>
      </c>
      <c r="R108" s="368" t="n">
        <v>11</v>
      </c>
      <c r="S108" s="368" t="n">
        <v>0</v>
      </c>
      <c r="T108" s="368" t="n">
        <v>6</v>
      </c>
      <c r="U108" s="368" t="n">
        <v>0</v>
      </c>
      <c r="V108" s="368">
        <f>S400+T400</f>
        <v/>
      </c>
      <c r="W108" s="368">
        <f>S400+T400+U400</f>
        <v/>
      </c>
      <c r="X108" s="368">
        <f>W400*Q400</f>
        <v/>
      </c>
      <c r="Y108" s="366" t="n">
        <v>25</v>
      </c>
      <c r="Z108" s="366" t="n">
        <v>12.5</v>
      </c>
      <c r="AA108" s="365">
        <f>IF(Y400=Z400,"No","Yes")</f>
        <v/>
      </c>
      <c r="AB108" s="365" t="inlineStr">
        <is>
          <t>N212WU2110</t>
        </is>
      </c>
      <c r="AC108" s="364" t="inlineStr">
        <is>
          <t>丝绒低腰内裤</t>
        </is>
      </c>
    </row>
    <row r="109" ht="18" customHeight="1" s="229">
      <c r="A109" s="590" t="inlineStr">
        <is>
          <t>Belle Lace Mid-Waist Brief</t>
        </is>
      </c>
      <c r="B109" s="591" t="inlineStr">
        <is>
          <t>Underwear</t>
        </is>
      </c>
      <c r="C109" s="592" t="inlineStr">
        <is>
          <t>REMOVE</t>
        </is>
      </c>
      <c r="D109" s="593" t="inlineStr">
        <is>
          <t>Negligible sales (&lt;$100 in 90 days)</t>
        </is>
      </c>
      <c r="E109" s="593" t="inlineStr">
        <is>
          <t>4 — LOW (natural sellthrough)</t>
        </is>
      </c>
      <c r="F109" s="594" t="inlineStr">
        <is>
          <t>Remove</t>
        </is>
      </c>
      <c r="G109" s="593" t="inlineStr">
        <is>
          <t>OOS</t>
        </is>
      </c>
      <c r="H109" s="595" t="n">
        <v>88.59999999999999</v>
      </c>
      <c r="I109" s="595" t="n">
        <v>117.6</v>
      </c>
      <c r="J109" s="595" t="n">
        <v>-29</v>
      </c>
      <c r="K109" s="596" t="n">
        <v>0.247</v>
      </c>
      <c r="L109" s="597" t="n">
        <v>7</v>
      </c>
      <c r="M109" s="595" t="n">
        <v>12.66</v>
      </c>
      <c r="N109" s="594" t="n">
        <v>0</v>
      </c>
      <c r="O109" s="598" t="n">
        <v>0.9989</v>
      </c>
      <c r="P109" s="594" t="n">
        <v>2</v>
      </c>
      <c r="Q109" s="595" t="n">
        <v>10</v>
      </c>
      <c r="R109" s="597" t="n">
        <v>5</v>
      </c>
      <c r="S109" s="597" t="n">
        <v>0</v>
      </c>
      <c r="T109" s="597" t="n">
        <v>0</v>
      </c>
      <c r="U109" s="597" t="n">
        <v>0</v>
      </c>
      <c r="V109" s="597">
        <f>S407+T407</f>
        <v/>
      </c>
      <c r="W109" s="597">
        <f>S407+T407+U407</f>
        <v/>
      </c>
      <c r="X109" s="597">
        <f>W407*Q407</f>
        <v/>
      </c>
      <c r="Y109" s="595" t="n">
        <v>28</v>
      </c>
      <c r="Z109" s="595" t="n">
        <v>16.8</v>
      </c>
      <c r="AA109" s="594">
        <f>IF(Y407=Z407,"No","Yes")</f>
        <v/>
      </c>
      <c r="AB109" s="594" t="e">
        <v>#N/A</v>
      </c>
      <c r="AC109" s="593" t="e">
        <v>#N/A</v>
      </c>
    </row>
    <row r="110" ht="18" customHeight="1" s="229">
      <c r="A110" s="361" t="inlineStr">
        <is>
          <t>Shimmer Scoop Bra</t>
        </is>
      </c>
      <c r="B110" s="362" t="inlineStr">
        <is>
          <t>Underwear</t>
        </is>
      </c>
      <c r="C110" s="589" t="inlineStr">
        <is>
          <t>REMOVE</t>
        </is>
      </c>
      <c r="D110" s="364" t="inlineStr">
        <is>
          <t>Negligible sales (&lt;$100 in 90 days)</t>
        </is>
      </c>
      <c r="E110" s="364" t="inlineStr">
        <is>
          <t>4 — LOW (natural sellthrough)</t>
        </is>
      </c>
      <c r="F110" s="365" t="inlineStr">
        <is>
          <t>Remove</t>
        </is>
      </c>
      <c r="G110" s="364" t="inlineStr">
        <is>
          <t>OOS</t>
        </is>
      </c>
      <c r="H110" s="366" t="n">
        <v>75.95</v>
      </c>
      <c r="I110" s="366" t="n">
        <v>98</v>
      </c>
      <c r="J110" s="366" t="n">
        <v>-22.05</v>
      </c>
      <c r="K110" s="380" t="n">
        <v>0.225</v>
      </c>
      <c r="L110" s="368" t="n">
        <v>2</v>
      </c>
      <c r="M110" s="366" t="n">
        <v>37.98</v>
      </c>
      <c r="N110" s="365" t="n">
        <v>0</v>
      </c>
      <c r="O110" s="369" t="n">
        <v>0.9989</v>
      </c>
      <c r="P110" s="365" t="n">
        <v>1</v>
      </c>
      <c r="Q110" s="366" t="n">
        <v>10</v>
      </c>
      <c r="R110" s="368" t="n">
        <v>2</v>
      </c>
      <c r="S110" s="368" t="n">
        <v>0</v>
      </c>
      <c r="T110" s="368" t="n">
        <v>0</v>
      </c>
      <c r="U110" s="368" t="n">
        <v>0</v>
      </c>
      <c r="V110" s="368">
        <f>S414+T414</f>
        <v/>
      </c>
      <c r="W110" s="368">
        <f>S414+T414+U414</f>
        <v/>
      </c>
      <c r="X110" s="368">
        <f>W414*Q414</f>
        <v/>
      </c>
      <c r="Y110" s="366" t="n">
        <v>49</v>
      </c>
      <c r="Z110" s="366" t="n">
        <v>49</v>
      </c>
      <c r="AA110" s="365">
        <f>IF(Y414=Z414,"No","Yes")</f>
        <v/>
      </c>
      <c r="AB110" s="365" t="e">
        <v>#N/A</v>
      </c>
      <c r="AC110" s="364" t="e">
        <v>#N/A</v>
      </c>
    </row>
    <row r="111" ht="18" customHeight="1" s="229">
      <c r="A111" s="590" t="inlineStr">
        <is>
          <t>Barely Zero Classic Bra</t>
        </is>
      </c>
      <c r="B111" s="591" t="inlineStr">
        <is>
          <t>Underwear</t>
        </is>
      </c>
      <c r="C111" s="592" t="inlineStr">
        <is>
          <t>REMOVE</t>
        </is>
      </c>
      <c r="D111" s="593" t="inlineStr">
        <is>
          <t>Negligible sales (&lt;$100 in 90 days)</t>
        </is>
      </c>
      <c r="E111" s="593" t="inlineStr">
        <is>
          <t>4 — LOW (natural sellthrough)</t>
        </is>
      </c>
      <c r="F111" s="594" t="inlineStr">
        <is>
          <t>Remove</t>
        </is>
      </c>
      <c r="G111" s="593" t="inlineStr">
        <is>
          <t>Almost OOS</t>
        </is>
      </c>
      <c r="H111" s="595" t="n">
        <v>60.45</v>
      </c>
      <c r="I111" s="595" t="n">
        <v>117</v>
      </c>
      <c r="J111" s="595" t="n">
        <v>-23.4</v>
      </c>
      <c r="K111" s="596" t="n">
        <v>0.2</v>
      </c>
      <c r="L111" s="597" t="n">
        <v>2</v>
      </c>
      <c r="M111" s="595" t="n">
        <v>30.22</v>
      </c>
      <c r="N111" s="594" t="n">
        <v>0</v>
      </c>
      <c r="O111" s="598" t="n">
        <v>0.9989</v>
      </c>
      <c r="P111" s="594" t="n">
        <v>4</v>
      </c>
      <c r="Q111" s="595" t="n">
        <v>10</v>
      </c>
      <c r="R111" s="597" t="n">
        <v>3</v>
      </c>
      <c r="S111" s="597" t="n">
        <v>2</v>
      </c>
      <c r="T111" s="597" t="n">
        <v>0</v>
      </c>
      <c r="U111" s="597" t="n">
        <v>0</v>
      </c>
      <c r="V111" s="597">
        <f>S424+T424</f>
        <v/>
      </c>
      <c r="W111" s="597">
        <f>S424+T424+U424</f>
        <v/>
      </c>
      <c r="X111" s="597">
        <f>W424*Q424</f>
        <v/>
      </c>
      <c r="Y111" s="595" t="n">
        <v>39</v>
      </c>
      <c r="Z111" s="595" t="n">
        <v>39</v>
      </c>
      <c r="AA111" s="594">
        <f>IF(Y424=Z424,"No","Yes")</f>
        <v/>
      </c>
      <c r="AB111" s="594" t="inlineStr">
        <is>
          <t>N211WU1121</t>
        </is>
      </c>
      <c r="AC111" s="593" t="inlineStr">
        <is>
          <t>后V背心款文胸</t>
        </is>
      </c>
    </row>
    <row r="112" ht="18" customHeight="1" s="229">
      <c r="A112" s="578" t="inlineStr">
        <is>
          <t>Essential Bandeau Bra 2.0</t>
        </is>
      </c>
      <c r="B112" s="579" t="inlineStr">
        <is>
          <t>Underwear</t>
        </is>
      </c>
      <c r="C112" s="587" t="inlineStr">
        <is>
          <t>KEEP — Tier 2</t>
        </is>
      </c>
      <c r="D112" s="581" t="inlineStr">
        <is>
          <t>Strategic non-BZ keeper</t>
        </is>
      </c>
      <c r="E112" s="581" t="n"/>
      <c r="F112" s="582" t="inlineStr">
        <is>
          <t>Remove</t>
        </is>
      </c>
      <c r="G112" s="581" t="inlineStr">
        <is>
          <t>Almost OOS</t>
        </is>
      </c>
      <c r="H112" s="583" t="n">
        <v>55</v>
      </c>
      <c r="I112" s="583" t="n">
        <v>220</v>
      </c>
      <c r="J112" s="583" t="n">
        <v>0</v>
      </c>
      <c r="K112" s="582" t="n">
        <v>0</v>
      </c>
      <c r="L112" s="585" t="n">
        <v>1</v>
      </c>
      <c r="M112" s="583" t="n">
        <v>55</v>
      </c>
      <c r="N112" s="582" t="n">
        <v>0</v>
      </c>
      <c r="O112" s="586" t="n">
        <v>0.9989</v>
      </c>
      <c r="P112" s="582" t="n">
        <v>2</v>
      </c>
      <c r="Q112" s="583" t="n">
        <v>10</v>
      </c>
      <c r="R112" s="585" t="n">
        <v>4</v>
      </c>
      <c r="S112" s="585" t="n">
        <v>1</v>
      </c>
      <c r="T112" s="585" t="n">
        <v>0</v>
      </c>
      <c r="U112" s="585" t="n">
        <v>0</v>
      </c>
      <c r="V112" s="585">
        <f>S427+T427</f>
        <v/>
      </c>
      <c r="W112" s="585">
        <f>S427+T427+U427</f>
        <v/>
      </c>
      <c r="X112" s="585">
        <f>W427*Q427</f>
        <v/>
      </c>
      <c r="Y112" s="583" t="n">
        <v>55</v>
      </c>
      <c r="Z112" s="583" t="n">
        <v>55</v>
      </c>
      <c r="AA112" s="582">
        <f>IF(Y427=Z427,"No","Yes")</f>
        <v/>
      </c>
      <c r="AB112" s="582" t="inlineStr">
        <is>
          <t>NW231WU1134</t>
        </is>
      </c>
      <c r="AC112" s="581" t="inlineStr">
        <is>
          <t>抹胸</t>
        </is>
      </c>
    </row>
    <row r="113" ht="18" customHeight="1" s="229">
      <c r="A113" s="590" t="inlineStr">
        <is>
          <t>Pure Beauty Bridal Ruched Corset</t>
        </is>
      </c>
      <c r="B113" s="591" t="inlineStr">
        <is>
          <t>Underwear</t>
        </is>
      </c>
      <c r="C113" s="592" t="inlineStr">
        <is>
          <t>REMOVE</t>
        </is>
      </c>
      <c r="D113" s="593" t="inlineStr">
        <is>
          <t>Negligible sales (&lt;$100 in 90 days)</t>
        </is>
      </c>
      <c r="E113" s="593" t="inlineStr">
        <is>
          <t>4 — LOW (natural sellthrough)</t>
        </is>
      </c>
      <c r="F113" s="594" t="inlineStr">
        <is>
          <t>Remove</t>
        </is>
      </c>
      <c r="G113" s="593" t="inlineStr">
        <is>
          <t>OOS</t>
        </is>
      </c>
      <c r="H113" s="595" t="n">
        <v>54.21</v>
      </c>
      <c r="I113" s="595" t="n">
        <v>83.40000000000001</v>
      </c>
      <c r="J113" s="595" t="n">
        <v>-29.19</v>
      </c>
      <c r="K113" s="600" t="n">
        <v>0.35</v>
      </c>
      <c r="L113" s="597" t="n">
        <v>1</v>
      </c>
      <c r="M113" s="595" t="n">
        <v>54.21</v>
      </c>
      <c r="N113" s="594" t="n">
        <v>0</v>
      </c>
      <c r="O113" s="598" t="n">
        <v>0.9989</v>
      </c>
      <c r="P113" s="594" t="n">
        <v>1</v>
      </c>
      <c r="Q113" s="595" t="n">
        <v>10</v>
      </c>
      <c r="R113" s="597" t="n">
        <v>1</v>
      </c>
      <c r="S113" s="597" t="n">
        <v>0</v>
      </c>
      <c r="T113" s="597" t="n">
        <v>0</v>
      </c>
      <c r="U113" s="597" t="n">
        <v>0</v>
      </c>
      <c r="V113" s="597">
        <f>S428+T428</f>
        <v/>
      </c>
      <c r="W113" s="597">
        <f>S428+T428+U428</f>
        <v/>
      </c>
      <c r="X113" s="597">
        <f>W428*Q428</f>
        <v/>
      </c>
      <c r="Y113" s="595" t="n">
        <v>139</v>
      </c>
      <c r="Z113" s="595" t="n">
        <v>83.40000000000001</v>
      </c>
      <c r="AA113" s="594">
        <f>IF(Y428=Z428,"No","Yes")</f>
        <v/>
      </c>
      <c r="AB113" s="594" t="e">
        <v>#N/A</v>
      </c>
      <c r="AC113" s="593" t="e">
        <v>#N/A</v>
      </c>
    </row>
    <row r="114" ht="18" customHeight="1" s="229">
      <c r="A114" s="361" t="inlineStr">
        <is>
          <t>Maternity Crossover Low Waist Brief</t>
        </is>
      </c>
      <c r="B114" s="362" t="inlineStr">
        <is>
          <t>Underwear</t>
        </is>
      </c>
      <c r="C114" s="589" t="inlineStr">
        <is>
          <t>REMOVE</t>
        </is>
      </c>
      <c r="D114" s="364" t="inlineStr">
        <is>
          <t>Negligible sales (&lt;$100 in 90 days)</t>
        </is>
      </c>
      <c r="E114" s="364" t="inlineStr">
        <is>
          <t>4 — LOW (natural sellthrough)</t>
        </is>
      </c>
      <c r="F114" s="365" t="inlineStr">
        <is>
          <t>Remove</t>
        </is>
      </c>
      <c r="G114" s="364" t="inlineStr">
        <is>
          <t>Almost OOS</t>
        </is>
      </c>
      <c r="H114" s="366" t="n">
        <v>52.5</v>
      </c>
      <c r="I114" s="366" t="n">
        <v>75</v>
      </c>
      <c r="J114" s="366" t="n">
        <v>-22.5</v>
      </c>
      <c r="K114" s="367" t="n">
        <v>0.3</v>
      </c>
      <c r="L114" s="368" t="n">
        <v>3</v>
      </c>
      <c r="M114" s="366" t="n">
        <v>17.5</v>
      </c>
      <c r="N114" s="365" t="n">
        <v>0</v>
      </c>
      <c r="O114" s="369" t="n">
        <v>0.9989</v>
      </c>
      <c r="P114" s="365" t="n">
        <v>2</v>
      </c>
      <c r="Q114" s="366" t="n">
        <v>10</v>
      </c>
      <c r="R114" s="368" t="n">
        <v>3</v>
      </c>
      <c r="S114" s="368" t="n">
        <v>0</v>
      </c>
      <c r="T114" s="368" t="n">
        <v>8</v>
      </c>
      <c r="U114" s="368" t="n">
        <v>0</v>
      </c>
      <c r="V114" s="368">
        <f>S430+T430</f>
        <v/>
      </c>
      <c r="W114" s="368">
        <f>S430+T430+U430</f>
        <v/>
      </c>
      <c r="X114" s="368">
        <f>W430*Q430</f>
        <v/>
      </c>
      <c r="Y114" s="366" t="n">
        <v>25</v>
      </c>
      <c r="Z114" s="366" t="n">
        <v>25</v>
      </c>
      <c r="AA114" s="365">
        <f>IF(Y430=Z430,"No","Yes")</f>
        <v/>
      </c>
      <c r="AB114" s="365" t="inlineStr">
        <is>
          <t>NW231WU1332</t>
        </is>
      </c>
      <c r="AC114" s="364" t="inlineStr">
        <is>
          <t>低腰交叉内裤</t>
        </is>
      </c>
    </row>
    <row r="115" ht="18" customHeight="1" s="229">
      <c r="A115" s="590" t="inlineStr">
        <is>
          <t>Nude Shape Foundation Bra</t>
        </is>
      </c>
      <c r="B115" s="591" t="inlineStr">
        <is>
          <t>Underwear</t>
        </is>
      </c>
      <c r="C115" s="592" t="inlineStr">
        <is>
          <t>REMOVE</t>
        </is>
      </c>
      <c r="D115" s="593" t="inlineStr">
        <is>
          <t>Negligible sales (&lt;$100 in 90 days)</t>
        </is>
      </c>
      <c r="E115" s="593" t="inlineStr">
        <is>
          <t>4 — LOW (natural sellthrough)</t>
        </is>
      </c>
      <c r="F115" s="594" t="inlineStr">
        <is>
          <t>Remove</t>
        </is>
      </c>
      <c r="G115" s="593" t="inlineStr">
        <is>
          <t>OOS</t>
        </is>
      </c>
      <c r="H115" s="595" t="n">
        <v>48.3</v>
      </c>
      <c r="I115" s="595" t="n">
        <v>138</v>
      </c>
      <c r="J115" s="595" t="n">
        <v>-41.4</v>
      </c>
      <c r="K115" s="600" t="n">
        <v>0.3</v>
      </c>
      <c r="L115" s="597" t="n">
        <v>1</v>
      </c>
      <c r="M115" s="595" t="n">
        <v>48.3</v>
      </c>
      <c r="N115" s="594" t="n">
        <v>0</v>
      </c>
      <c r="O115" s="598" t="n">
        <v>0.9989</v>
      </c>
      <c r="P115" s="594" t="n">
        <v>3</v>
      </c>
      <c r="Q115" s="595" t="n">
        <v>10</v>
      </c>
      <c r="R115" s="597" t="n">
        <v>2</v>
      </c>
      <c r="S115" s="597" t="n">
        <v>0</v>
      </c>
      <c r="T115" s="597" t="n">
        <v>0</v>
      </c>
      <c r="U115" s="597" t="n">
        <v>0</v>
      </c>
      <c r="V115" s="597">
        <f>S431+T431</f>
        <v/>
      </c>
      <c r="W115" s="597">
        <f>S431+T431+U431</f>
        <v/>
      </c>
      <c r="X115" s="597">
        <f>W431*Q431</f>
        <v/>
      </c>
      <c r="Y115" s="595" t="n">
        <v>69</v>
      </c>
      <c r="Z115" s="595" t="n">
        <v>69</v>
      </c>
      <c r="AA115" s="594">
        <f>IF(Y431=Z431,"No","Yes")</f>
        <v/>
      </c>
      <c r="AB115" s="594" t="e">
        <v>#N/A</v>
      </c>
      <c r="AC115" s="593" t="e">
        <v>#N/A</v>
      </c>
    </row>
    <row r="116" ht="18" customHeight="1" s="229">
      <c r="A116" s="361" t="inlineStr">
        <is>
          <t>Nude Shape High Waist Brief</t>
        </is>
      </c>
      <c r="B116" s="362" t="inlineStr">
        <is>
          <t>Underwear</t>
        </is>
      </c>
      <c r="C116" s="589" t="inlineStr">
        <is>
          <t>REMOVE</t>
        </is>
      </c>
      <c r="D116" s="364" t="inlineStr">
        <is>
          <t>Negligible sales (&lt;$100 in 90 days)</t>
        </is>
      </c>
      <c r="E116" s="364" t="inlineStr">
        <is>
          <t>4 — LOW (natural sellthrough)</t>
        </is>
      </c>
      <c r="F116" s="365" t="inlineStr">
        <is>
          <t>Remove</t>
        </is>
      </c>
      <c r="G116" s="364" t="inlineStr">
        <is>
          <t>OOS</t>
        </is>
      </c>
      <c r="H116" s="366" t="n">
        <v>45</v>
      </c>
      <c r="I116" s="366" t="n">
        <v>45</v>
      </c>
      <c r="J116" s="366" t="n">
        <v>0</v>
      </c>
      <c r="K116" s="365" t="n">
        <v>0</v>
      </c>
      <c r="L116" s="368" t="n">
        <v>1</v>
      </c>
      <c r="M116" s="366" t="n">
        <v>45</v>
      </c>
      <c r="N116" s="365" t="n">
        <v>0</v>
      </c>
      <c r="O116" s="369" t="n">
        <v>0.9989</v>
      </c>
      <c r="P116" s="365" t="n">
        <v>2</v>
      </c>
      <c r="Q116" s="366" t="n">
        <v>10</v>
      </c>
      <c r="R116" s="368" t="n">
        <v>1</v>
      </c>
      <c r="S116" s="368" t="n">
        <v>0</v>
      </c>
      <c r="T116" s="368" t="n">
        <v>0</v>
      </c>
      <c r="U116" s="368" t="n">
        <v>0</v>
      </c>
      <c r="V116" s="368">
        <f>S434+T434</f>
        <v/>
      </c>
      <c r="W116" s="368">
        <f>S434+T434+U434</f>
        <v/>
      </c>
      <c r="X116" s="368">
        <f>W434*Q434</f>
        <v/>
      </c>
      <c r="Y116" s="366" t="n">
        <v>45</v>
      </c>
      <c r="Z116" s="366" t="n">
        <v>45</v>
      </c>
      <c r="AA116" s="365">
        <f>IF(Y434=Z434,"No","Yes")</f>
        <v/>
      </c>
      <c r="AB116" s="365" t="e">
        <v>#N/A</v>
      </c>
      <c r="AC116" s="364" t="e">
        <v>#N/A</v>
      </c>
    </row>
    <row r="117" ht="18" customHeight="1" s="229">
      <c r="A117" s="590" t="inlineStr">
        <is>
          <t>Basic Chic Thong</t>
        </is>
      </c>
      <c r="B117" s="591" t="inlineStr">
        <is>
          <t>Underwear</t>
        </is>
      </c>
      <c r="C117" s="592" t="inlineStr">
        <is>
          <t>REMOVE</t>
        </is>
      </c>
      <c r="D117" s="593" t="inlineStr">
        <is>
          <t>Negligible sales (&lt;$100 in 90 days)</t>
        </is>
      </c>
      <c r="E117" s="593" t="inlineStr">
        <is>
          <t>4 — LOW (natural sellthrough)</t>
        </is>
      </c>
      <c r="F117" s="594" t="inlineStr">
        <is>
          <t>Remove</t>
        </is>
      </c>
      <c r="G117" s="593" t="n"/>
      <c r="H117" s="595" t="n">
        <v>45</v>
      </c>
      <c r="I117" s="595" t="n">
        <v>45</v>
      </c>
      <c r="J117" s="595" t="n">
        <v>0</v>
      </c>
      <c r="K117" s="594" t="n">
        <v>0</v>
      </c>
      <c r="L117" s="597" t="n">
        <v>3</v>
      </c>
      <c r="M117" s="595" t="n">
        <v>15</v>
      </c>
      <c r="N117" s="594" t="n">
        <v>0</v>
      </c>
      <c r="O117" s="598" t="n">
        <v>0.9989</v>
      </c>
      <c r="P117" s="594" t="n">
        <v>1</v>
      </c>
      <c r="Q117" s="595" t="n">
        <v>10</v>
      </c>
      <c r="R117" s="597" t="n">
        <v>2</v>
      </c>
      <c r="S117" s="597" t="n">
        <v>0</v>
      </c>
      <c r="T117" s="597" t="n">
        <v>10</v>
      </c>
      <c r="U117" s="597" t="n">
        <v>8</v>
      </c>
      <c r="V117" s="597">
        <f>S435+T435</f>
        <v/>
      </c>
      <c r="W117" s="597">
        <f>S435+T435+U435</f>
        <v/>
      </c>
      <c r="X117" s="597">
        <f>W435*Q435</f>
        <v/>
      </c>
      <c r="Y117" s="595" t="n">
        <v>15</v>
      </c>
      <c r="Z117" s="595" t="n">
        <v>15</v>
      </c>
      <c r="AA117" s="594">
        <f>IF(Y435=Z435,"No","Yes")</f>
        <v/>
      </c>
      <c r="AB117" s="594" t="inlineStr">
        <is>
          <t>NW231WU1304</t>
        </is>
      </c>
      <c r="AC117" s="593" t="inlineStr">
        <is>
          <t>低腰丁字裤</t>
        </is>
      </c>
    </row>
    <row r="118" ht="18" customHeight="1" s="229">
      <c r="A118" s="361" t="inlineStr">
        <is>
          <t>Barely Zero Plunge Bra Gift Set</t>
        </is>
      </c>
      <c r="B118" s="362" t="inlineStr">
        <is>
          <t>Underwear</t>
        </is>
      </c>
      <c r="C118" s="589" t="inlineStr">
        <is>
          <t>REMOVE</t>
        </is>
      </c>
      <c r="D118" s="364" t="inlineStr">
        <is>
          <t>Bundle/Gift Set — low velocity</t>
        </is>
      </c>
      <c r="E118" s="364" t="inlineStr">
        <is>
          <t>4 — LOW (natural sellthrough)</t>
        </is>
      </c>
      <c r="F118" s="365" t="inlineStr">
        <is>
          <t>Remove</t>
        </is>
      </c>
      <c r="G118" s="364" t="inlineStr">
        <is>
          <t>Almost OOS</t>
        </is>
      </c>
      <c r="H118" s="366" t="n">
        <v>38.5</v>
      </c>
      <c r="I118" s="366" t="n">
        <v>55</v>
      </c>
      <c r="J118" s="366" t="n">
        <v>-16.5</v>
      </c>
      <c r="K118" s="367" t="n">
        <v>0.3</v>
      </c>
      <c r="L118" s="368" t="n">
        <v>1</v>
      </c>
      <c r="M118" s="366" t="n">
        <v>38.5</v>
      </c>
      <c r="N118" s="365" t="n">
        <v>0</v>
      </c>
      <c r="O118" s="369" t="n">
        <v>0.9989</v>
      </c>
      <c r="P118" s="365" t="n">
        <v>1</v>
      </c>
      <c r="Q118" s="366" t="n">
        <v>10</v>
      </c>
      <c r="R118" s="368" t="n">
        <v>1</v>
      </c>
      <c r="S118" s="368" t="n">
        <v>3</v>
      </c>
      <c r="T118" s="368" t="n">
        <v>0</v>
      </c>
      <c r="U118" s="368" t="n">
        <v>0</v>
      </c>
      <c r="V118" s="368">
        <f>S437+T437</f>
        <v/>
      </c>
      <c r="W118" s="368">
        <f>S437+T437+U437</f>
        <v/>
      </c>
      <c r="X118" s="368">
        <f>W437*Q437</f>
        <v/>
      </c>
      <c r="Y118" s="366" t="n">
        <v>55</v>
      </c>
      <c r="Z118" s="366" t="n">
        <v>55</v>
      </c>
      <c r="AA118" s="365">
        <f>IF(Y437=Z437,"No","Yes")</f>
        <v/>
      </c>
      <c r="AB118" s="365" t="inlineStr">
        <is>
          <t>NW232WE0002</t>
        </is>
      </c>
      <c r="AC118" s="364" t="inlineStr">
        <is>
          <t>无尺码4.0背心款内衣套装</t>
        </is>
      </c>
    </row>
    <row r="119" ht="18" customHeight="1" s="229">
      <c r="A119" s="590" t="inlineStr">
        <is>
          <t>Nude Striped Mesh Triangle Bra</t>
        </is>
      </c>
      <c r="B119" s="591" t="inlineStr">
        <is>
          <t>Underwear</t>
        </is>
      </c>
      <c r="C119" s="592" t="inlineStr">
        <is>
          <t>REMOVE</t>
        </is>
      </c>
      <c r="D119" s="593" t="inlineStr">
        <is>
          <t>Negligible sales (&lt;$100 in 90 days)</t>
        </is>
      </c>
      <c r="E119" s="593" t="inlineStr">
        <is>
          <t>4 — LOW (natural sellthrough)</t>
        </is>
      </c>
      <c r="F119" s="594" t="inlineStr">
        <is>
          <t>Remove</t>
        </is>
      </c>
      <c r="G119" s="593" t="inlineStr">
        <is>
          <t>OOS</t>
        </is>
      </c>
      <c r="H119" s="595" t="n">
        <v>30.94</v>
      </c>
      <c r="I119" s="595" t="n">
        <v>95.2</v>
      </c>
      <c r="J119" s="595" t="n">
        <v>-28.61</v>
      </c>
      <c r="K119" s="600" t="n">
        <v>0.301</v>
      </c>
      <c r="L119" s="597" t="n">
        <v>1</v>
      </c>
      <c r="M119" s="595" t="n">
        <v>30.94</v>
      </c>
      <c r="N119" s="594" t="n">
        <v>0</v>
      </c>
      <c r="O119" s="598" t="n">
        <v>0.9989</v>
      </c>
      <c r="P119" s="594" t="n">
        <v>2</v>
      </c>
      <c r="Q119" s="595" t="n">
        <v>10</v>
      </c>
      <c r="R119" s="597" t="n">
        <v>2</v>
      </c>
      <c r="S119" s="597" t="n">
        <v>0</v>
      </c>
      <c r="T119" s="597" t="n">
        <v>0</v>
      </c>
      <c r="U119" s="597" t="n">
        <v>0</v>
      </c>
      <c r="V119" s="597">
        <f>S444+T444</f>
        <v/>
      </c>
      <c r="W119" s="597">
        <f>S444+T444+U444</f>
        <v/>
      </c>
      <c r="X119" s="597">
        <f>W444*Q444</f>
        <v/>
      </c>
      <c r="Y119" s="595" t="n">
        <v>68</v>
      </c>
      <c r="Z119" s="595" t="n">
        <v>47.6</v>
      </c>
      <c r="AA119" s="594">
        <f>IF(Y444=Z444,"No","Yes")</f>
        <v/>
      </c>
      <c r="AB119" s="594" t="e">
        <v>#N/A</v>
      </c>
      <c r="AC119" s="593" t="e">
        <v>#N/A</v>
      </c>
    </row>
    <row r="120" ht="18" customHeight="1" s="229">
      <c r="A120" s="361" t="inlineStr">
        <is>
          <t>Ultraflex Light Bra</t>
        </is>
      </c>
      <c r="B120" s="362" t="inlineStr">
        <is>
          <t>Underwear</t>
        </is>
      </c>
      <c r="C120" s="589" t="inlineStr">
        <is>
          <t>REMOVE</t>
        </is>
      </c>
      <c r="D120" s="364" t="inlineStr">
        <is>
          <t>Zero/negative sales</t>
        </is>
      </c>
      <c r="E120" s="364" t="inlineStr">
        <is>
          <t>2 — HIGH (dead product)</t>
        </is>
      </c>
      <c r="F120" s="365" t="inlineStr">
        <is>
          <t>Remove</t>
        </is>
      </c>
      <c r="G120" s="364" t="inlineStr">
        <is>
          <t>Almost OOS</t>
        </is>
      </c>
      <c r="H120" s="366" t="n">
        <v>0</v>
      </c>
      <c r="I120" s="366" t="n">
        <v>0</v>
      </c>
      <c r="J120" s="366" t="n">
        <v>0</v>
      </c>
      <c r="K120" s="365" t="n"/>
      <c r="L120" s="368" t="n">
        <v>0</v>
      </c>
      <c r="M120" s="368" t="n"/>
      <c r="N120" s="365" t="n">
        <v>0</v>
      </c>
      <c r="O120" s="369" t="n">
        <v>0.9989</v>
      </c>
      <c r="P120" s="365" t="n">
        <v>3</v>
      </c>
      <c r="Q120" s="366" t="n">
        <v>10</v>
      </c>
      <c r="R120" s="368" t="n">
        <v>0</v>
      </c>
      <c r="S120" s="368" t="n">
        <v>1</v>
      </c>
      <c r="T120" s="368" t="n">
        <v>1</v>
      </c>
      <c r="U120" s="368" t="n">
        <v>0</v>
      </c>
      <c r="V120" s="368">
        <f>S456+T456</f>
        <v/>
      </c>
      <c r="W120" s="368">
        <f>S456+T456+U456</f>
        <v/>
      </c>
      <c r="X120" s="368">
        <f>W456*Q456</f>
        <v/>
      </c>
      <c r="Y120" s="366" t="n">
        <v>38</v>
      </c>
      <c r="Z120" s="366" t="n">
        <v>38</v>
      </c>
      <c r="AA120" s="365">
        <f>IF(Y456=Z456,"No","Yes")</f>
        <v/>
      </c>
      <c r="AB120" s="365" t="inlineStr">
        <is>
          <t>NO251WU1116</t>
        </is>
      </c>
      <c r="AC120" s="364" t="inlineStr">
        <is>
          <t>好弹超轻套头吊带文胸</t>
        </is>
      </c>
    </row>
    <row r="121" ht="18" customHeight="1" s="229">
      <c r="A121" s="590" t="inlineStr">
        <is>
          <t>Essential Modal Mid-Waist Brief</t>
        </is>
      </c>
      <c r="B121" s="591" t="inlineStr">
        <is>
          <t>Underwear</t>
        </is>
      </c>
      <c r="C121" s="592" t="inlineStr">
        <is>
          <t>REMOVE</t>
        </is>
      </c>
      <c r="D121" s="593" t="inlineStr">
        <is>
          <t>Zero/negative sales</t>
        </is>
      </c>
      <c r="E121" s="593" t="inlineStr">
        <is>
          <t>2 — HIGH (dead product)</t>
        </is>
      </c>
      <c r="F121" s="594" t="inlineStr">
        <is>
          <t>Remove</t>
        </is>
      </c>
      <c r="G121" s="593" t="inlineStr">
        <is>
          <t>OOS</t>
        </is>
      </c>
      <c r="H121" s="595" t="n">
        <v>0</v>
      </c>
      <c r="I121" s="595" t="n">
        <v>63</v>
      </c>
      <c r="J121" s="595" t="n">
        <v>-21.5</v>
      </c>
      <c r="K121" s="600" t="n">
        <v>0.341</v>
      </c>
      <c r="L121" s="597" t="n">
        <v>0</v>
      </c>
      <c r="M121" s="597" t="n"/>
      <c r="N121" s="594" t="n">
        <v>0</v>
      </c>
      <c r="O121" s="598" t="n">
        <v>0.9989</v>
      </c>
      <c r="P121" s="594" t="n">
        <v>1</v>
      </c>
      <c r="Q121" s="595" t="n">
        <v>10</v>
      </c>
      <c r="R121" s="597" t="n">
        <v>2</v>
      </c>
      <c r="S121" s="597" t="n">
        <v>0</v>
      </c>
      <c r="T121" s="597" t="n">
        <v>0</v>
      </c>
      <c r="U121" s="597" t="n">
        <v>0</v>
      </c>
      <c r="V121" s="597">
        <f>S463+T463</f>
        <v/>
      </c>
      <c r="W121" s="597">
        <f>S463+T463+U463</f>
        <v/>
      </c>
      <c r="X121" s="597">
        <f>W463*Q463</f>
        <v/>
      </c>
      <c r="Y121" s="595" t="n">
        <v>15</v>
      </c>
      <c r="Z121" s="595" t="n">
        <v>10.5</v>
      </c>
      <c r="AA121" s="594">
        <f>IF(Y463=Z463,"No","Yes")</f>
        <v/>
      </c>
      <c r="AB121" s="594" t="e">
        <v>#N/A</v>
      </c>
      <c r="AC121" s="593" t="e">
        <v>#N/A</v>
      </c>
    </row>
    <row r="122" ht="18" customHeight="1" s="229">
      <c r="A122" s="361" t="inlineStr">
        <is>
          <t>Crossover Nursing Bra</t>
        </is>
      </c>
      <c r="B122" s="362" t="inlineStr">
        <is>
          <t>Underwear</t>
        </is>
      </c>
      <c r="C122" s="589" t="inlineStr">
        <is>
          <t>REMOVE</t>
        </is>
      </c>
      <c r="D122" s="364" t="inlineStr">
        <is>
          <t>Zero/negative sales</t>
        </is>
      </c>
      <c r="E122" s="364" t="inlineStr">
        <is>
          <t>2 — HIGH (dead product)</t>
        </is>
      </c>
      <c r="F122" s="365" t="inlineStr">
        <is>
          <t>Remove</t>
        </is>
      </c>
      <c r="G122" s="364" t="inlineStr">
        <is>
          <t>OOS</t>
        </is>
      </c>
      <c r="H122" s="366" t="n">
        <v>0</v>
      </c>
      <c r="I122" s="366" t="n">
        <v>55</v>
      </c>
      <c r="J122" s="366" t="n">
        <v>0</v>
      </c>
      <c r="K122" s="365" t="n">
        <v>0</v>
      </c>
      <c r="L122" s="368" t="n">
        <v>0</v>
      </c>
      <c r="M122" s="368" t="n"/>
      <c r="N122" s="365" t="n">
        <v>0</v>
      </c>
      <c r="O122" s="369" t="n">
        <v>0.9989</v>
      </c>
      <c r="P122" s="365" t="n">
        <v>1</v>
      </c>
      <c r="Q122" s="366" t="n">
        <v>10</v>
      </c>
      <c r="R122" s="368" t="n">
        <v>1</v>
      </c>
      <c r="S122" s="368" t="n">
        <v>0</v>
      </c>
      <c r="T122" s="368" t="n">
        <v>0</v>
      </c>
      <c r="U122" s="368" t="n">
        <v>0</v>
      </c>
      <c r="V122" s="368">
        <f>S467+T467</f>
        <v/>
      </c>
      <c r="W122" s="368">
        <f>S467+T467+U467</f>
        <v/>
      </c>
      <c r="X122" s="368">
        <f>W467*Q467</f>
        <v/>
      </c>
      <c r="Y122" s="366" t="n">
        <v>55</v>
      </c>
      <c r="Z122" s="366" t="n">
        <v>55</v>
      </c>
      <c r="AA122" s="365">
        <f>IF(Y467=Z467,"No","Yes")</f>
        <v/>
      </c>
      <c r="AB122" s="365" t="e">
        <v>#N/A</v>
      </c>
      <c r="AC122" s="364" t="e">
        <v>#N/A</v>
      </c>
    </row>
    <row r="123" ht="18" customHeight="1" s="229">
      <c r="A123" s="590" t="inlineStr">
        <is>
          <t>Nude Skin Bra</t>
        </is>
      </c>
      <c r="B123" s="591" t="inlineStr">
        <is>
          <t>Underwear</t>
        </is>
      </c>
      <c r="C123" s="592" t="inlineStr">
        <is>
          <t>REMOVE</t>
        </is>
      </c>
      <c r="D123" s="593" t="inlineStr">
        <is>
          <t>Zero/negative sales</t>
        </is>
      </c>
      <c r="E123" s="593" t="inlineStr">
        <is>
          <t>2 — HIGH (dead product)</t>
        </is>
      </c>
      <c r="F123" s="594" t="inlineStr">
        <is>
          <t>Remove</t>
        </is>
      </c>
      <c r="G123" s="593" t="n"/>
      <c r="H123" s="595" t="n">
        <v>0</v>
      </c>
      <c r="I123" s="595" t="n">
        <v>0</v>
      </c>
      <c r="J123" s="595" t="n">
        <v>0</v>
      </c>
      <c r="K123" s="594" t="n"/>
      <c r="L123" s="597" t="n">
        <v>0</v>
      </c>
      <c r="M123" s="597" t="n"/>
      <c r="N123" s="594" t="n">
        <v>0</v>
      </c>
      <c r="O123" s="598" t="n">
        <v>0.9989</v>
      </c>
      <c r="P123" s="594" t="n">
        <v>1</v>
      </c>
      <c r="Q123" s="595" t="n">
        <v>10</v>
      </c>
      <c r="R123" s="597" t="n">
        <v>0</v>
      </c>
      <c r="S123" s="597" t="n">
        <v>8</v>
      </c>
      <c r="T123" s="597" t="n">
        <v>0</v>
      </c>
      <c r="U123" s="597" t="n">
        <v>30</v>
      </c>
      <c r="V123" s="597">
        <f>S469+T469</f>
        <v/>
      </c>
      <c r="W123" s="597">
        <f>S469+T469+U469</f>
        <v/>
      </c>
      <c r="X123" s="597">
        <f>W469*Q469</f>
        <v/>
      </c>
      <c r="Y123" s="595" t="n">
        <v>49</v>
      </c>
      <c r="Z123" s="595" t="n">
        <v>34.3</v>
      </c>
      <c r="AA123" s="594">
        <f>IF(Y469=Z469,"No","Yes")</f>
        <v/>
      </c>
      <c r="AB123" s="594" t="inlineStr">
        <is>
          <t>NW221WU1199</t>
        </is>
      </c>
      <c r="AC123" s="593" t="inlineStr">
        <is>
          <t>网纱拼接吊带款文胸</t>
        </is>
      </c>
    </row>
    <row r="124" ht="18" customHeight="1" s="229">
      <c r="A124" s="361" t="inlineStr">
        <is>
          <t>Barely Zero T-Shirt Bra</t>
        </is>
      </c>
      <c r="B124" s="362" t="inlineStr">
        <is>
          <t>Underwear</t>
        </is>
      </c>
      <c r="C124" s="589" t="inlineStr">
        <is>
          <t>REMOVE</t>
        </is>
      </c>
      <c r="D124" s="364" t="inlineStr">
        <is>
          <t>Zero/negative sales</t>
        </is>
      </c>
      <c r="E124" s="364" t="inlineStr">
        <is>
          <t>2 — HIGH (dead product)</t>
        </is>
      </c>
      <c r="F124" s="365" t="inlineStr">
        <is>
          <t>Remove</t>
        </is>
      </c>
      <c r="G124" s="364" t="inlineStr">
        <is>
          <t>Almost OOS</t>
        </is>
      </c>
      <c r="H124" s="366" t="n">
        <v>0</v>
      </c>
      <c r="I124" s="366" t="n">
        <v>0</v>
      </c>
      <c r="J124" s="366" t="n">
        <v>0</v>
      </c>
      <c r="K124" s="365" t="n"/>
      <c r="L124" s="368" t="n">
        <v>0</v>
      </c>
      <c r="M124" s="368" t="n"/>
      <c r="N124" s="365" t="n">
        <v>0</v>
      </c>
      <c r="O124" s="369" t="n">
        <v>0.9989</v>
      </c>
      <c r="P124" s="365" t="n">
        <v>4</v>
      </c>
      <c r="Q124" s="366" t="n">
        <v>10</v>
      </c>
      <c r="R124" s="368" t="n">
        <v>0</v>
      </c>
      <c r="S124" s="368" t="n">
        <v>1</v>
      </c>
      <c r="T124" s="368" t="n">
        <v>0</v>
      </c>
      <c r="U124" s="368" t="n">
        <v>0</v>
      </c>
      <c r="V124" s="368">
        <f>S476+T476</f>
        <v/>
      </c>
      <c r="W124" s="368">
        <f>S476+T476+U476</f>
        <v/>
      </c>
      <c r="X124" s="368">
        <f>W476*Q476</f>
        <v/>
      </c>
      <c r="Y124" s="366" t="n">
        <v>49</v>
      </c>
      <c r="Z124" s="366" t="n">
        <v>49</v>
      </c>
      <c r="AA124" s="365">
        <f>IF(Y476=Z476,"No","Yes")</f>
        <v/>
      </c>
      <c r="AB124" s="365" t="inlineStr">
        <is>
          <t>NW231WU1141</t>
        </is>
      </c>
      <c r="AC124" s="364" t="inlineStr">
        <is>
          <t>吊带V领文胸</t>
        </is>
      </c>
    </row>
    <row r="125" ht="18" customHeight="1" s="229">
      <c r="A125" s="569" t="inlineStr">
        <is>
          <t>Cotton Barely Zero Spaghetti Strap Bra</t>
        </is>
      </c>
      <c r="B125" s="570" t="inlineStr">
        <is>
          <t>Underwear</t>
        </is>
      </c>
      <c r="C125" s="571" t="inlineStr">
        <is>
          <t>KEEP — Tier 1</t>
        </is>
      </c>
      <c r="D125" s="572" t="inlineStr">
        <is>
          <t>Core Barely Zero</t>
        </is>
      </c>
      <c r="E125" s="572" t="n"/>
      <c r="F125" s="573" t="inlineStr">
        <is>
          <t>Remove</t>
        </is>
      </c>
      <c r="G125" s="572" t="inlineStr">
        <is>
          <t>OOS</t>
        </is>
      </c>
      <c r="H125" s="574" t="n">
        <v>0</v>
      </c>
      <c r="I125" s="574" t="n">
        <v>0</v>
      </c>
      <c r="J125" s="574" t="n">
        <v>0</v>
      </c>
      <c r="K125" s="573" t="n"/>
      <c r="L125" s="576" t="n">
        <v>0</v>
      </c>
      <c r="M125" s="576" t="n"/>
      <c r="N125" s="573" t="n">
        <v>0</v>
      </c>
      <c r="O125" s="577" t="n">
        <v>0.9989</v>
      </c>
      <c r="P125" s="573" t="n">
        <v>2</v>
      </c>
      <c r="Q125" s="574" t="n">
        <v>10</v>
      </c>
      <c r="R125" s="576" t="n">
        <v>0</v>
      </c>
      <c r="S125" s="576" t="n">
        <v>0</v>
      </c>
      <c r="T125" s="576" t="n">
        <v>0</v>
      </c>
      <c r="U125" s="576" t="n">
        <v>0</v>
      </c>
      <c r="V125" s="576">
        <f>S477+T477</f>
        <v/>
      </c>
      <c r="W125" s="576">
        <f>S477+T477+U477</f>
        <v/>
      </c>
      <c r="X125" s="576">
        <f>W477*Q477</f>
        <v/>
      </c>
      <c r="Y125" s="574" t="n">
        <v>39</v>
      </c>
      <c r="Z125" s="574" t="n">
        <v>39</v>
      </c>
      <c r="AA125" s="573">
        <f>IF(Y477=Z477,"No","Yes")</f>
        <v/>
      </c>
      <c r="AB125" s="573" t="e">
        <v>#N/A</v>
      </c>
      <c r="AC125" s="572" t="e">
        <v>#N/A</v>
      </c>
    </row>
    <row r="126" ht="18" customHeight="1" s="229">
      <c r="A126" s="361" t="inlineStr">
        <is>
          <t>Barely Zero Fixed Cup Spaghetti Strap Bra</t>
        </is>
      </c>
      <c r="B126" s="362" t="inlineStr">
        <is>
          <t>Underwear</t>
        </is>
      </c>
      <c r="C126" s="589" t="inlineStr">
        <is>
          <t>REMOVE</t>
        </is>
      </c>
      <c r="D126" s="364" t="inlineStr">
        <is>
          <t>Zero/negative sales</t>
        </is>
      </c>
      <c r="E126" s="364" t="inlineStr">
        <is>
          <t>2 — HIGH (excess inventory vs demand)</t>
        </is>
      </c>
      <c r="F126" s="365" t="inlineStr">
        <is>
          <t>Remove</t>
        </is>
      </c>
      <c r="G126" s="364" t="n"/>
      <c r="H126" s="366" t="n">
        <v>0</v>
      </c>
      <c r="I126" s="366" t="n">
        <v>0</v>
      </c>
      <c r="J126" s="366" t="n">
        <v>0</v>
      </c>
      <c r="K126" s="365" t="n"/>
      <c r="L126" s="368" t="n">
        <v>0</v>
      </c>
      <c r="M126" s="368" t="n"/>
      <c r="N126" s="365" t="n">
        <v>0</v>
      </c>
      <c r="O126" s="369" t="n">
        <v>0.9989</v>
      </c>
      <c r="P126" s="365" t="n">
        <v>1</v>
      </c>
      <c r="Q126" s="366" t="n">
        <v>10</v>
      </c>
      <c r="R126" s="368" t="n">
        <v>0</v>
      </c>
      <c r="S126" s="368" t="n">
        <v>0</v>
      </c>
      <c r="T126" s="368" t="n">
        <v>0</v>
      </c>
      <c r="U126" s="368" t="n">
        <v>0</v>
      </c>
      <c r="V126" s="368">
        <f>S480+T480</f>
        <v/>
      </c>
      <c r="W126" s="368">
        <f>S480+T480+U480</f>
        <v/>
      </c>
      <c r="X126" s="368">
        <f>W480*Q480</f>
        <v/>
      </c>
      <c r="Y126" s="368" t="e">
        <v>#N/A</v>
      </c>
      <c r="Z126" s="368" t="e">
        <v>#N/A</v>
      </c>
      <c r="AA126" s="365">
        <f>IF(Y480=Z480,"No","Yes")</f>
        <v/>
      </c>
      <c r="AB126" s="365" t="e">
        <v>#N/A</v>
      </c>
      <c r="AC126" s="364" t="e">
        <v>#N/A</v>
      </c>
    </row>
    <row r="127" ht="18" customHeight="1" s="229">
      <c r="A127" s="590" t="inlineStr">
        <is>
          <t>Barely Zero Plunge Bra</t>
        </is>
      </c>
      <c r="B127" s="591" t="inlineStr">
        <is>
          <t>Underwear</t>
        </is>
      </c>
      <c r="C127" s="592" t="inlineStr">
        <is>
          <t>REMOVE</t>
        </is>
      </c>
      <c r="D127" s="593" t="inlineStr">
        <is>
          <t>Zero/negative sales</t>
        </is>
      </c>
      <c r="E127" s="593" t="inlineStr">
        <is>
          <t>2 — HIGH (dead product)</t>
        </is>
      </c>
      <c r="F127" s="594" t="inlineStr">
        <is>
          <t>Remove</t>
        </is>
      </c>
      <c r="G127" s="593" t="n"/>
      <c r="H127" s="595" t="n">
        <v>0</v>
      </c>
      <c r="I127" s="595" t="n">
        <v>0</v>
      </c>
      <c r="J127" s="595" t="n">
        <v>0</v>
      </c>
      <c r="K127" s="594" t="n"/>
      <c r="L127" s="597" t="n">
        <v>0</v>
      </c>
      <c r="M127" s="597" t="n"/>
      <c r="N127" s="594" t="n">
        <v>0</v>
      </c>
      <c r="O127" s="598" t="n">
        <v>0.9989</v>
      </c>
      <c r="P127" s="594" t="n">
        <v>1</v>
      </c>
      <c r="Q127" s="595" t="n">
        <v>10</v>
      </c>
      <c r="R127" s="597" t="n">
        <v>0</v>
      </c>
      <c r="S127" s="597" t="n">
        <v>0</v>
      </c>
      <c r="T127" s="597" t="n">
        <v>0</v>
      </c>
      <c r="U127" s="597" t="n">
        <v>0</v>
      </c>
      <c r="V127" s="597">
        <f>S483+T483</f>
        <v/>
      </c>
      <c r="W127" s="597">
        <f>S483+T483+U483</f>
        <v/>
      </c>
      <c r="X127" s="597">
        <f>W483*Q483</f>
        <v/>
      </c>
      <c r="Y127" s="595" t="n">
        <v>49</v>
      </c>
      <c r="Z127" s="595" t="n">
        <v>49</v>
      </c>
      <c r="AA127" s="594">
        <f>IF(Y483=Z483,"No","Yes")</f>
        <v/>
      </c>
      <c r="AB127" s="594" t="e">
        <v>#N/A</v>
      </c>
      <c r="AC127" s="593" t="e">
        <v>#N/A</v>
      </c>
    </row>
    <row r="128" ht="18" customHeight="1" s="229">
      <c r="A128" s="361" t="inlineStr">
        <is>
          <t>Super Soft Seamless Fixed Cup Bra</t>
        </is>
      </c>
      <c r="B128" s="362" t="inlineStr">
        <is>
          <t>Underwear</t>
        </is>
      </c>
      <c r="C128" s="589" t="inlineStr">
        <is>
          <t>REMOVE</t>
        </is>
      </c>
      <c r="D128" s="364" t="inlineStr">
        <is>
          <t>Zero/negative sales</t>
        </is>
      </c>
      <c r="E128" s="364" t="inlineStr">
        <is>
          <t>2 — HIGH (dead product)</t>
        </is>
      </c>
      <c r="F128" s="365" t="inlineStr">
        <is>
          <t>Remove</t>
        </is>
      </c>
      <c r="G128" s="364" t="n"/>
      <c r="H128" s="366" t="n">
        <v>0</v>
      </c>
      <c r="I128" s="366" t="n">
        <v>0</v>
      </c>
      <c r="J128" s="366" t="n">
        <v>0</v>
      </c>
      <c r="K128" s="365" t="n"/>
      <c r="L128" s="368" t="n">
        <v>0</v>
      </c>
      <c r="M128" s="368" t="n"/>
      <c r="N128" s="365" t="n">
        <v>0</v>
      </c>
      <c r="O128" s="369" t="n">
        <v>0.9989</v>
      </c>
      <c r="P128" s="365" t="n">
        <v>4</v>
      </c>
      <c r="Q128" s="366" t="n">
        <v>10</v>
      </c>
      <c r="R128" s="368" t="n">
        <v>0</v>
      </c>
      <c r="S128" s="368" t="n">
        <v>0</v>
      </c>
      <c r="T128" s="368" t="n">
        <v>0</v>
      </c>
      <c r="U128" s="368" t="n">
        <v>0</v>
      </c>
      <c r="V128" s="368">
        <f>S485+T485</f>
        <v/>
      </c>
      <c r="W128" s="368">
        <f>S485+T485+U485</f>
        <v/>
      </c>
      <c r="X128" s="368">
        <f>W485*Q485</f>
        <v/>
      </c>
      <c r="Y128" s="366" t="n">
        <v>45</v>
      </c>
      <c r="Z128" s="366" t="n">
        <v>45</v>
      </c>
      <c r="AA128" s="365">
        <f>IF(Y485=Z485,"No","Yes")</f>
        <v/>
      </c>
      <c r="AB128" s="365" t="e">
        <v>#N/A</v>
      </c>
      <c r="AC128" s="364" t="e">
        <v>#N/A</v>
      </c>
    </row>
    <row r="129" ht="18" customHeight="1" s="229">
      <c r="A129" s="602" t="inlineStr">
        <is>
          <t>ACTIVE  —  169 products</t>
        </is>
      </c>
      <c r="B129" s="603" t="n"/>
      <c r="C129" s="603" t="n"/>
      <c r="D129" s="603" t="n"/>
      <c r="E129" s="603" t="n"/>
      <c r="F129" s="603" t="n"/>
      <c r="G129" s="603" t="n"/>
      <c r="H129" s="603" t="n"/>
      <c r="I129" s="603" t="n"/>
      <c r="J129" s="603" t="n"/>
      <c r="K129" s="603" t="n"/>
      <c r="L129" s="603" t="n"/>
      <c r="M129" s="603" t="n"/>
      <c r="N129" s="603" t="n"/>
      <c r="O129" s="603" t="n"/>
      <c r="P129" s="603" t="n"/>
      <c r="Q129" s="603" t="n"/>
      <c r="R129" s="603" t="n"/>
      <c r="S129" s="603" t="n"/>
      <c r="T129" s="603" t="n"/>
      <c r="U129" s="603" t="n"/>
      <c r="V129" s="603" t="n"/>
      <c r="W129" s="603" t="n"/>
      <c r="X129" s="603" t="n"/>
      <c r="Y129" s="603" t="n"/>
      <c r="Z129" s="603" t="n"/>
      <c r="AA129" s="603" t="n"/>
      <c r="AB129" s="603" t="n"/>
      <c r="AC129" s="603" t="n"/>
    </row>
    <row r="130" ht="18" customHeight="1" s="229">
      <c r="A130" s="361" t="inlineStr">
        <is>
          <t>Down Vest</t>
        </is>
      </c>
      <c r="B130" s="362" t="inlineStr">
        <is>
          <t>Active</t>
        </is>
      </c>
      <c r="C130" s="589" t="inlineStr">
        <is>
          <t>REMOVE</t>
        </is>
      </c>
      <c r="D130" s="364" t="inlineStr">
        <is>
          <t>Active category rationalization</t>
        </is>
      </c>
      <c r="E130" s="364" t="inlineStr">
        <is>
          <t>3 — MEDIUM (selldown or markdown)</t>
        </is>
      </c>
      <c r="F130" s="365" t="inlineStr">
        <is>
          <t>Remove</t>
        </is>
      </c>
      <c r="G130" s="364" t="n"/>
      <c r="H130" s="366" t="n">
        <v>7649.809999999999</v>
      </c>
      <c r="I130" s="366" t="n">
        <v>11718</v>
      </c>
      <c r="J130" s="366" t="n">
        <v>-3241.31</v>
      </c>
      <c r="K130" s="367" t="n">
        <v>0.277</v>
      </c>
      <c r="L130" s="368" t="n">
        <v>68</v>
      </c>
      <c r="M130" s="366" t="n">
        <v>112.5</v>
      </c>
      <c r="N130" s="369" t="n">
        <v>0.0042</v>
      </c>
      <c r="O130" s="369" t="n">
        <v>0.7336</v>
      </c>
      <c r="P130" s="365" t="n">
        <v>8</v>
      </c>
      <c r="Q130" s="366" t="n">
        <v>18</v>
      </c>
      <c r="R130" s="368" t="n">
        <v>75</v>
      </c>
      <c r="S130" s="368" t="n">
        <v>7</v>
      </c>
      <c r="T130" s="368" t="n">
        <v>20</v>
      </c>
      <c r="U130" s="368" t="n">
        <v>14</v>
      </c>
      <c r="V130" s="368">
        <f>S22+T22</f>
        <v/>
      </c>
      <c r="W130" s="368">
        <f>S22+T22+U22</f>
        <v/>
      </c>
      <c r="X130" s="368">
        <f>W22*Q22</f>
        <v/>
      </c>
      <c r="Y130" s="366" t="n">
        <v>225</v>
      </c>
      <c r="Z130" s="366" t="n">
        <v>157.5</v>
      </c>
      <c r="AA130" s="365">
        <f>IF(Y22=Z22,"No","Yes")</f>
        <v/>
      </c>
      <c r="AB130" s="365" t="inlineStr">
        <is>
          <t>NA232SO2203</t>
        </is>
      </c>
      <c r="AC130" s="364" t="inlineStr">
        <is>
          <t>防泼水收腰连帽羽绒马甲</t>
        </is>
      </c>
    </row>
    <row r="131" ht="18" customHeight="1" s="229">
      <c r="A131" s="590" t="inlineStr">
        <is>
          <t>Dance Wool Wrap Cardigan</t>
        </is>
      </c>
      <c r="B131" s="591" t="inlineStr">
        <is>
          <t>Active</t>
        </is>
      </c>
      <c r="C131" s="592" t="inlineStr">
        <is>
          <t>REMOVE</t>
        </is>
      </c>
      <c r="D131" s="593" t="inlineStr">
        <is>
          <t>Active category rationalization</t>
        </is>
      </c>
      <c r="E131" s="593" t="inlineStr">
        <is>
          <t>4 — LOW (natural sellthrough)</t>
        </is>
      </c>
      <c r="F131" s="594" t="inlineStr">
        <is>
          <t>Remove</t>
        </is>
      </c>
      <c r="G131" s="593" t="n"/>
      <c r="H131" s="595" t="n">
        <v>3429.49</v>
      </c>
      <c r="I131" s="595" t="n">
        <v>4886.7</v>
      </c>
      <c r="J131" s="595" t="n">
        <v>-1187.81</v>
      </c>
      <c r="K131" s="596" t="n">
        <v>0.243</v>
      </c>
      <c r="L131" s="597" t="n">
        <v>36</v>
      </c>
      <c r="M131" s="595" t="n">
        <v>95.26000000000001</v>
      </c>
      <c r="N131" s="598" t="n">
        <v>0.0019</v>
      </c>
      <c r="O131" s="598" t="n">
        <v>0.8086</v>
      </c>
      <c r="P131" s="594" t="n">
        <v>6</v>
      </c>
      <c r="Q131" s="595" t="n">
        <v>18</v>
      </c>
      <c r="R131" s="597" t="n">
        <v>39</v>
      </c>
      <c r="S131" s="597" t="n">
        <v>0</v>
      </c>
      <c r="T131" s="597" t="n">
        <v>11</v>
      </c>
      <c r="U131" s="597" t="n">
        <v>199</v>
      </c>
      <c r="V131" s="597">
        <f>S49+T49</f>
        <v/>
      </c>
      <c r="W131" s="597">
        <f>S49+T49+U49</f>
        <v/>
      </c>
      <c r="X131" s="597">
        <f>W49*Q49</f>
        <v/>
      </c>
      <c r="Y131" s="595" t="n">
        <v>179</v>
      </c>
      <c r="Z131" s="595" t="n">
        <v>125.3</v>
      </c>
      <c r="AA131" s="594">
        <f>IF(Y49=Z49,"No","Yes")</f>
        <v/>
      </c>
      <c r="AB131" s="594" t="inlineStr">
        <is>
          <t>NA232SD2703</t>
        </is>
      </c>
      <c r="AC131" s="593" t="inlineStr">
        <is>
          <t>羊毛混纺绑带宽松开衫</t>
        </is>
      </c>
    </row>
    <row r="132" ht="18" customHeight="1" s="229">
      <c r="A132" s="361" t="inlineStr">
        <is>
          <t>NEIWAI ACTIVE X NYCB Ballet Wool Ribbed Top</t>
        </is>
      </c>
      <c r="B132" s="362" t="inlineStr">
        <is>
          <t>Active</t>
        </is>
      </c>
      <c r="C132" s="589" t="inlineStr">
        <is>
          <t>REMOVE</t>
        </is>
      </c>
      <c r="D132" s="364" t="inlineStr">
        <is>
          <t>NYCB collab — dead inventory, no velocity</t>
        </is>
      </c>
      <c r="E132" s="364" t="inlineStr">
        <is>
          <t>3 — MEDIUM (selldown or markdown)</t>
        </is>
      </c>
      <c r="F132" s="365" t="inlineStr">
        <is>
          <t>Remove</t>
        </is>
      </c>
      <c r="G132" s="364" t="n"/>
      <c r="H132" s="366" t="n">
        <v>3324.84</v>
      </c>
      <c r="I132" s="366" t="n">
        <v>4545.3</v>
      </c>
      <c r="J132" s="366" t="n">
        <v>-779.01</v>
      </c>
      <c r="K132" s="380" t="n">
        <v>0.171</v>
      </c>
      <c r="L132" s="368" t="n">
        <v>37</v>
      </c>
      <c r="M132" s="366" t="n">
        <v>89.86</v>
      </c>
      <c r="N132" s="369" t="n">
        <v>0.0018</v>
      </c>
      <c r="O132" s="369" t="n">
        <v>0.8122</v>
      </c>
      <c r="P132" s="365" t="n">
        <v>7</v>
      </c>
      <c r="Q132" s="366" t="n">
        <v>18</v>
      </c>
      <c r="R132" s="368" t="n">
        <v>42</v>
      </c>
      <c r="S132" s="368" t="n">
        <v>0</v>
      </c>
      <c r="T132" s="368" t="n">
        <v>69</v>
      </c>
      <c r="U132" s="368" t="n">
        <v>0</v>
      </c>
      <c r="V132" s="368">
        <f>S51+T51</f>
        <v/>
      </c>
      <c r="W132" s="368">
        <f>S51+T51+U51</f>
        <v/>
      </c>
      <c r="X132" s="368">
        <f>W51*Q51</f>
        <v/>
      </c>
      <c r="Y132" s="366" t="n">
        <v>109</v>
      </c>
      <c r="Z132" s="366" t="n">
        <v>109</v>
      </c>
      <c r="AA132" s="365">
        <f>IF(Y51=Z51,"No","Yes")</f>
        <v/>
      </c>
      <c r="AB132" s="365" t="inlineStr">
        <is>
          <t>NA242SD3305</t>
        </is>
      </c>
      <c r="AC132" s="364" t="inlineStr">
        <is>
          <t>羊毛罗纹一字领贴身长袖T恤</t>
        </is>
      </c>
    </row>
    <row r="133" ht="18" customHeight="1" s="229">
      <c r="A133" s="590" t="inlineStr">
        <is>
          <t>Active Ballet Stirrup Drawstring Leggings</t>
        </is>
      </c>
      <c r="B133" s="591" t="inlineStr">
        <is>
          <t>Active</t>
        </is>
      </c>
      <c r="C133" s="592" t="inlineStr">
        <is>
          <t>REMOVE</t>
        </is>
      </c>
      <c r="D133" s="593" t="inlineStr">
        <is>
          <t>Active category rationalization</t>
        </is>
      </c>
      <c r="E133" s="593" t="inlineStr">
        <is>
          <t>4 — LOW (natural sellthrough)</t>
        </is>
      </c>
      <c r="F133" s="594" t="inlineStr">
        <is>
          <t>Remove</t>
        </is>
      </c>
      <c r="G133" s="593" t="n"/>
      <c r="H133" s="595" t="n">
        <v>3158.25</v>
      </c>
      <c r="I133" s="595" t="n">
        <v>4120.2</v>
      </c>
      <c r="J133" s="595" t="n">
        <v>-916.17</v>
      </c>
      <c r="K133" s="596" t="n">
        <v>0.222</v>
      </c>
      <c r="L133" s="597" t="n">
        <v>62</v>
      </c>
      <c r="M133" s="595" t="n">
        <v>50.94</v>
      </c>
      <c r="N133" s="598" t="n">
        <v>0.0017</v>
      </c>
      <c r="O133" s="598" t="n">
        <v>0.8245999999999999</v>
      </c>
      <c r="P133" s="594" t="n">
        <v>8</v>
      </c>
      <c r="Q133" s="595" t="n">
        <v>18</v>
      </c>
      <c r="R133" s="597" t="n">
        <v>61</v>
      </c>
      <c r="S133" s="597" t="n">
        <v>2</v>
      </c>
      <c r="T133" s="597" t="n">
        <v>14</v>
      </c>
      <c r="U133" s="597" t="n">
        <v>269</v>
      </c>
      <c r="V133" s="597">
        <f>S58+T58</f>
        <v/>
      </c>
      <c r="W133" s="597">
        <f>S58+T58+U58</f>
        <v/>
      </c>
      <c r="X133" s="597">
        <f>W58*Q58</f>
        <v/>
      </c>
      <c r="Y133" s="595" t="n">
        <v>109</v>
      </c>
      <c r="Z133" s="595" t="n">
        <v>65.40000000000001</v>
      </c>
      <c r="AA133" s="594">
        <f>IF(Y58=Z58,"No","Yes")</f>
        <v/>
      </c>
      <c r="AB133" s="594" t="inlineStr">
        <is>
          <t>NA221SD4204</t>
        </is>
      </c>
      <c r="AC133" s="593" t="inlineStr">
        <is>
          <t>芭蕾腰部抽绳踩脚紧身裤</t>
        </is>
      </c>
    </row>
    <row r="134" ht="18" customHeight="1" s="229">
      <c r="A134" s="361" t="inlineStr">
        <is>
          <t>High Support Sports Bra</t>
        </is>
      </c>
      <c r="B134" s="362" t="inlineStr">
        <is>
          <t>Active</t>
        </is>
      </c>
      <c r="C134" s="589" t="inlineStr">
        <is>
          <t>REMOVE</t>
        </is>
      </c>
      <c r="D134" s="364" t="inlineStr">
        <is>
          <t>Active category rationalization</t>
        </is>
      </c>
      <c r="E134" s="364" t="inlineStr">
        <is>
          <t>3 — MEDIUM (selldown or markdown)</t>
        </is>
      </c>
      <c r="F134" s="365" t="inlineStr">
        <is>
          <t>Remove</t>
        </is>
      </c>
      <c r="G134" s="364" t="n"/>
      <c r="H134" s="366" t="n">
        <v>2422.81</v>
      </c>
      <c r="I134" s="366" t="n">
        <v>4108</v>
      </c>
      <c r="J134" s="366" t="n">
        <v>-960.8100000000001</v>
      </c>
      <c r="K134" s="380" t="n">
        <v>0.234</v>
      </c>
      <c r="L134" s="368" t="n">
        <v>40</v>
      </c>
      <c r="M134" s="366" t="n">
        <v>60.57</v>
      </c>
      <c r="N134" s="369" t="n">
        <v>0.0013</v>
      </c>
      <c r="O134" s="369" t="n">
        <v>0.8515</v>
      </c>
      <c r="P134" s="365" t="n">
        <v>19</v>
      </c>
      <c r="Q134" s="366" t="n">
        <v>18</v>
      </c>
      <c r="R134" s="368" t="n">
        <v>52</v>
      </c>
      <c r="S134" s="368" t="n">
        <v>27</v>
      </c>
      <c r="T134" s="368" t="n">
        <v>59</v>
      </c>
      <c r="U134" s="368" t="n">
        <v>444</v>
      </c>
      <c r="V134" s="368">
        <f>S76+T76</f>
        <v/>
      </c>
      <c r="W134" s="368">
        <f>S76+T76+U76</f>
        <v/>
      </c>
      <c r="X134" s="368">
        <f>W76*Q76</f>
        <v/>
      </c>
      <c r="Y134" s="366" t="n">
        <v>79</v>
      </c>
      <c r="Z134" s="366" t="n">
        <v>79</v>
      </c>
      <c r="AA134" s="365">
        <f>IF(Y76=Z76,"No","Yes")</f>
        <v/>
      </c>
      <c r="AB134" s="365" t="inlineStr">
        <is>
          <t>NA232SS1108</t>
        </is>
      </c>
      <c r="AC134" s="364" t="inlineStr">
        <is>
          <t>高强度X背运动文胸</t>
        </is>
      </c>
    </row>
    <row r="135" ht="18" customHeight="1" s="229">
      <c r="A135" s="590" t="inlineStr">
        <is>
          <t>Ballet Boucl√© Yarn Leg Warmers</t>
        </is>
      </c>
      <c r="B135" s="591" t="inlineStr">
        <is>
          <t>Active</t>
        </is>
      </c>
      <c r="C135" s="592" t="inlineStr">
        <is>
          <t>REMOVE</t>
        </is>
      </c>
      <c r="D135" s="593" t="inlineStr">
        <is>
          <t>Active category rationalization</t>
        </is>
      </c>
      <c r="E135" s="593" t="inlineStr">
        <is>
          <t>3 — MEDIUM (selldown or markdown)</t>
        </is>
      </c>
      <c r="F135" s="594" t="inlineStr">
        <is>
          <t>Remove</t>
        </is>
      </c>
      <c r="G135" s="593" t="n"/>
      <c r="H135" s="595" t="n">
        <v>2135.37</v>
      </c>
      <c r="I135" s="595" t="n">
        <v>2695</v>
      </c>
      <c r="J135" s="595" t="n">
        <v>-559.63</v>
      </c>
      <c r="K135" s="596" t="n">
        <v>0.208</v>
      </c>
      <c r="L135" s="597" t="n">
        <v>49</v>
      </c>
      <c r="M135" s="595" t="n">
        <v>43.58</v>
      </c>
      <c r="N135" s="598" t="n">
        <v>0.0012</v>
      </c>
      <c r="O135" s="598" t="n">
        <v>0.8651000000000001</v>
      </c>
      <c r="P135" s="594" t="n">
        <v>2</v>
      </c>
      <c r="Q135" s="595" t="n">
        <v>18</v>
      </c>
      <c r="R135" s="597" t="n">
        <v>42</v>
      </c>
      <c r="S135" s="597" t="n">
        <v>0</v>
      </c>
      <c r="T135" s="597" t="n">
        <v>30</v>
      </c>
      <c r="U135" s="597" t="n">
        <v>0</v>
      </c>
      <c r="V135" s="597">
        <f>S85+T85</f>
        <v/>
      </c>
      <c r="W135" s="597">
        <f>S85+T85+U85</f>
        <v/>
      </c>
      <c r="X135" s="597">
        <f>W85*Q85</f>
        <v/>
      </c>
      <c r="Y135" s="595" t="n">
        <v>55</v>
      </c>
      <c r="Z135" s="595" t="n">
        <v>55</v>
      </c>
      <c r="AA135" s="594">
        <f>IF(Y85=Z85,"No","Yes")</f>
        <v/>
      </c>
      <c r="AB135" s="594" t="inlineStr">
        <is>
          <t>NA252SA6503</t>
        </is>
      </c>
      <c r="AC135" s="593" t="inlineStr">
        <is>
          <t>圈圈纱长款芭蕾袜套</t>
        </is>
      </c>
    </row>
    <row r="136" ht="18" customHeight="1" s="229">
      <c r="A136" s="361" t="inlineStr">
        <is>
          <t>NEIWAI ACTIVE X NYCB Mousse Medium Support Leggings</t>
        </is>
      </c>
      <c r="B136" s="362" t="inlineStr">
        <is>
          <t>Active</t>
        </is>
      </c>
      <c r="C136" s="589" t="inlineStr">
        <is>
          <t>REMOVE</t>
        </is>
      </c>
      <c r="D136" s="364" t="inlineStr">
        <is>
          <t>NYCB collab — dead inventory, no velocity</t>
        </is>
      </c>
      <c r="E136" s="364" t="inlineStr">
        <is>
          <t>3 — MEDIUM (selldown or markdown)</t>
        </is>
      </c>
      <c r="F136" s="365" t="inlineStr">
        <is>
          <t>Remove</t>
        </is>
      </c>
      <c r="G136" s="364" t="n"/>
      <c r="H136" s="366" t="n">
        <v>2105.14</v>
      </c>
      <c r="I136" s="366" t="n">
        <v>3652.02</v>
      </c>
      <c r="J136" s="366" t="n">
        <v>-896.96</v>
      </c>
      <c r="K136" s="380" t="n">
        <v>0.246</v>
      </c>
      <c r="L136" s="368" t="n">
        <v>32</v>
      </c>
      <c r="M136" s="366" t="n">
        <v>65.79000000000001</v>
      </c>
      <c r="N136" s="369" t="n">
        <v>0.0012</v>
      </c>
      <c r="O136" s="369" t="n">
        <v>0.8663</v>
      </c>
      <c r="P136" s="365" t="n">
        <v>20</v>
      </c>
      <c r="Q136" s="366" t="n">
        <v>18</v>
      </c>
      <c r="R136" s="368" t="n">
        <v>42</v>
      </c>
      <c r="S136" s="368" t="n">
        <v>0</v>
      </c>
      <c r="T136" s="368" t="n">
        <v>140</v>
      </c>
      <c r="U136" s="368" t="n">
        <v>589</v>
      </c>
      <c r="V136" s="368">
        <f>S86+T86</f>
        <v/>
      </c>
      <c r="W136" s="368">
        <f>S86+T86+U86</f>
        <v/>
      </c>
      <c r="X136" s="368">
        <f>W86*Q86</f>
        <v/>
      </c>
      <c r="Y136" s="366" t="n">
        <v>89</v>
      </c>
      <c r="Z136" s="366" t="n">
        <v>89</v>
      </c>
      <c r="AA136" s="365">
        <f>IF(Y86=Z86,"No","Yes")</f>
        <v/>
      </c>
      <c r="AB136" s="365" t="inlineStr">
        <is>
          <t>NA242SS4207</t>
        </is>
      </c>
      <c r="AC136" s="364" t="inlineStr">
        <is>
          <t>核心中高强度高弹口袋九分运动紧身裤</t>
        </is>
      </c>
    </row>
    <row r="137" ht="18" customHeight="1" s="229">
      <c r="A137" s="590" t="inlineStr">
        <is>
          <t>Ballet Ribbed Cardigan</t>
        </is>
      </c>
      <c r="B137" s="591" t="inlineStr">
        <is>
          <t>Active</t>
        </is>
      </c>
      <c r="C137" s="592" t="inlineStr">
        <is>
          <t>REMOVE</t>
        </is>
      </c>
      <c r="D137" s="593" t="inlineStr">
        <is>
          <t>Active category rationalization</t>
        </is>
      </c>
      <c r="E137" s="593" t="inlineStr">
        <is>
          <t>4 — LOW (natural sellthrough)</t>
        </is>
      </c>
      <c r="F137" s="594" t="inlineStr">
        <is>
          <t>Remove</t>
        </is>
      </c>
      <c r="G137" s="593" t="n"/>
      <c r="H137" s="595" t="n">
        <v>2105.08</v>
      </c>
      <c r="I137" s="595" t="n">
        <v>2816.1</v>
      </c>
      <c r="J137" s="595" t="n">
        <v>-711.02</v>
      </c>
      <c r="K137" s="600" t="n">
        <v>0.252</v>
      </c>
      <c r="L137" s="597" t="n">
        <v>27</v>
      </c>
      <c r="M137" s="595" t="n">
        <v>77.97</v>
      </c>
      <c r="N137" s="598" t="n">
        <v>0.0012</v>
      </c>
      <c r="O137" s="598" t="n">
        <v>0.8675</v>
      </c>
      <c r="P137" s="594" t="n">
        <v>2</v>
      </c>
      <c r="Q137" s="595" t="n">
        <v>18</v>
      </c>
      <c r="R137" s="597" t="n">
        <v>27</v>
      </c>
      <c r="S137" s="597" t="n">
        <v>1</v>
      </c>
      <c r="T137" s="597" t="n">
        <v>11</v>
      </c>
      <c r="U137" s="597" t="n">
        <v>62</v>
      </c>
      <c r="V137" s="597">
        <f>S87+T87</f>
        <v/>
      </c>
      <c r="W137" s="597">
        <f>S87+T87+U87</f>
        <v/>
      </c>
      <c r="X137" s="597">
        <f>W87*Q87</f>
        <v/>
      </c>
      <c r="Y137" s="595" t="n">
        <v>149</v>
      </c>
      <c r="Z137" s="595" t="n">
        <v>104.3</v>
      </c>
      <c r="AA137" s="594">
        <f>IF(Y87=Z87,"No","Yes")</f>
        <v/>
      </c>
      <c r="AB137" s="594" t="inlineStr">
        <is>
          <t>NA221SD2703</t>
        </is>
      </c>
      <c r="AC137" s="593" t="inlineStr">
        <is>
          <t>芭蕾罗纹缠绕开衫</t>
        </is>
      </c>
    </row>
    <row r="138" ht="18" customHeight="1" s="229">
      <c r="A138" s="361" t="inlineStr">
        <is>
          <t>Cocoon Wide Leg Pants 2.0</t>
        </is>
      </c>
      <c r="B138" s="362" t="inlineStr">
        <is>
          <t>Active</t>
        </is>
      </c>
      <c r="C138" s="589" t="inlineStr">
        <is>
          <t>REMOVE</t>
        </is>
      </c>
      <c r="D138" s="364" t="inlineStr">
        <is>
          <t>Active category rationalization</t>
        </is>
      </c>
      <c r="E138" s="364" t="inlineStr">
        <is>
          <t>3 — MEDIUM (selldown or markdown)</t>
        </is>
      </c>
      <c r="F138" s="365" t="inlineStr">
        <is>
          <t>Remove</t>
        </is>
      </c>
      <c r="G138" s="364" t="n"/>
      <c r="H138" s="366" t="n">
        <v>1988.13</v>
      </c>
      <c r="I138" s="366" t="n">
        <v>3204.6</v>
      </c>
      <c r="J138" s="366" t="n">
        <v>-769.29</v>
      </c>
      <c r="K138" s="380" t="n">
        <v>0.24</v>
      </c>
      <c r="L138" s="368" t="n">
        <v>30</v>
      </c>
      <c r="M138" s="366" t="n">
        <v>66.27</v>
      </c>
      <c r="N138" s="369" t="n">
        <v>0.0011</v>
      </c>
      <c r="O138" s="369" t="n">
        <v>0.8719</v>
      </c>
      <c r="P138" s="365" t="n">
        <v>6</v>
      </c>
      <c r="Q138" s="366" t="n">
        <v>18</v>
      </c>
      <c r="R138" s="368" t="n">
        <v>36</v>
      </c>
      <c r="S138" s="368" t="n">
        <v>7</v>
      </c>
      <c r="T138" s="368" t="n">
        <v>15</v>
      </c>
      <c r="U138" s="368" t="n">
        <v>65</v>
      </c>
      <c r="V138" s="368">
        <f>S91+T91</f>
        <v/>
      </c>
      <c r="W138" s="368">
        <f>S91+T91+U91</f>
        <v/>
      </c>
      <c r="X138" s="368">
        <f>W91*Q91</f>
        <v/>
      </c>
      <c r="Y138" s="366" t="n">
        <v>109</v>
      </c>
      <c r="Z138" s="366" t="n">
        <v>76.3</v>
      </c>
      <c r="AA138" s="365">
        <f>IF(Y91=Z91,"No","Yes")</f>
        <v/>
      </c>
      <c r="AB138" s="365" t="inlineStr">
        <is>
          <t>NA241SO4106</t>
        </is>
      </c>
      <c r="AC138" s="364" t="inlineStr">
        <is>
          <t>弧形全长运动阔腿卫裤</t>
        </is>
      </c>
    </row>
    <row r="139" ht="18" customHeight="1" s="229">
      <c r="A139" s="590" t="inlineStr">
        <is>
          <t>Active Wool Cardigan</t>
        </is>
      </c>
      <c r="B139" s="591" t="inlineStr">
        <is>
          <t>Active</t>
        </is>
      </c>
      <c r="C139" s="592" t="inlineStr">
        <is>
          <t>REMOVE</t>
        </is>
      </c>
      <c r="D139" s="593" t="inlineStr">
        <is>
          <t>Active category rationalization</t>
        </is>
      </c>
      <c r="E139" s="593" t="inlineStr">
        <is>
          <t>3 — MEDIUM (selldown or markdown)</t>
        </is>
      </c>
      <c r="F139" s="594" t="inlineStr">
        <is>
          <t>Remove</t>
        </is>
      </c>
      <c r="G139" s="593" t="n"/>
      <c r="H139" s="595" t="n">
        <v>1871.92</v>
      </c>
      <c r="I139" s="595" t="n">
        <v>3175.2</v>
      </c>
      <c r="J139" s="595" t="n">
        <v>-594.03</v>
      </c>
      <c r="K139" s="596" t="n">
        <v>0.187</v>
      </c>
      <c r="L139" s="597" t="n">
        <v>16</v>
      </c>
      <c r="M139" s="595" t="n">
        <v>117</v>
      </c>
      <c r="N139" s="598" t="n">
        <v>0.001</v>
      </c>
      <c r="O139" s="598" t="n">
        <v>0.8781</v>
      </c>
      <c r="P139" s="594" t="n">
        <v>11</v>
      </c>
      <c r="Q139" s="595" t="n">
        <v>18</v>
      </c>
      <c r="R139" s="597" t="n">
        <v>21</v>
      </c>
      <c r="S139" s="597" t="n">
        <v>0</v>
      </c>
      <c r="T139" s="597" t="n">
        <v>56</v>
      </c>
      <c r="U139" s="597" t="n">
        <v>81</v>
      </c>
      <c r="V139" s="597">
        <f>S97+T97</f>
        <v/>
      </c>
      <c r="W139" s="597">
        <f>S97+T97+U97</f>
        <v/>
      </c>
      <c r="X139" s="597">
        <f>W97*Q97</f>
        <v/>
      </c>
      <c r="Y139" s="595" t="n">
        <v>189</v>
      </c>
      <c r="Z139" s="595" t="n">
        <v>132.3</v>
      </c>
      <c r="AA139" s="594">
        <f>IF(Y97=Z97,"No","Yes")</f>
        <v/>
      </c>
      <c r="AB139" s="594" t="inlineStr">
        <is>
          <t>NA241SO2701</t>
        </is>
      </c>
      <c r="AC139" s="593" t="inlineStr">
        <is>
          <t>翻领毛织运动开衫</t>
        </is>
      </c>
    </row>
    <row r="140" ht="18" customHeight="1" s="229">
      <c r="A140" s="361" t="inlineStr">
        <is>
          <t>Mousse Cut-out Padded Crop Top</t>
        </is>
      </c>
      <c r="B140" s="362" t="inlineStr">
        <is>
          <t>Active</t>
        </is>
      </c>
      <c r="C140" s="589" t="inlineStr">
        <is>
          <t>REMOVE</t>
        </is>
      </c>
      <c r="D140" s="364" t="inlineStr">
        <is>
          <t>Active category rationalization</t>
        </is>
      </c>
      <c r="E140" s="364" t="inlineStr">
        <is>
          <t>4 — LOW (natural sellthrough)</t>
        </is>
      </c>
      <c r="F140" s="365" t="inlineStr">
        <is>
          <t>Remove</t>
        </is>
      </c>
      <c r="G140" s="364" t="n"/>
      <c r="H140" s="366" t="n">
        <v>1861.7</v>
      </c>
      <c r="I140" s="366" t="n">
        <v>2659.65</v>
      </c>
      <c r="J140" s="366" t="n">
        <v>-673</v>
      </c>
      <c r="K140" s="367" t="n">
        <v>0.253</v>
      </c>
      <c r="L140" s="368" t="n">
        <v>42</v>
      </c>
      <c r="M140" s="366" t="n">
        <v>44.33</v>
      </c>
      <c r="N140" s="369" t="n">
        <v>0.001</v>
      </c>
      <c r="O140" s="369" t="n">
        <v>0.8791</v>
      </c>
      <c r="P140" s="365" t="n">
        <v>8</v>
      </c>
      <c r="Q140" s="366" t="n">
        <v>18</v>
      </c>
      <c r="R140" s="368" t="n">
        <v>45</v>
      </c>
      <c r="S140" s="368" t="n">
        <v>0</v>
      </c>
      <c r="T140" s="368" t="n">
        <v>23</v>
      </c>
      <c r="U140" s="368" t="n">
        <v>194</v>
      </c>
      <c r="V140" s="368">
        <f>S98+T98</f>
        <v/>
      </c>
      <c r="W140" s="368">
        <f>S98+T98+U98</f>
        <v/>
      </c>
      <c r="X140" s="368">
        <f>W98*Q98</f>
        <v/>
      </c>
      <c r="Y140" s="366" t="n">
        <v>85</v>
      </c>
      <c r="Z140" s="366" t="n">
        <v>59.5</v>
      </c>
      <c r="AA140" s="365">
        <f>IF(Y98=Z98,"No","Yes")</f>
        <v/>
      </c>
      <c r="AB140" s="365" t="inlineStr">
        <is>
          <t>NA232SS3203</t>
        </is>
      </c>
      <c r="AC140" s="364" t="inlineStr">
        <is>
          <t>慕斯可拆卸杯垫长袖镂空紧身T恤</t>
        </is>
      </c>
    </row>
    <row r="141" ht="18" customHeight="1" s="229">
      <c r="A141" s="590" t="inlineStr">
        <is>
          <t>Wool Seamless Mock Neck Top</t>
        </is>
      </c>
      <c r="B141" s="591" t="inlineStr">
        <is>
          <t>Active</t>
        </is>
      </c>
      <c r="C141" s="592" t="inlineStr">
        <is>
          <t>REMOVE</t>
        </is>
      </c>
      <c r="D141" s="593" t="inlineStr">
        <is>
          <t>Active category rationalization</t>
        </is>
      </c>
      <c r="E141" s="593" t="inlineStr">
        <is>
          <t>4 — LOW (natural sellthrough)</t>
        </is>
      </c>
      <c r="F141" s="594" t="inlineStr">
        <is>
          <t>Remove</t>
        </is>
      </c>
      <c r="G141" s="593" t="n"/>
      <c r="H141" s="595" t="n">
        <v>1813.53</v>
      </c>
      <c r="I141" s="595" t="n">
        <v>2899.4</v>
      </c>
      <c r="J141" s="595" t="n">
        <v>-855.64</v>
      </c>
      <c r="K141" s="600" t="n">
        <v>0.295</v>
      </c>
      <c r="L141" s="597" t="n">
        <v>34</v>
      </c>
      <c r="M141" s="595" t="n">
        <v>53.34</v>
      </c>
      <c r="N141" s="598" t="n">
        <v>0.001</v>
      </c>
      <c r="O141" s="598" t="n">
        <v>0.8831</v>
      </c>
      <c r="P141" s="594" t="n">
        <v>4</v>
      </c>
      <c r="Q141" s="595" t="n">
        <v>18</v>
      </c>
      <c r="R141" s="597" t="n">
        <v>38</v>
      </c>
      <c r="S141" s="597" t="n">
        <v>0</v>
      </c>
      <c r="T141" s="597" t="n">
        <v>7</v>
      </c>
      <c r="U141" s="597" t="n">
        <v>88</v>
      </c>
      <c r="V141" s="597">
        <f>S102+T102</f>
        <v/>
      </c>
      <c r="W141" s="597">
        <f>S102+T102+U102</f>
        <v/>
      </c>
      <c r="X141" s="597">
        <f>W102*Q102</f>
        <v/>
      </c>
      <c r="Y141" s="595" t="n">
        <v>109</v>
      </c>
      <c r="Z141" s="595" t="n">
        <v>76.3</v>
      </c>
      <c r="AA141" s="594">
        <f>IF(Y102=Z102,"No","Yes")</f>
        <v/>
      </c>
      <c r="AB141" s="594" t="inlineStr">
        <is>
          <t>NA232SS3306</t>
        </is>
      </c>
      <c r="AC141" s="593" t="inlineStr">
        <is>
          <t>羊毛混纺无缝半高领运动打底衫</t>
        </is>
      </c>
    </row>
    <row r="142" ht="18" customHeight="1" s="229">
      <c r="A142" s="361" t="inlineStr">
        <is>
          <t>Urban Sport Wool Leggings</t>
        </is>
      </c>
      <c r="B142" s="362" t="inlineStr">
        <is>
          <t>Active</t>
        </is>
      </c>
      <c r="C142" s="589" t="inlineStr">
        <is>
          <t>REMOVE</t>
        </is>
      </c>
      <c r="D142" s="364" t="inlineStr">
        <is>
          <t>Active category rationalization</t>
        </is>
      </c>
      <c r="E142" s="364" t="inlineStr">
        <is>
          <t>3 — MEDIUM (selldown or markdown)</t>
        </is>
      </c>
      <c r="F142" s="365" t="inlineStr">
        <is>
          <t>Remove</t>
        </is>
      </c>
      <c r="G142" s="364" t="n"/>
      <c r="H142" s="366" t="n">
        <v>1787.97</v>
      </c>
      <c r="I142" s="366" t="n">
        <v>2387.4</v>
      </c>
      <c r="J142" s="366" t="n">
        <v>-599.4300000000001</v>
      </c>
      <c r="K142" s="367" t="n">
        <v>0.251</v>
      </c>
      <c r="L142" s="368" t="n">
        <v>37</v>
      </c>
      <c r="M142" s="366" t="n">
        <v>48.32</v>
      </c>
      <c r="N142" s="369" t="n">
        <v>0.001</v>
      </c>
      <c r="O142" s="369" t="n">
        <v>0.8851</v>
      </c>
      <c r="P142" s="365" t="n">
        <v>5</v>
      </c>
      <c r="Q142" s="366" t="n">
        <v>18</v>
      </c>
      <c r="R142" s="368" t="n">
        <v>34</v>
      </c>
      <c r="S142" s="368" t="n">
        <v>0</v>
      </c>
      <c r="T142" s="368" t="n">
        <v>29</v>
      </c>
      <c r="U142" s="368" t="n">
        <v>391</v>
      </c>
      <c r="V142" s="368">
        <f>S104+T104</f>
        <v/>
      </c>
      <c r="W142" s="368">
        <f>S104+T104+U104</f>
        <v/>
      </c>
      <c r="X142" s="368">
        <f>W104*Q104</f>
        <v/>
      </c>
      <c r="Y142" s="366" t="n">
        <v>138</v>
      </c>
      <c r="Z142" s="366" t="n">
        <v>55.2</v>
      </c>
      <c r="AA142" s="365">
        <f>IF(Y104=Z104,"No","Yes")</f>
        <v/>
      </c>
      <c r="AB142" s="365" t="inlineStr">
        <is>
          <t>N212WA4112</t>
        </is>
      </c>
      <c r="AC142" s="364" t="inlineStr">
        <is>
          <t>羊毛混纺leggings</t>
        </is>
      </c>
    </row>
    <row r="143" ht="18" customHeight="1" s="229">
      <c r="A143" s="590" t="inlineStr">
        <is>
          <t>NEIWAI ACTIVE X NYCB Mousse Medium Support Long Sports Bra</t>
        </is>
      </c>
      <c r="B143" s="591" t="inlineStr">
        <is>
          <t>Active</t>
        </is>
      </c>
      <c r="C143" s="592" t="inlineStr">
        <is>
          <t>REMOVE</t>
        </is>
      </c>
      <c r="D143" s="593" t="inlineStr">
        <is>
          <t>NYCB collab — dead inventory, no velocity</t>
        </is>
      </c>
      <c r="E143" s="593" t="inlineStr">
        <is>
          <t>3 — MEDIUM (selldown or markdown)</t>
        </is>
      </c>
      <c r="F143" s="594" t="inlineStr">
        <is>
          <t>Remove</t>
        </is>
      </c>
      <c r="G143" s="593" t="n"/>
      <c r="H143" s="595" t="n">
        <v>1734.93</v>
      </c>
      <c r="I143" s="595" t="n">
        <v>3204</v>
      </c>
      <c r="J143" s="595" t="n">
        <v>-818.25</v>
      </c>
      <c r="K143" s="600" t="n">
        <v>0.255</v>
      </c>
      <c r="L143" s="597" t="n">
        <v>26</v>
      </c>
      <c r="M143" s="595" t="n">
        <v>66.73</v>
      </c>
      <c r="N143" s="598" t="n">
        <v>0.001</v>
      </c>
      <c r="O143" s="598" t="n">
        <v>0.8870999999999999</v>
      </c>
      <c r="P143" s="594" t="n">
        <v>10</v>
      </c>
      <c r="Q143" s="595" t="n">
        <v>18</v>
      </c>
      <c r="R143" s="597" t="n">
        <v>34</v>
      </c>
      <c r="S143" s="597" t="n">
        <v>2</v>
      </c>
      <c r="T143" s="597" t="n">
        <v>94</v>
      </c>
      <c r="U143" s="597" t="n">
        <v>36</v>
      </c>
      <c r="V143" s="597">
        <f>S106+T106</f>
        <v/>
      </c>
      <c r="W143" s="597">
        <f>S106+T106+U106</f>
        <v/>
      </c>
      <c r="X143" s="597">
        <f>W106*Q106</f>
        <v/>
      </c>
      <c r="Y143" s="595" t="n">
        <v>89</v>
      </c>
      <c r="Z143" s="595" t="n">
        <v>89</v>
      </c>
      <c r="AA143" s="594">
        <f>IF(Y106=Z106,"No","Yes")</f>
        <v/>
      </c>
      <c r="AB143" s="594" t="inlineStr">
        <is>
          <t>NA242SS1102</t>
        </is>
      </c>
      <c r="AC143" s="593" t="inlineStr">
        <is>
          <t>核心中强度镂空M字背长款运动文胸</t>
        </is>
      </c>
    </row>
    <row r="144" ht="18" customHeight="1" s="229">
      <c r="A144" s="361" t="inlineStr">
        <is>
          <t>NEIWAI ACTIVE X NYCB Ballet Wrap Cardigan</t>
        </is>
      </c>
      <c r="B144" s="362" t="inlineStr">
        <is>
          <t>Active</t>
        </is>
      </c>
      <c r="C144" s="589" t="inlineStr">
        <is>
          <t>REMOVE</t>
        </is>
      </c>
      <c r="D144" s="364" t="inlineStr">
        <is>
          <t>NYCB collab — dead inventory, no velocity</t>
        </is>
      </c>
      <c r="E144" s="364" t="inlineStr">
        <is>
          <t>3 — MEDIUM (selldown or markdown)</t>
        </is>
      </c>
      <c r="F144" s="365" t="inlineStr">
        <is>
          <t>Remove</t>
        </is>
      </c>
      <c r="G144" s="364" t="n"/>
      <c r="H144" s="366" t="n">
        <v>1712.75</v>
      </c>
      <c r="I144" s="366" t="n">
        <v>2790</v>
      </c>
      <c r="J144" s="366" t="n">
        <v>-818.08</v>
      </c>
      <c r="K144" s="367" t="n">
        <v>0.293</v>
      </c>
      <c r="L144" s="368" t="n">
        <v>16</v>
      </c>
      <c r="M144" s="366" t="n">
        <v>107.05</v>
      </c>
      <c r="N144" s="369" t="n">
        <v>0.0009</v>
      </c>
      <c r="O144" s="369" t="n">
        <v>0.888</v>
      </c>
      <c r="P144" s="365" t="n">
        <v>8</v>
      </c>
      <c r="Q144" s="366" t="n">
        <v>18</v>
      </c>
      <c r="R144" s="368" t="n">
        <v>18</v>
      </c>
      <c r="S144" s="368" t="n">
        <v>0</v>
      </c>
      <c r="T144" s="368" t="n">
        <v>112</v>
      </c>
      <c r="U144" s="368" t="n">
        <v>0</v>
      </c>
      <c r="V144" s="368">
        <f>S107+T107</f>
        <v/>
      </c>
      <c r="W144" s="368">
        <f>S107+T107+U107</f>
        <v/>
      </c>
      <c r="X144" s="368">
        <f>W107*Q107</f>
        <v/>
      </c>
      <c r="Y144" s="366" t="n">
        <v>155</v>
      </c>
      <c r="Z144" s="366" t="n">
        <v>155</v>
      </c>
      <c r="AA144" s="365">
        <f>IF(Y107=Z107,"No","Yes")</f>
        <v/>
      </c>
      <c r="AB144" s="365" t="inlineStr">
        <is>
          <t>NA242SD2703</t>
        </is>
      </c>
      <c r="AC144" s="364" t="inlineStr">
        <is>
          <t>羊毛混纺围裹开衫</t>
        </is>
      </c>
    </row>
    <row r="145" ht="18" customHeight="1" s="229">
      <c r="A145" s="590" t="inlineStr">
        <is>
          <t>Dance Flare Leggings</t>
        </is>
      </c>
      <c r="B145" s="591" t="inlineStr">
        <is>
          <t>Active</t>
        </is>
      </c>
      <c r="C145" s="592" t="inlineStr">
        <is>
          <t>REMOVE</t>
        </is>
      </c>
      <c r="D145" s="593" t="inlineStr">
        <is>
          <t>Active category rationalization</t>
        </is>
      </c>
      <c r="E145" s="593" t="inlineStr">
        <is>
          <t>3 — MEDIUM (selldown or markdown)</t>
        </is>
      </c>
      <c r="F145" s="594" t="inlineStr">
        <is>
          <t>Remove</t>
        </is>
      </c>
      <c r="G145" s="593" t="n"/>
      <c r="H145" s="595" t="n">
        <v>1656.47</v>
      </c>
      <c r="I145" s="595" t="n">
        <v>2344.3</v>
      </c>
      <c r="J145" s="595" t="n">
        <v>-687.83</v>
      </c>
      <c r="K145" s="600" t="n">
        <v>0.293</v>
      </c>
      <c r="L145" s="597" t="n">
        <v>29</v>
      </c>
      <c r="M145" s="595" t="n">
        <v>57.12</v>
      </c>
      <c r="N145" s="598" t="n">
        <v>0.0009</v>
      </c>
      <c r="O145" s="598" t="n">
        <v>0.8906999999999999</v>
      </c>
      <c r="P145" s="594" t="n">
        <v>9</v>
      </c>
      <c r="Q145" s="595" t="n">
        <v>18</v>
      </c>
      <c r="R145" s="597" t="n">
        <v>29</v>
      </c>
      <c r="S145" s="597" t="n">
        <v>0</v>
      </c>
      <c r="T145" s="597" t="n">
        <v>35</v>
      </c>
      <c r="U145" s="597" t="n">
        <v>563</v>
      </c>
      <c r="V145" s="597">
        <f>S110+T110</f>
        <v/>
      </c>
      <c r="W145" s="597">
        <f>S110+T110+U110</f>
        <v/>
      </c>
      <c r="X145" s="597">
        <f>W110*Q110</f>
        <v/>
      </c>
      <c r="Y145" s="595" t="n">
        <v>119</v>
      </c>
      <c r="Z145" s="595" t="n">
        <v>71.40000000000001</v>
      </c>
      <c r="AA145" s="594">
        <f>IF(Y110=Z110,"No","Yes")</f>
        <v/>
      </c>
      <c r="AB145" s="594" t="inlineStr">
        <is>
          <t>NA222SD4201</t>
        </is>
      </c>
      <c r="AC145" s="593" t="inlineStr">
        <is>
          <t>舞动紧身微喇裤</t>
        </is>
      </c>
    </row>
    <row r="146" ht="18" customHeight="1" s="229">
      <c r="A146" s="361" t="inlineStr">
        <is>
          <t>Mousse Light Support Leggings</t>
        </is>
      </c>
      <c r="B146" s="362" t="inlineStr">
        <is>
          <t>Active</t>
        </is>
      </c>
      <c r="C146" s="589" t="inlineStr">
        <is>
          <t>REMOVE</t>
        </is>
      </c>
      <c r="D146" s="364" t="inlineStr">
        <is>
          <t>Active category rationalization</t>
        </is>
      </c>
      <c r="E146" s="364" t="inlineStr">
        <is>
          <t>3 — MEDIUM (selldown or markdown)</t>
        </is>
      </c>
      <c r="F146" s="365" t="inlineStr">
        <is>
          <t>Remove</t>
        </is>
      </c>
      <c r="G146" s="364" t="n"/>
      <c r="H146" s="366" t="n">
        <v>1649.02</v>
      </c>
      <c r="I146" s="366" t="n">
        <v>6764</v>
      </c>
      <c r="J146" s="366" t="n">
        <v>-4625.48</v>
      </c>
      <c r="K146" s="367" t="n">
        <v>0.6840000000000001</v>
      </c>
      <c r="L146" s="368" t="n">
        <v>69</v>
      </c>
      <c r="M146" s="366" t="n">
        <v>23.9</v>
      </c>
      <c r="N146" s="369" t="n">
        <v>0.0009</v>
      </c>
      <c r="O146" s="369" t="n">
        <v>0.8915999999999999</v>
      </c>
      <c r="P146" s="365" t="n">
        <v>19</v>
      </c>
      <c r="Q146" s="366" t="n">
        <v>18</v>
      </c>
      <c r="R146" s="368" t="n">
        <v>76</v>
      </c>
      <c r="S146" s="368" t="n">
        <v>3</v>
      </c>
      <c r="T146" s="368" t="n">
        <v>83</v>
      </c>
      <c r="U146" s="368" t="n">
        <v>446</v>
      </c>
      <c r="V146" s="368">
        <f>S111+T111</f>
        <v/>
      </c>
      <c r="W146" s="368">
        <f>S111+T111+U111</f>
        <v/>
      </c>
      <c r="X146" s="368">
        <f>W111*Q111</f>
        <v/>
      </c>
      <c r="Y146" s="366" t="n">
        <v>89</v>
      </c>
      <c r="Z146" s="366" t="n">
        <v>89</v>
      </c>
      <c r="AA146" s="365">
        <f>IF(Y111=Z111,"No","Yes")</f>
        <v/>
      </c>
      <c r="AB146" s="365" t="inlineStr">
        <is>
          <t>NA251SS4201</t>
        </is>
      </c>
      <c r="AC146" s="364" t="inlineStr">
        <is>
          <t>核心中低强度柔感高腰九分运动紧身裤</t>
        </is>
      </c>
    </row>
    <row r="147" ht="18" customHeight="1" s="229">
      <c r="A147" s="590" t="inlineStr">
        <is>
          <t>Mousse Light Support Long Sports Bra</t>
        </is>
      </c>
      <c r="B147" s="591" t="inlineStr">
        <is>
          <t>Active</t>
        </is>
      </c>
      <c r="C147" s="592" t="inlineStr">
        <is>
          <t>REMOVE</t>
        </is>
      </c>
      <c r="D147" s="593" t="inlineStr">
        <is>
          <t>Active category rationalization</t>
        </is>
      </c>
      <c r="E147" s="593" t="inlineStr">
        <is>
          <t>3 — MEDIUM (selldown or markdown)</t>
        </is>
      </c>
      <c r="F147" s="594" t="inlineStr">
        <is>
          <t>Remove</t>
        </is>
      </c>
      <c r="G147" s="593" t="n"/>
      <c r="H147" s="595" t="n">
        <v>1642.03</v>
      </c>
      <c r="I147" s="595" t="n">
        <v>3081</v>
      </c>
      <c r="J147" s="595" t="n">
        <v>-856.84</v>
      </c>
      <c r="K147" s="600" t="n">
        <v>0.278</v>
      </c>
      <c r="L147" s="597" t="n">
        <v>29</v>
      </c>
      <c r="M147" s="595" t="n">
        <v>56.62</v>
      </c>
      <c r="N147" s="598" t="n">
        <v>0.0009</v>
      </c>
      <c r="O147" s="598" t="n">
        <v>0.8925</v>
      </c>
      <c r="P147" s="594" t="n">
        <v>8</v>
      </c>
      <c r="Q147" s="595" t="n">
        <v>18</v>
      </c>
      <c r="R147" s="597" t="n">
        <v>39</v>
      </c>
      <c r="S147" s="597" t="n">
        <v>26</v>
      </c>
      <c r="T147" s="597" t="n">
        <v>17</v>
      </c>
      <c r="U147" s="597" t="n">
        <v>64</v>
      </c>
      <c r="V147" s="597">
        <f>S112+T112</f>
        <v/>
      </c>
      <c r="W147" s="597">
        <f>S112+T112+U112</f>
        <v/>
      </c>
      <c r="X147" s="597">
        <f>W112*Q112</f>
        <v/>
      </c>
      <c r="Y147" s="595" t="n">
        <v>79</v>
      </c>
      <c r="Z147" s="595" t="n">
        <v>79</v>
      </c>
      <c r="AA147" s="594">
        <f>IF(Y112=Z112,"No","Yes")</f>
        <v/>
      </c>
      <c r="AB147" s="594" t="inlineStr">
        <is>
          <t>NA222SS1108</t>
        </is>
      </c>
      <c r="AC147" s="593" t="inlineStr">
        <is>
          <t>核心低强度V字背长款运动文胸</t>
        </is>
      </c>
    </row>
    <row r="148" ht="18" customHeight="1" s="229">
      <c r="A148" s="361" t="inlineStr">
        <is>
          <t>Ballet Wool Jacket</t>
        </is>
      </c>
      <c r="B148" s="362" t="inlineStr">
        <is>
          <t>Active</t>
        </is>
      </c>
      <c r="C148" s="589" t="inlineStr">
        <is>
          <t>REMOVE</t>
        </is>
      </c>
      <c r="D148" s="364" t="inlineStr">
        <is>
          <t>Active category rationalization</t>
        </is>
      </c>
      <c r="E148" s="364" t="inlineStr">
        <is>
          <t>4 — LOW (natural sellthrough)</t>
        </is>
      </c>
      <c r="F148" s="365" t="inlineStr">
        <is>
          <t>Remove</t>
        </is>
      </c>
      <c r="G148" s="364" t="n"/>
      <c r="H148" s="366" t="n">
        <v>1574.63</v>
      </c>
      <c r="I148" s="366" t="n">
        <v>2178.3</v>
      </c>
      <c r="J148" s="366" t="n">
        <v>-603.67</v>
      </c>
      <c r="K148" s="367" t="n">
        <v>0.277</v>
      </c>
      <c r="L148" s="368" t="n">
        <v>29</v>
      </c>
      <c r="M148" s="366" t="n">
        <v>54.3</v>
      </c>
      <c r="N148" s="369" t="n">
        <v>0.0009</v>
      </c>
      <c r="O148" s="369" t="n">
        <v>0.897</v>
      </c>
      <c r="P148" s="365" t="n">
        <v>6</v>
      </c>
      <c r="Q148" s="366" t="n">
        <v>18</v>
      </c>
      <c r="R148" s="368" t="n">
        <v>29</v>
      </c>
      <c r="S148" s="368" t="n">
        <v>0</v>
      </c>
      <c r="T148" s="368" t="n">
        <v>9</v>
      </c>
      <c r="U148" s="368" t="n">
        <v>147</v>
      </c>
      <c r="V148" s="368">
        <f>S117+T117</f>
        <v/>
      </c>
      <c r="W148" s="368">
        <f>S117+T117+U117</f>
        <v/>
      </c>
      <c r="X148" s="368">
        <f>W117*Q117</f>
        <v/>
      </c>
      <c r="Y148" s="366" t="n">
        <v>159</v>
      </c>
      <c r="Z148" s="366" t="n">
        <v>63.6</v>
      </c>
      <c r="AA148" s="365">
        <f>IF(Y117=Z117,"No","Yes")</f>
        <v/>
      </c>
      <c r="AB148" s="365" t="inlineStr">
        <is>
          <t>N212WA5405</t>
        </is>
      </c>
      <c r="AC148" s="364" t="inlineStr">
        <is>
          <t>羊毛混纺拉链连帽外套</t>
        </is>
      </c>
    </row>
    <row r="149" ht="18" customHeight="1" s="229">
      <c r="A149" s="590" t="inlineStr">
        <is>
          <t>Ballet Slit Joggers</t>
        </is>
      </c>
      <c r="B149" s="591" t="inlineStr">
        <is>
          <t>Active</t>
        </is>
      </c>
      <c r="C149" s="592" t="inlineStr">
        <is>
          <t>REMOVE</t>
        </is>
      </c>
      <c r="D149" s="593" t="inlineStr">
        <is>
          <t>Active category rationalization</t>
        </is>
      </c>
      <c r="E149" s="593" t="inlineStr">
        <is>
          <t>4 — LOW (natural sellthrough)</t>
        </is>
      </c>
      <c r="F149" s="594" t="inlineStr">
        <is>
          <t>Remove</t>
        </is>
      </c>
      <c r="G149" s="593" t="n"/>
      <c r="H149" s="595" t="n">
        <v>1553.29</v>
      </c>
      <c r="I149" s="595" t="n">
        <v>2212.7</v>
      </c>
      <c r="J149" s="595" t="n">
        <v>-602.1799999999999</v>
      </c>
      <c r="K149" s="600" t="n">
        <v>0.272</v>
      </c>
      <c r="L149" s="597" t="n">
        <v>28</v>
      </c>
      <c r="M149" s="595" t="n">
        <v>55.47</v>
      </c>
      <c r="N149" s="598" t="n">
        <v>0.0009</v>
      </c>
      <c r="O149" s="598" t="n">
        <v>0.8987999999999999</v>
      </c>
      <c r="P149" s="594" t="n">
        <v>5</v>
      </c>
      <c r="Q149" s="595" t="n">
        <v>18</v>
      </c>
      <c r="R149" s="597" t="n">
        <v>29</v>
      </c>
      <c r="S149" s="597" t="n">
        <v>2</v>
      </c>
      <c r="T149" s="597" t="n">
        <v>5</v>
      </c>
      <c r="U149" s="597" t="n">
        <v>73</v>
      </c>
      <c r="V149" s="597">
        <f>S119+T119</f>
        <v/>
      </c>
      <c r="W149" s="597">
        <f>S119+T119+U119</f>
        <v/>
      </c>
      <c r="X149" s="597">
        <f>W119*Q119</f>
        <v/>
      </c>
      <c r="Y149" s="595" t="n">
        <v>109</v>
      </c>
      <c r="Z149" s="595" t="n">
        <v>76.3</v>
      </c>
      <c r="AA149" s="594">
        <f>IF(Y119=Z119,"No","Yes")</f>
        <v/>
      </c>
      <c r="AB149" s="594" t="inlineStr">
        <is>
          <t>NA231SD4101</t>
        </is>
      </c>
      <c r="AC149" s="593" t="inlineStr">
        <is>
          <t>芭蕾轻薄侧开衩针梭拼九分裤</t>
        </is>
      </c>
    </row>
    <row r="150" ht="18" customHeight="1" s="229">
      <c r="A150" s="361" t="inlineStr">
        <is>
          <t>Ballet Drawstring Joggers</t>
        </is>
      </c>
      <c r="B150" s="362" t="inlineStr">
        <is>
          <t>Active</t>
        </is>
      </c>
      <c r="C150" s="589" t="inlineStr">
        <is>
          <t>REMOVE</t>
        </is>
      </c>
      <c r="D150" s="364" t="inlineStr">
        <is>
          <t>Active category rationalization</t>
        </is>
      </c>
      <c r="E150" s="364" t="inlineStr">
        <is>
          <t>3 — MEDIUM (selldown or markdown)</t>
        </is>
      </c>
      <c r="F150" s="365" t="inlineStr">
        <is>
          <t>Remove</t>
        </is>
      </c>
      <c r="G150" s="364" t="n"/>
      <c r="H150" s="366" t="n">
        <v>1532.94</v>
      </c>
      <c r="I150" s="366" t="n">
        <v>4392.1</v>
      </c>
      <c r="J150" s="366" t="n">
        <v>-2680.66</v>
      </c>
      <c r="K150" s="367" t="n">
        <v>0.61</v>
      </c>
      <c r="L150" s="368" t="n">
        <v>38</v>
      </c>
      <c r="M150" s="366" t="n">
        <v>40.34</v>
      </c>
      <c r="N150" s="369" t="n">
        <v>0.0008</v>
      </c>
      <c r="O150" s="369" t="n">
        <v>0.9012</v>
      </c>
      <c r="P150" s="365" t="n">
        <v>13</v>
      </c>
      <c r="Q150" s="366" t="n">
        <v>18</v>
      </c>
      <c r="R150" s="368" t="n">
        <v>40</v>
      </c>
      <c r="S150" s="368" t="n">
        <v>0</v>
      </c>
      <c r="T150" s="368" t="n">
        <v>128</v>
      </c>
      <c r="U150" s="368" t="n">
        <v>95</v>
      </c>
      <c r="V150" s="368">
        <f>S122+T122</f>
        <v/>
      </c>
      <c r="W150" s="368">
        <f>S122+T122+U122</f>
        <v/>
      </c>
      <c r="X150" s="368">
        <f>W122*Q122</f>
        <v/>
      </c>
      <c r="Y150" s="366" t="n">
        <v>119</v>
      </c>
      <c r="Z150" s="366" t="n">
        <v>119</v>
      </c>
      <c r="AA150" s="365">
        <f>IF(Y122=Z122,"No","Yes")</f>
        <v/>
      </c>
      <c r="AB150" s="365" t="inlineStr">
        <is>
          <t>NA251SD4106</t>
        </is>
      </c>
      <c r="AC150" s="364" t="inlineStr">
        <is>
          <t>脚口抽绳可调节练功裤</t>
        </is>
      </c>
    </row>
    <row r="151" ht="18" customHeight="1" s="229">
      <c r="A151" s="590" t="inlineStr">
        <is>
          <t>Mousse Flare Leggings</t>
        </is>
      </c>
      <c r="B151" s="591" t="inlineStr">
        <is>
          <t>Active</t>
        </is>
      </c>
      <c r="C151" s="592" t="inlineStr">
        <is>
          <t>REMOVE</t>
        </is>
      </c>
      <c r="D151" s="593" t="inlineStr">
        <is>
          <t>Active category rationalization</t>
        </is>
      </c>
      <c r="E151" s="593" t="inlineStr">
        <is>
          <t>3 — MEDIUM (selldown or markdown)</t>
        </is>
      </c>
      <c r="F151" s="594" t="inlineStr">
        <is>
          <t>Remove</t>
        </is>
      </c>
      <c r="G151" s="593" t="n"/>
      <c r="H151" s="595" t="n">
        <v>1513.07</v>
      </c>
      <c r="I151" s="595" t="n">
        <v>2975</v>
      </c>
      <c r="J151" s="595" t="n">
        <v>-819.33</v>
      </c>
      <c r="K151" s="600" t="n">
        <v>0.275</v>
      </c>
      <c r="L151" s="597" t="n">
        <v>18</v>
      </c>
      <c r="M151" s="595" t="n">
        <v>84.06</v>
      </c>
      <c r="N151" s="598" t="n">
        <v>0.0008</v>
      </c>
      <c r="O151" s="598" t="n">
        <v>0.9044</v>
      </c>
      <c r="P151" s="594" t="n">
        <v>8</v>
      </c>
      <c r="Q151" s="595" t="n">
        <v>18</v>
      </c>
      <c r="R151" s="597" t="n">
        <v>25</v>
      </c>
      <c r="S151" s="597" t="n">
        <v>0</v>
      </c>
      <c r="T151" s="597" t="n">
        <v>46</v>
      </c>
      <c r="U151" s="597" t="n">
        <v>0</v>
      </c>
      <c r="V151" s="597">
        <f>S126+T126</f>
        <v/>
      </c>
      <c r="W151" s="597">
        <f>S126+T126+U126</f>
        <v/>
      </c>
      <c r="X151" s="597">
        <f>W126*Q126</f>
        <v/>
      </c>
      <c r="Y151" s="595" t="n">
        <v>119</v>
      </c>
      <c r="Z151" s="595" t="n">
        <v>119</v>
      </c>
      <c r="AA151" s="594">
        <f>IF(Y126=Z126,"No","Yes")</f>
        <v/>
      </c>
      <c r="AB151" s="594" t="inlineStr">
        <is>
          <t>NA252SS4105</t>
        </is>
      </c>
      <c r="AC151" s="593" t="inlineStr">
        <is>
          <t>慕斯全长小腿喇叭裤</t>
        </is>
      </c>
    </row>
    <row r="152" ht="18" customHeight="1" s="229">
      <c r="A152" s="361" t="inlineStr">
        <is>
          <t>Merino Wool 2-way Beanie</t>
        </is>
      </c>
      <c r="B152" s="362" t="inlineStr">
        <is>
          <t>Active</t>
        </is>
      </c>
      <c r="C152" s="589" t="inlineStr">
        <is>
          <t>REMOVE</t>
        </is>
      </c>
      <c r="D152" s="364" t="inlineStr">
        <is>
          <t>Active category rationalization</t>
        </is>
      </c>
      <c r="E152" s="364" t="inlineStr">
        <is>
          <t>4 — LOW (natural sellthrough)</t>
        </is>
      </c>
      <c r="F152" s="365" t="inlineStr">
        <is>
          <t>Remove</t>
        </is>
      </c>
      <c r="G152" s="364" t="n"/>
      <c r="H152" s="366" t="n">
        <v>1499.78</v>
      </c>
      <c r="I152" s="366" t="n">
        <v>2156</v>
      </c>
      <c r="J152" s="366" t="n">
        <v>-599.6999999999999</v>
      </c>
      <c r="K152" s="367" t="n">
        <v>0.278</v>
      </c>
      <c r="L152" s="368" t="n">
        <v>85</v>
      </c>
      <c r="M152" s="366" t="n">
        <v>17.64</v>
      </c>
      <c r="N152" s="369" t="n">
        <v>0.0008</v>
      </c>
      <c r="O152" s="369" t="n">
        <v>0.9059999999999999</v>
      </c>
      <c r="P152" s="365" t="n">
        <v>2</v>
      </c>
      <c r="Q152" s="366" t="n">
        <v>18</v>
      </c>
      <c r="R152" s="368" t="n">
        <v>87</v>
      </c>
      <c r="S152" s="368" t="n">
        <v>0</v>
      </c>
      <c r="T152" s="368" t="n">
        <v>12</v>
      </c>
      <c r="U152" s="368" t="n">
        <v>186</v>
      </c>
      <c r="V152" s="368">
        <f>S128+T128</f>
        <v/>
      </c>
      <c r="W152" s="368">
        <f>S128+T128+U128</f>
        <v/>
      </c>
      <c r="X152" s="368">
        <f>W128*Q128</f>
        <v/>
      </c>
      <c r="Y152" s="366" t="n">
        <v>35</v>
      </c>
      <c r="Z152" s="366" t="n">
        <v>24.5</v>
      </c>
      <c r="AA152" s="365">
        <f>IF(Y128=Z128,"No","Yes")</f>
        <v/>
      </c>
      <c r="AB152" s="365" t="inlineStr">
        <is>
          <t>NA232SA6101</t>
        </is>
      </c>
      <c r="AC152" s="364" t="inlineStr">
        <is>
          <t>美丽诺羊毛两戴针织帽</t>
        </is>
      </c>
    </row>
    <row r="153" ht="18" customHeight="1" s="229">
      <c r="A153" s="590" t="inlineStr">
        <is>
          <t>NEIWAI ACTIVE X NYCB Ballet Wool Ribbed Shrug</t>
        </is>
      </c>
      <c r="B153" s="591" t="inlineStr">
        <is>
          <t>Active</t>
        </is>
      </c>
      <c r="C153" s="592" t="inlineStr">
        <is>
          <t>REMOVE</t>
        </is>
      </c>
      <c r="D153" s="593" t="inlineStr">
        <is>
          <t>NYCB collab — dead inventory, no velocity</t>
        </is>
      </c>
      <c r="E153" s="593" t="inlineStr">
        <is>
          <t>3 — MEDIUM (selldown or markdown)</t>
        </is>
      </c>
      <c r="F153" s="594" t="inlineStr">
        <is>
          <t>Remove</t>
        </is>
      </c>
      <c r="G153" s="593" t="n"/>
      <c r="H153" s="595" t="n">
        <v>1444.25</v>
      </c>
      <c r="I153" s="595" t="n">
        <v>1929.3</v>
      </c>
      <c r="J153" s="595" t="n">
        <v>-332.45</v>
      </c>
      <c r="K153" s="596" t="n">
        <v>0.172</v>
      </c>
      <c r="L153" s="597" t="n">
        <v>16</v>
      </c>
      <c r="M153" s="595" t="n">
        <v>90.27</v>
      </c>
      <c r="N153" s="598" t="n">
        <v>0.0008</v>
      </c>
      <c r="O153" s="598" t="n">
        <v>0.9084</v>
      </c>
      <c r="P153" s="594" t="n">
        <v>4</v>
      </c>
      <c r="Q153" s="595" t="n">
        <v>18</v>
      </c>
      <c r="R153" s="597" t="n">
        <v>16</v>
      </c>
      <c r="S153" s="597" t="n">
        <v>0</v>
      </c>
      <c r="T153" s="597" t="n">
        <v>170</v>
      </c>
      <c r="U153" s="597" t="n">
        <v>0</v>
      </c>
      <c r="V153" s="597">
        <f>S131+T131</f>
        <v/>
      </c>
      <c r="W153" s="597">
        <f>S131+T131+U131</f>
        <v/>
      </c>
      <c r="X153" s="597">
        <f>W131*Q131</f>
        <v/>
      </c>
      <c r="Y153" s="595" t="n">
        <v>109</v>
      </c>
      <c r="Z153" s="595" t="n">
        <v>109</v>
      </c>
      <c r="AA153" s="594">
        <f>IF(Y131=Z131,"No","Yes")</f>
        <v/>
      </c>
      <c r="AB153" s="594" t="inlineStr">
        <is>
          <t>NA242SD3306</t>
        </is>
      </c>
      <c r="AC153" s="593" t="inlineStr">
        <is>
          <t>羊毛罗纹短款护肩</t>
        </is>
      </c>
    </row>
    <row r="154" ht="18" customHeight="1" s="229">
      <c r="A154" s="361" t="inlineStr">
        <is>
          <t>Ballet Wool Wrap Sweater</t>
        </is>
      </c>
      <c r="B154" s="362" t="inlineStr">
        <is>
          <t>Active</t>
        </is>
      </c>
      <c r="C154" s="589" t="inlineStr">
        <is>
          <t>REMOVE</t>
        </is>
      </c>
      <c r="D154" s="364" t="inlineStr">
        <is>
          <t>Active category rationalization</t>
        </is>
      </c>
      <c r="E154" s="364" t="inlineStr">
        <is>
          <t>4 — LOW (natural sellthrough)</t>
        </is>
      </c>
      <c r="F154" s="365" t="inlineStr">
        <is>
          <t>Remove</t>
        </is>
      </c>
      <c r="G154" s="364" t="n"/>
      <c r="H154" s="366" t="n">
        <v>1410</v>
      </c>
      <c r="I154" s="366" t="n">
        <v>2000</v>
      </c>
      <c r="J154" s="366" t="n">
        <v>-590</v>
      </c>
      <c r="K154" s="367" t="n">
        <v>0.295</v>
      </c>
      <c r="L154" s="368" t="n">
        <v>16</v>
      </c>
      <c r="M154" s="366" t="n">
        <v>88.12</v>
      </c>
      <c r="N154" s="369" t="n">
        <v>0.0008</v>
      </c>
      <c r="O154" s="369" t="n">
        <v>0.9092</v>
      </c>
      <c r="P154" s="365" t="n">
        <v>6</v>
      </c>
      <c r="Q154" s="366" t="n">
        <v>18</v>
      </c>
      <c r="R154" s="368" t="n">
        <v>16</v>
      </c>
      <c r="S154" s="368" t="n">
        <v>6</v>
      </c>
      <c r="T154" s="368" t="n">
        <v>8</v>
      </c>
      <c r="U154" s="368" t="n">
        <v>116</v>
      </c>
      <c r="V154" s="368">
        <f>S132+T132</f>
        <v/>
      </c>
      <c r="W154" s="368">
        <f>S132+T132+U132</f>
        <v/>
      </c>
      <c r="X154" s="368">
        <f>W132*Q132</f>
        <v/>
      </c>
      <c r="Y154" s="366" t="n">
        <v>125</v>
      </c>
      <c r="Z154" s="366" t="n">
        <v>125</v>
      </c>
      <c r="AA154" s="365">
        <f>IF(Y132=Z132,"No","Yes")</f>
        <v/>
      </c>
      <c r="AB154" s="365" t="inlineStr">
        <is>
          <t>NA232SD3405</t>
        </is>
      </c>
      <c r="AC154" s="364" t="inlineStr">
        <is>
          <t>羊毛混纺围裹套衫</t>
        </is>
      </c>
    </row>
    <row r="155" ht="18" customHeight="1" s="229">
      <c r="A155" s="590" t="inlineStr">
        <is>
          <t>Cross-Back Dance Sports Bra</t>
        </is>
      </c>
      <c r="B155" s="591" t="inlineStr">
        <is>
          <t>Active</t>
        </is>
      </c>
      <c r="C155" s="592" t="inlineStr">
        <is>
          <t>REMOVE</t>
        </is>
      </c>
      <c r="D155" s="593" t="inlineStr">
        <is>
          <t>Active category rationalization</t>
        </is>
      </c>
      <c r="E155" s="593" t="inlineStr">
        <is>
          <t>3 — MEDIUM (selldown or markdown)</t>
        </is>
      </c>
      <c r="F155" s="594" t="inlineStr">
        <is>
          <t>Remove</t>
        </is>
      </c>
      <c r="G155" s="593" t="n"/>
      <c r="H155" s="595" t="n">
        <v>1388.04</v>
      </c>
      <c r="I155" s="595" t="n">
        <v>2092.3</v>
      </c>
      <c r="J155" s="595" t="n">
        <v>-526.77</v>
      </c>
      <c r="K155" s="600" t="n">
        <v>0.252</v>
      </c>
      <c r="L155" s="597" t="n">
        <v>38</v>
      </c>
      <c r="M155" s="595" t="n">
        <v>36.53</v>
      </c>
      <c r="N155" s="598" t="n">
        <v>0.0008</v>
      </c>
      <c r="O155" s="598" t="n">
        <v>0.9116</v>
      </c>
      <c r="P155" s="594" t="n">
        <v>7</v>
      </c>
      <c r="Q155" s="595" t="n">
        <v>18</v>
      </c>
      <c r="R155" s="597" t="n">
        <v>41</v>
      </c>
      <c r="S155" s="597" t="n">
        <v>0</v>
      </c>
      <c r="T155" s="597" t="n">
        <v>60</v>
      </c>
      <c r="U155" s="597" t="n">
        <v>0</v>
      </c>
      <c r="V155" s="597">
        <f>S135+T135</f>
        <v/>
      </c>
      <c r="W155" s="597">
        <f>S135+T135+U135</f>
        <v/>
      </c>
      <c r="X155" s="597">
        <f>W135*Q135</f>
        <v/>
      </c>
      <c r="Y155" s="595" t="n">
        <v>49</v>
      </c>
      <c r="Z155" s="595" t="n">
        <v>49</v>
      </c>
      <c r="AA155" s="594">
        <f>IF(Y135=Z135,"No","Yes")</f>
        <v/>
      </c>
      <c r="AB155" s="594" t="inlineStr">
        <is>
          <t>NA251SD1101</t>
        </is>
      </c>
      <c r="AC155" s="593" t="inlineStr">
        <is>
          <t>掖折交叉背舞蹈文胸</t>
        </is>
      </c>
    </row>
    <row r="156" ht="18" customHeight="1" s="229">
      <c r="A156" s="361" t="inlineStr">
        <is>
          <t>Ballet Knitted Wool Hoodie</t>
        </is>
      </c>
      <c r="B156" s="362" t="inlineStr">
        <is>
          <t>Active</t>
        </is>
      </c>
      <c r="C156" s="589" t="inlineStr">
        <is>
          <t>REMOVE</t>
        </is>
      </c>
      <c r="D156" s="364" t="inlineStr">
        <is>
          <t>Active category rationalization</t>
        </is>
      </c>
      <c r="E156" s="364" t="inlineStr">
        <is>
          <t>3 — MEDIUM (selldown or markdown)</t>
        </is>
      </c>
      <c r="F156" s="365" t="inlineStr">
        <is>
          <t>Remove</t>
        </is>
      </c>
      <c r="G156" s="364" t="n"/>
      <c r="H156" s="366" t="n">
        <v>1357.19</v>
      </c>
      <c r="I156" s="366" t="n">
        <v>2011.5</v>
      </c>
      <c r="J156" s="366" t="n">
        <v>-559.8100000000001</v>
      </c>
      <c r="K156" s="367" t="n">
        <v>0.278</v>
      </c>
      <c r="L156" s="368" t="n">
        <v>30</v>
      </c>
      <c r="M156" s="366" t="n">
        <v>45.24</v>
      </c>
      <c r="N156" s="369" t="n">
        <v>0.0007000000000000001</v>
      </c>
      <c r="O156" s="369" t="n">
        <v>0.9129999999999999</v>
      </c>
      <c r="P156" s="365" t="n">
        <v>8</v>
      </c>
      <c r="Q156" s="366" t="n">
        <v>18</v>
      </c>
      <c r="R156" s="368" t="n">
        <v>32</v>
      </c>
      <c r="S156" s="368" t="n">
        <v>0</v>
      </c>
      <c r="T156" s="368" t="n">
        <v>28</v>
      </c>
      <c r="U156" s="368" t="n">
        <v>211</v>
      </c>
      <c r="V156" s="368">
        <f>S137+T137</f>
        <v/>
      </c>
      <c r="W156" s="368">
        <f>S137+T137+U137</f>
        <v/>
      </c>
      <c r="X156" s="368">
        <f>W137*Q137</f>
        <v/>
      </c>
      <c r="Y156" s="366" t="n">
        <v>135</v>
      </c>
      <c r="Z156" s="366" t="n">
        <v>54</v>
      </c>
      <c r="AA156" s="365">
        <f>IF(Y137=Z137,"No","Yes")</f>
        <v/>
      </c>
      <c r="AB156" s="365" t="inlineStr">
        <is>
          <t>N212WA3225</t>
        </is>
      </c>
      <c r="AC156" s="364" t="inlineStr">
        <is>
          <t>羊毛混纺连帽宽松罩衫</t>
        </is>
      </c>
    </row>
    <row r="157" ht="18" customHeight="1" s="229">
      <c r="A157" s="590" t="inlineStr">
        <is>
          <t>Mousse Long Sleeve Sports Top</t>
        </is>
      </c>
      <c r="B157" s="591" t="inlineStr">
        <is>
          <t>Active</t>
        </is>
      </c>
      <c r="C157" s="592" t="inlineStr">
        <is>
          <t>REMOVE</t>
        </is>
      </c>
      <c r="D157" s="593" t="inlineStr">
        <is>
          <t>Active category rationalization</t>
        </is>
      </c>
      <c r="E157" s="593" t="inlineStr">
        <is>
          <t>3 — MEDIUM (selldown or markdown)</t>
        </is>
      </c>
      <c r="F157" s="594" t="inlineStr">
        <is>
          <t>Remove</t>
        </is>
      </c>
      <c r="G157" s="593" t="n"/>
      <c r="H157" s="595" t="n">
        <v>1339.28</v>
      </c>
      <c r="I157" s="595" t="n">
        <v>2210</v>
      </c>
      <c r="J157" s="595" t="n">
        <v>-669.73</v>
      </c>
      <c r="K157" s="600" t="n">
        <v>0.303</v>
      </c>
      <c r="L157" s="597" t="n">
        <v>44</v>
      </c>
      <c r="M157" s="595" t="n">
        <v>30.44</v>
      </c>
      <c r="N157" s="598" t="n">
        <v>0.0007000000000000001</v>
      </c>
      <c r="O157" s="598" t="n">
        <v>0.9144</v>
      </c>
      <c r="P157" s="594" t="n">
        <v>8</v>
      </c>
      <c r="Q157" s="595" t="n">
        <v>18</v>
      </c>
      <c r="R157" s="597" t="n">
        <v>50</v>
      </c>
      <c r="S157" s="597" t="n">
        <v>0</v>
      </c>
      <c r="T157" s="597" t="n">
        <v>21</v>
      </c>
      <c r="U157" s="597" t="n">
        <v>194</v>
      </c>
      <c r="V157" s="597">
        <f>S139+T139</f>
        <v/>
      </c>
      <c r="W157" s="597">
        <f>S139+T139+U139</f>
        <v/>
      </c>
      <c r="X157" s="597">
        <f>W139*Q139</f>
        <v/>
      </c>
      <c r="Y157" s="595" t="n">
        <v>65</v>
      </c>
      <c r="Z157" s="595" t="n">
        <v>39</v>
      </c>
      <c r="AA157" s="594">
        <f>IF(Y139=Z139,"No","Yes")</f>
        <v/>
      </c>
      <c r="AB157" s="594" t="inlineStr">
        <is>
          <t>NA222SS3305</t>
        </is>
      </c>
      <c r="AC157" s="593" t="inlineStr">
        <is>
          <t>核心长袖运动T恤</t>
        </is>
      </c>
    </row>
    <row r="158" ht="18" customHeight="1" s="229">
      <c r="A158" s="361" t="inlineStr">
        <is>
          <t>Ribbed Light Support Fixed Cup Sports Bra</t>
        </is>
      </c>
      <c r="B158" s="362" t="inlineStr">
        <is>
          <t>Active</t>
        </is>
      </c>
      <c r="C158" s="589" t="inlineStr">
        <is>
          <t>REMOVE</t>
        </is>
      </c>
      <c r="D158" s="364" t="inlineStr">
        <is>
          <t>Active category rationalization</t>
        </is>
      </c>
      <c r="E158" s="364" t="inlineStr">
        <is>
          <t>4 — LOW (natural sellthrough)</t>
        </is>
      </c>
      <c r="F158" s="365" t="inlineStr">
        <is>
          <t>Remove</t>
        </is>
      </c>
      <c r="G158" s="364" t="n"/>
      <c r="H158" s="366" t="n">
        <v>1281.05</v>
      </c>
      <c r="I158" s="366" t="n">
        <v>2550</v>
      </c>
      <c r="J158" s="366" t="n">
        <v>-697.29</v>
      </c>
      <c r="K158" s="367" t="n">
        <v>0.273</v>
      </c>
      <c r="L158" s="368" t="n">
        <v>24</v>
      </c>
      <c r="M158" s="366" t="n">
        <v>53.38</v>
      </c>
      <c r="N158" s="369" t="n">
        <v>0.0007000000000000001</v>
      </c>
      <c r="O158" s="369" t="n">
        <v>0.9165000000000001</v>
      </c>
      <c r="P158" s="365" t="n">
        <v>8</v>
      </c>
      <c r="Q158" s="366" t="n">
        <v>18</v>
      </c>
      <c r="R158" s="368" t="n">
        <v>33</v>
      </c>
      <c r="S158" s="368" t="n">
        <v>0</v>
      </c>
      <c r="T158" s="368" t="n">
        <v>23</v>
      </c>
      <c r="U158" s="368" t="n">
        <v>0</v>
      </c>
      <c r="V158" s="368">
        <f>S142+T142</f>
        <v/>
      </c>
      <c r="W158" s="368">
        <f>S142+T142+U142</f>
        <v/>
      </c>
      <c r="X158" s="368">
        <f>W142*Q142</f>
        <v/>
      </c>
      <c r="Y158" s="366" t="n">
        <v>75</v>
      </c>
      <c r="Z158" s="366" t="n">
        <v>75</v>
      </c>
      <c r="AA158" s="365">
        <f>IF(Y142=Z142,"No","Yes")</f>
        <v/>
      </c>
      <c r="AB158" s="365" t="inlineStr">
        <is>
          <t>NA252SS1103</t>
        </is>
      </c>
      <c r="AC158" s="364" t="inlineStr">
        <is>
          <t>罗纹小V背低强固定杯运动文胸</t>
        </is>
      </c>
    </row>
    <row r="159" ht="18" customHeight="1" s="229">
      <c r="A159" s="590" t="inlineStr">
        <is>
          <t>Dance Wrap Bra Top</t>
        </is>
      </c>
      <c r="B159" s="591" t="inlineStr">
        <is>
          <t>Active</t>
        </is>
      </c>
      <c r="C159" s="592" t="inlineStr">
        <is>
          <t>REMOVE</t>
        </is>
      </c>
      <c r="D159" s="593" t="inlineStr">
        <is>
          <t>Active category rationalization</t>
        </is>
      </c>
      <c r="E159" s="593" t="inlineStr">
        <is>
          <t>3 — MEDIUM (selldown or markdown)</t>
        </is>
      </c>
      <c r="F159" s="594" t="inlineStr">
        <is>
          <t>Remove</t>
        </is>
      </c>
      <c r="G159" s="593" t="n"/>
      <c r="H159" s="595" t="n">
        <v>1269.57</v>
      </c>
      <c r="I159" s="595" t="n">
        <v>1935.5</v>
      </c>
      <c r="J159" s="595" t="n">
        <v>-500.03</v>
      </c>
      <c r="K159" s="600" t="n">
        <v>0.258</v>
      </c>
      <c r="L159" s="597" t="n">
        <v>31</v>
      </c>
      <c r="M159" s="595" t="n">
        <v>40.95</v>
      </c>
      <c r="N159" s="598" t="n">
        <v>0.0007000000000000001</v>
      </c>
      <c r="O159" s="598" t="n">
        <v>0.9186</v>
      </c>
      <c r="P159" s="594" t="n">
        <v>8</v>
      </c>
      <c r="Q159" s="595" t="n">
        <v>18</v>
      </c>
      <c r="R159" s="597" t="n">
        <v>35</v>
      </c>
      <c r="S159" s="597" t="n">
        <v>0</v>
      </c>
      <c r="T159" s="597" t="n">
        <v>33</v>
      </c>
      <c r="U159" s="597" t="n">
        <v>62</v>
      </c>
      <c r="V159" s="597">
        <f>S145+T145</f>
        <v/>
      </c>
      <c r="W159" s="597">
        <f>S145+T145+U145</f>
        <v/>
      </c>
      <c r="X159" s="597">
        <f>W145*Q145</f>
        <v/>
      </c>
      <c r="Y159" s="595" t="n">
        <v>79</v>
      </c>
      <c r="Z159" s="595" t="n">
        <v>55.3</v>
      </c>
      <c r="AA159" s="594">
        <f>IF(Y145=Z145,"No","Yes")</f>
        <v/>
      </c>
      <c r="AB159" s="594" t="inlineStr">
        <is>
          <t>NA232SD1105</t>
        </is>
      </c>
      <c r="AC159" s="593" t="inlineStr">
        <is>
          <t>中支撑背心式交叠系带运动文胸</t>
        </is>
      </c>
    </row>
    <row r="160" ht="18" customHeight="1" s="229">
      <c r="A160" s="361" t="inlineStr">
        <is>
          <t>Seamless Light Support Long Sports Bra</t>
        </is>
      </c>
      <c r="B160" s="362" t="inlineStr">
        <is>
          <t>Active</t>
        </is>
      </c>
      <c r="C160" s="589" t="inlineStr">
        <is>
          <t>REMOVE</t>
        </is>
      </c>
      <c r="D160" s="364" t="inlineStr">
        <is>
          <t>Active category rationalization</t>
        </is>
      </c>
      <c r="E160" s="364" t="inlineStr">
        <is>
          <t>3 — MEDIUM (selldown or markdown)</t>
        </is>
      </c>
      <c r="F160" s="365" t="inlineStr">
        <is>
          <t>Remove</t>
        </is>
      </c>
      <c r="G160" s="364" t="n"/>
      <c r="H160" s="366" t="n">
        <v>1244.42</v>
      </c>
      <c r="I160" s="366" t="n">
        <v>1715</v>
      </c>
      <c r="J160" s="366" t="n">
        <v>-470.58</v>
      </c>
      <c r="K160" s="367" t="n">
        <v>0.274</v>
      </c>
      <c r="L160" s="368" t="n">
        <v>50</v>
      </c>
      <c r="M160" s="366" t="n">
        <v>24.89</v>
      </c>
      <c r="N160" s="369" t="n">
        <v>0.0007000000000000001</v>
      </c>
      <c r="O160" s="369" t="n">
        <v>0.9207</v>
      </c>
      <c r="P160" s="365" t="n">
        <v>4</v>
      </c>
      <c r="Q160" s="366" t="n">
        <v>18</v>
      </c>
      <c r="R160" s="368" t="n">
        <v>49</v>
      </c>
      <c r="S160" s="368" t="n">
        <v>11</v>
      </c>
      <c r="T160" s="368" t="n">
        <v>6</v>
      </c>
      <c r="U160" s="368" t="n">
        <v>0</v>
      </c>
      <c r="V160" s="368">
        <f>S148+T148</f>
        <v/>
      </c>
      <c r="W160" s="368">
        <f>S148+T148+U148</f>
        <v/>
      </c>
      <c r="X160" s="368">
        <f>W148*Q148</f>
        <v/>
      </c>
      <c r="Y160" s="366" t="n">
        <v>49</v>
      </c>
      <c r="Z160" s="366" t="n">
        <v>34.3</v>
      </c>
      <c r="AA160" s="365">
        <f>IF(Y148=Z148,"No","Yes")</f>
        <v/>
      </c>
      <c r="AB160" s="365" t="inlineStr">
        <is>
          <t>NA222SS1102</t>
        </is>
      </c>
      <c r="AC160" s="364" t="inlineStr">
        <is>
          <t>低强度长款无缝运动文胸</t>
        </is>
      </c>
    </row>
    <row r="161" ht="18" customHeight="1" s="229">
      <c r="A161" s="590" t="inlineStr">
        <is>
          <t>Knotted 2-way Short Sleeve Top</t>
        </is>
      </c>
      <c r="B161" s="591" t="inlineStr">
        <is>
          <t>Active</t>
        </is>
      </c>
      <c r="C161" s="592" t="inlineStr">
        <is>
          <t>REMOVE</t>
        </is>
      </c>
      <c r="D161" s="593" t="inlineStr">
        <is>
          <t>Active category rationalization</t>
        </is>
      </c>
      <c r="E161" s="593" t="inlineStr">
        <is>
          <t>3 — MEDIUM (selldown or markdown)</t>
        </is>
      </c>
      <c r="F161" s="594" t="inlineStr">
        <is>
          <t>Remove</t>
        </is>
      </c>
      <c r="G161" s="593" t="n"/>
      <c r="H161" s="595" t="n">
        <v>1243.54</v>
      </c>
      <c r="I161" s="595" t="n">
        <v>1783.6</v>
      </c>
      <c r="J161" s="595" t="n">
        <v>-495.47</v>
      </c>
      <c r="K161" s="600" t="n">
        <v>0.278</v>
      </c>
      <c r="L161" s="597" t="n">
        <v>50</v>
      </c>
      <c r="M161" s="595" t="n">
        <v>24.87</v>
      </c>
      <c r="N161" s="598" t="n">
        <v>0.0007000000000000001</v>
      </c>
      <c r="O161" s="598" t="n">
        <v>0.9220999999999999</v>
      </c>
      <c r="P161" s="594" t="n">
        <v>8</v>
      </c>
      <c r="Q161" s="595" t="n">
        <v>18</v>
      </c>
      <c r="R161" s="597" t="n">
        <v>52</v>
      </c>
      <c r="S161" s="597" t="n">
        <v>0</v>
      </c>
      <c r="T161" s="597" t="n">
        <v>33</v>
      </c>
      <c r="U161" s="597" t="n">
        <v>64</v>
      </c>
      <c r="V161" s="597">
        <f>S150+T150</f>
        <v/>
      </c>
      <c r="W161" s="597">
        <f>S150+T150+U150</f>
        <v/>
      </c>
      <c r="X161" s="597">
        <f>W150*Q150</f>
        <v/>
      </c>
      <c r="Y161" s="595" t="n">
        <v>49</v>
      </c>
      <c r="Z161" s="595" t="n">
        <v>34.3</v>
      </c>
      <c r="AA161" s="594">
        <f>IF(Y150=Z150,"No","Yes")</f>
        <v/>
      </c>
      <c r="AB161" s="594" t="inlineStr">
        <is>
          <t>NA231SS3304</t>
        </is>
      </c>
      <c r="AC161" s="593" t="inlineStr">
        <is>
          <t>夏练后背扭结两面穿宽松短袖T恤</t>
        </is>
      </c>
    </row>
    <row r="162" ht="18" customHeight="1" s="229">
      <c r="A162" s="361" t="inlineStr">
        <is>
          <t>Ribbed Mousse Padded Long Sleeve T-Shirt</t>
        </is>
      </c>
      <c r="B162" s="362" t="inlineStr">
        <is>
          <t>Active</t>
        </is>
      </c>
      <c r="C162" s="589" t="inlineStr">
        <is>
          <t>REMOVE</t>
        </is>
      </c>
      <c r="D162" s="364" t="inlineStr">
        <is>
          <t>Active category rationalization</t>
        </is>
      </c>
      <c r="E162" s="364" t="inlineStr">
        <is>
          <t>4 — LOW (natural sellthrough)</t>
        </is>
      </c>
      <c r="F162" s="365" t="inlineStr">
        <is>
          <t>Remove</t>
        </is>
      </c>
      <c r="G162" s="364" t="n"/>
      <c r="H162" s="366" t="n">
        <v>1181</v>
      </c>
      <c r="I162" s="366" t="n">
        <v>2653.2</v>
      </c>
      <c r="J162" s="366" t="n">
        <v>-752.4</v>
      </c>
      <c r="K162" s="367" t="n">
        <v>0.284</v>
      </c>
      <c r="L162" s="368" t="n">
        <v>18</v>
      </c>
      <c r="M162" s="366" t="n">
        <v>65.61</v>
      </c>
      <c r="N162" s="369" t="n">
        <v>0.0005999999999999999</v>
      </c>
      <c r="O162" s="369" t="n">
        <v>0.9248000000000001</v>
      </c>
      <c r="P162" s="365" t="n">
        <v>8</v>
      </c>
      <c r="Q162" s="366" t="n">
        <v>18</v>
      </c>
      <c r="R162" s="368" t="n">
        <v>27</v>
      </c>
      <c r="S162" s="368" t="n">
        <v>0</v>
      </c>
      <c r="T162" s="368" t="n">
        <v>20</v>
      </c>
      <c r="U162" s="368" t="n">
        <v>0</v>
      </c>
      <c r="V162" s="368">
        <f>S154+T154</f>
        <v/>
      </c>
      <c r="W162" s="368">
        <f>S154+T154+U154</f>
        <v/>
      </c>
      <c r="X162" s="368">
        <f>W154*Q154</f>
        <v/>
      </c>
      <c r="Y162" s="366" t="n">
        <v>99</v>
      </c>
      <c r="Z162" s="366" t="n">
        <v>99</v>
      </c>
      <c r="AA162" s="365">
        <f>IF(Y154=Z154,"No","Yes")</f>
        <v/>
      </c>
      <c r="AB162" s="365" t="inlineStr">
        <is>
          <t>NA252SS3302</t>
        </is>
      </c>
      <c r="AC162" s="364" t="inlineStr">
        <is>
          <t>罗纹慕斯固定杯长袖T恤</t>
        </is>
      </c>
    </row>
    <row r="163" ht="18" customHeight="1" s="229">
      <c r="A163" s="590" t="inlineStr">
        <is>
          <t>Ballet Wide Leg Pants</t>
        </is>
      </c>
      <c r="B163" s="591" t="inlineStr">
        <is>
          <t>Active</t>
        </is>
      </c>
      <c r="C163" s="592" t="inlineStr">
        <is>
          <t>REMOVE</t>
        </is>
      </c>
      <c r="D163" s="593" t="inlineStr">
        <is>
          <t>Active category rationalization</t>
        </is>
      </c>
      <c r="E163" s="593" t="inlineStr">
        <is>
          <t>3 — MEDIUM (selldown or markdown)</t>
        </is>
      </c>
      <c r="F163" s="594" t="inlineStr">
        <is>
          <t>Remove</t>
        </is>
      </c>
      <c r="G163" s="593" t="n"/>
      <c r="H163" s="595" t="n">
        <v>1131.98</v>
      </c>
      <c r="I163" s="595" t="n">
        <v>1500</v>
      </c>
      <c r="J163" s="595" t="n">
        <v>-193.02</v>
      </c>
      <c r="K163" s="596" t="n">
        <v>0.129</v>
      </c>
      <c r="L163" s="597" t="n">
        <v>13</v>
      </c>
      <c r="M163" s="595" t="n">
        <v>87.08</v>
      </c>
      <c r="N163" s="598" t="n">
        <v>0.0005999999999999999</v>
      </c>
      <c r="O163" s="598" t="n">
        <v>0.929</v>
      </c>
      <c r="P163" s="594" t="n">
        <v>7</v>
      </c>
      <c r="Q163" s="595" t="n">
        <v>18</v>
      </c>
      <c r="R163" s="597" t="n">
        <v>15</v>
      </c>
      <c r="S163" s="597" t="n">
        <v>0</v>
      </c>
      <c r="T163" s="597" t="n">
        <v>162</v>
      </c>
      <c r="U163" s="597" t="n">
        <v>0</v>
      </c>
      <c r="V163" s="597">
        <f>S161+T161</f>
        <v/>
      </c>
      <c r="W163" s="597">
        <f>S161+T161+U161</f>
        <v/>
      </c>
      <c r="X163" s="597">
        <f>W161*Q161</f>
        <v/>
      </c>
      <c r="Y163" s="595" t="n">
        <v>125</v>
      </c>
      <c r="Z163" s="595" t="n">
        <v>87.5</v>
      </c>
      <c r="AA163" s="594">
        <f>IF(Y161=Z161,"No","Yes")</f>
        <v/>
      </c>
      <c r="AB163" s="594" t="inlineStr">
        <is>
          <t>NA241SD4102</t>
        </is>
      </c>
      <c r="AC163" s="593" t="inlineStr">
        <is>
          <t>针梭拼轻薄阔腿裤</t>
        </is>
      </c>
    </row>
    <row r="164" ht="18" customHeight="1" s="229">
      <c r="A164" s="361" t="inlineStr">
        <is>
          <t>NEIWAI ACTIVE X NYCB Wool Half Zip Hoodie</t>
        </is>
      </c>
      <c r="B164" s="362" t="inlineStr">
        <is>
          <t>Active</t>
        </is>
      </c>
      <c r="C164" s="589" t="inlineStr">
        <is>
          <t>REMOVE</t>
        </is>
      </c>
      <c r="D164" s="364" t="inlineStr">
        <is>
          <t>NYCB collab — dead inventory, no velocity</t>
        </is>
      </c>
      <c r="E164" s="364" t="inlineStr">
        <is>
          <t>3 — MEDIUM (selldown or markdown)</t>
        </is>
      </c>
      <c r="F164" s="365" t="inlineStr">
        <is>
          <t>Remove</t>
        </is>
      </c>
      <c r="G164" s="364" t="n"/>
      <c r="H164" s="366" t="n">
        <v>1077.25</v>
      </c>
      <c r="I164" s="366" t="n">
        <v>1550</v>
      </c>
      <c r="J164" s="366" t="n">
        <v>-364.25</v>
      </c>
      <c r="K164" s="380" t="n">
        <v>0.235</v>
      </c>
      <c r="L164" s="368" t="n">
        <v>9</v>
      </c>
      <c r="M164" s="366" t="n">
        <v>119.69</v>
      </c>
      <c r="N164" s="369" t="n">
        <v>0.0005999999999999999</v>
      </c>
      <c r="O164" s="369" t="n">
        <v>0.9320000000000001</v>
      </c>
      <c r="P164" s="365" t="n">
        <v>8</v>
      </c>
      <c r="Q164" s="366" t="n">
        <v>18</v>
      </c>
      <c r="R164" s="368" t="n">
        <v>10</v>
      </c>
      <c r="S164" s="368" t="n">
        <v>3</v>
      </c>
      <c r="T164" s="368" t="n">
        <v>68</v>
      </c>
      <c r="U164" s="368" t="n">
        <v>0</v>
      </c>
      <c r="V164" s="368">
        <f>S166+T166</f>
        <v/>
      </c>
      <c r="W164" s="368">
        <f>S166+T166+U166</f>
        <v/>
      </c>
      <c r="X164" s="368">
        <f>W166*Q166</f>
        <v/>
      </c>
      <c r="Y164" s="366" t="n">
        <v>155</v>
      </c>
      <c r="Z164" s="366" t="n">
        <v>155</v>
      </c>
      <c r="AA164" s="365">
        <f>IF(Y166=Z166,"No","Yes")</f>
        <v/>
      </c>
      <c r="AB164" s="365" t="inlineStr">
        <is>
          <t>NA242SD3402</t>
        </is>
      </c>
      <c r="AC164" s="364" t="inlineStr">
        <is>
          <t>半开紧身连帽衫</t>
        </is>
      </c>
    </row>
    <row r="165" ht="18" customHeight="1" s="229">
      <c r="A165" s="590" t="inlineStr">
        <is>
          <t>Mousse Medium Support Sports Bra</t>
        </is>
      </c>
      <c r="B165" s="591" t="inlineStr">
        <is>
          <t>Active</t>
        </is>
      </c>
      <c r="C165" s="592" t="inlineStr">
        <is>
          <t>REMOVE</t>
        </is>
      </c>
      <c r="D165" s="593" t="inlineStr">
        <is>
          <t>Active category rationalization</t>
        </is>
      </c>
      <c r="E165" s="593" t="inlineStr">
        <is>
          <t>4 — LOW (natural sellthrough)</t>
        </is>
      </c>
      <c r="F165" s="594" t="inlineStr">
        <is>
          <t>Remove</t>
        </is>
      </c>
      <c r="G165" s="593" t="n"/>
      <c r="H165" s="595" t="n">
        <v>1061.21</v>
      </c>
      <c r="I165" s="595" t="n">
        <v>1704.3</v>
      </c>
      <c r="J165" s="595" t="n">
        <v>-439.54</v>
      </c>
      <c r="K165" s="600" t="n">
        <v>0.258</v>
      </c>
      <c r="L165" s="597" t="n">
        <v>21</v>
      </c>
      <c r="M165" s="595" t="n">
        <v>50.53</v>
      </c>
      <c r="N165" s="598" t="n">
        <v>0.0005999999999999999</v>
      </c>
      <c r="O165" s="598" t="n">
        <v>0.9338</v>
      </c>
      <c r="P165" s="594" t="n">
        <v>9</v>
      </c>
      <c r="Q165" s="595" t="n">
        <v>18</v>
      </c>
      <c r="R165" s="597" t="n">
        <v>25</v>
      </c>
      <c r="S165" s="597" t="n">
        <v>4</v>
      </c>
      <c r="T165" s="597" t="n">
        <v>23</v>
      </c>
      <c r="U165" s="597" t="n">
        <v>275</v>
      </c>
      <c r="V165" s="597">
        <f>S169+T169</f>
        <v/>
      </c>
      <c r="W165" s="597">
        <f>S169+T169+U169</f>
        <v/>
      </c>
      <c r="X165" s="597">
        <f>W169*Q169</f>
        <v/>
      </c>
      <c r="Y165" s="595" t="n">
        <v>69</v>
      </c>
      <c r="Z165" s="595" t="n">
        <v>69</v>
      </c>
      <c r="AA165" s="594">
        <f>IF(Y169=Z169,"No","Yes")</f>
        <v/>
      </c>
      <c r="AB165" s="594" t="inlineStr">
        <is>
          <t>NA222SS1111</t>
        </is>
      </c>
      <c r="AC165" s="593" t="inlineStr">
        <is>
          <t>核心中强度镂空M字背运动文胸</t>
        </is>
      </c>
    </row>
    <row r="166" ht="18" customHeight="1" s="229">
      <c r="A166" s="361" t="inlineStr">
        <is>
          <t>Ballet Knitted Wool Turtleneck Pullover</t>
        </is>
      </c>
      <c r="B166" s="362" t="inlineStr">
        <is>
          <t>Active</t>
        </is>
      </c>
      <c r="C166" s="589" t="inlineStr">
        <is>
          <t>REMOVE</t>
        </is>
      </c>
      <c r="D166" s="364" t="inlineStr">
        <is>
          <t>Active category rationalization</t>
        </is>
      </c>
      <c r="E166" s="364" t="inlineStr">
        <is>
          <t>4 — LOW (natural sellthrough)</t>
        </is>
      </c>
      <c r="F166" s="365" t="inlineStr">
        <is>
          <t>Remove</t>
        </is>
      </c>
      <c r="G166" s="364" t="n"/>
      <c r="H166" s="366" t="n">
        <v>1055.25</v>
      </c>
      <c r="I166" s="366" t="n">
        <v>1441.5</v>
      </c>
      <c r="J166" s="366" t="n">
        <v>-386.25</v>
      </c>
      <c r="K166" s="367" t="n">
        <v>0.268</v>
      </c>
      <c r="L166" s="368" t="n">
        <v>20</v>
      </c>
      <c r="M166" s="366" t="n">
        <v>52.76</v>
      </c>
      <c r="N166" s="369" t="n">
        <v>0.0005999999999999999</v>
      </c>
      <c r="O166" s="369" t="n">
        <v>0.9350000000000001</v>
      </c>
      <c r="P166" s="365" t="n">
        <v>8</v>
      </c>
      <c r="Q166" s="366" t="n">
        <v>18</v>
      </c>
      <c r="R166" s="368" t="n">
        <v>20</v>
      </c>
      <c r="S166" s="368" t="n">
        <v>0</v>
      </c>
      <c r="T166" s="368" t="n">
        <v>20</v>
      </c>
      <c r="U166" s="368" t="n">
        <v>292</v>
      </c>
      <c r="V166" s="368">
        <f>S171+T171</f>
        <v/>
      </c>
      <c r="W166" s="368">
        <f>S171+T171+U171</f>
        <v/>
      </c>
      <c r="X166" s="368">
        <f>W171*Q171</f>
        <v/>
      </c>
      <c r="Y166" s="366" t="n">
        <v>155</v>
      </c>
      <c r="Z166" s="366" t="n">
        <v>62</v>
      </c>
      <c r="AA166" s="365">
        <f>IF(Y171=Z171,"No","Yes")</f>
        <v/>
      </c>
      <c r="AB166" s="365" t="inlineStr">
        <is>
          <t>N212WA3223</t>
        </is>
      </c>
      <c r="AC166" s="364" t="inlineStr">
        <is>
          <t>羊毛混纺半高领套头衫</t>
        </is>
      </c>
    </row>
    <row r="167" ht="18" customHeight="1" s="229">
      <c r="A167" s="590" t="inlineStr">
        <is>
          <t>Active Fitted Hoodie</t>
        </is>
      </c>
      <c r="B167" s="591" t="inlineStr">
        <is>
          <t>Active</t>
        </is>
      </c>
      <c r="C167" s="592" t="inlineStr">
        <is>
          <t>REMOVE</t>
        </is>
      </c>
      <c r="D167" s="593" t="inlineStr">
        <is>
          <t>Active category rationalization</t>
        </is>
      </c>
      <c r="E167" s="593" t="inlineStr">
        <is>
          <t>4 — LOW (natural sellthrough)</t>
        </is>
      </c>
      <c r="F167" s="594" t="inlineStr">
        <is>
          <t>Remove</t>
        </is>
      </c>
      <c r="G167" s="593" t="n"/>
      <c r="H167" s="595" t="n">
        <v>1021.68</v>
      </c>
      <c r="I167" s="595" t="n">
        <v>1366.2</v>
      </c>
      <c r="J167" s="595" t="n">
        <v>-344.52</v>
      </c>
      <c r="K167" s="600" t="n">
        <v>0.252</v>
      </c>
      <c r="L167" s="597" t="n">
        <v>23</v>
      </c>
      <c r="M167" s="595" t="n">
        <v>44.42</v>
      </c>
      <c r="N167" s="598" t="n">
        <v>0.0005999999999999999</v>
      </c>
      <c r="O167" s="598" t="n">
        <v>0.9373999999999999</v>
      </c>
      <c r="P167" s="594" t="n">
        <v>7</v>
      </c>
      <c r="Q167" s="595" t="n">
        <v>18</v>
      </c>
      <c r="R167" s="597" t="n">
        <v>23</v>
      </c>
      <c r="S167" s="597" t="n">
        <v>0</v>
      </c>
      <c r="T167" s="597" t="n">
        <v>29</v>
      </c>
      <c r="U167" s="597" t="n">
        <v>295</v>
      </c>
      <c r="V167" s="597">
        <f>S175+T175</f>
        <v/>
      </c>
      <c r="W167" s="597">
        <f>S175+T175+U175</f>
        <v/>
      </c>
      <c r="X167" s="597">
        <f>W175*Q175</f>
        <v/>
      </c>
      <c r="Y167" s="595" t="n">
        <v>99</v>
      </c>
      <c r="Z167" s="595" t="n">
        <v>59.4</v>
      </c>
      <c r="AA167" s="594">
        <f>IF(Y175=Z175,"No","Yes")</f>
        <v/>
      </c>
      <c r="AB167" s="594" t="inlineStr">
        <is>
          <t>NA221SS3309</t>
        </is>
      </c>
      <c r="AC167" s="593" t="inlineStr">
        <is>
          <t>贴身连帽衫</t>
        </is>
      </c>
    </row>
    <row r="168" ht="18" customHeight="1" s="229">
      <c r="A168" s="361" t="inlineStr">
        <is>
          <t>Urban Sport Two-Tone Sweatshirt</t>
        </is>
      </c>
      <c r="B168" s="362" t="inlineStr">
        <is>
          <t>Active</t>
        </is>
      </c>
      <c r="C168" s="589" t="inlineStr">
        <is>
          <t>REMOVE</t>
        </is>
      </c>
      <c r="D168" s="364" t="inlineStr">
        <is>
          <t>Active category rationalization</t>
        </is>
      </c>
      <c r="E168" s="364" t="inlineStr">
        <is>
          <t>4 — LOW (natural sellthrough)</t>
        </is>
      </c>
      <c r="F168" s="365" t="inlineStr">
        <is>
          <t>Remove</t>
        </is>
      </c>
      <c r="G168" s="364" t="n"/>
      <c r="H168" s="366" t="n">
        <v>1011.22</v>
      </c>
      <c r="I168" s="366" t="n">
        <v>1282.5</v>
      </c>
      <c r="J168" s="366" t="n">
        <v>-271.28</v>
      </c>
      <c r="K168" s="380" t="n">
        <v>0.212</v>
      </c>
      <c r="L168" s="368" t="n">
        <v>19</v>
      </c>
      <c r="M168" s="366" t="n">
        <v>53.22</v>
      </c>
      <c r="N168" s="369" t="n">
        <v>0.0005999999999999999</v>
      </c>
      <c r="O168" s="369" t="n">
        <v>0.9392</v>
      </c>
      <c r="P168" s="365" t="n">
        <v>6</v>
      </c>
      <c r="Q168" s="366" t="n">
        <v>18</v>
      </c>
      <c r="R168" s="368" t="n">
        <v>19</v>
      </c>
      <c r="S168" s="368" t="n">
        <v>0</v>
      </c>
      <c r="T168" s="368" t="n">
        <v>19</v>
      </c>
      <c r="U168" s="368" t="n">
        <v>165</v>
      </c>
      <c r="V168" s="368">
        <f>S178+T178</f>
        <v/>
      </c>
      <c r="W168" s="368">
        <f>S178+T178+U178</f>
        <v/>
      </c>
      <c r="X168" s="368">
        <f>W178*Q178</f>
        <v/>
      </c>
      <c r="Y168" s="366" t="n">
        <v>135</v>
      </c>
      <c r="Z168" s="366" t="n">
        <v>67.5</v>
      </c>
      <c r="AA168" s="365">
        <f>IF(Y178=Z178,"No","Yes")</f>
        <v/>
      </c>
      <c r="AB168" s="365" t="inlineStr">
        <is>
          <t>N212WA3220</t>
        </is>
      </c>
      <c r="AC168" s="364" t="inlineStr">
        <is>
          <t>轻运动双色落肩圆领中长卫衣</t>
        </is>
      </c>
    </row>
    <row r="169" ht="18" customHeight="1" s="229">
      <c r="A169" s="590" t="inlineStr">
        <is>
          <t>Ski Leggings</t>
        </is>
      </c>
      <c r="B169" s="591" t="inlineStr">
        <is>
          <t>Active</t>
        </is>
      </c>
      <c r="C169" s="592" t="inlineStr">
        <is>
          <t>REMOVE</t>
        </is>
      </c>
      <c r="D169" s="593" t="inlineStr">
        <is>
          <t>Low sales (&lt;$1K in 90 days)</t>
        </is>
      </c>
      <c r="E169" s="593" t="inlineStr">
        <is>
          <t>4 — LOW (natural sellthrough)</t>
        </is>
      </c>
      <c r="F169" s="594" t="inlineStr">
        <is>
          <t>Remove</t>
        </is>
      </c>
      <c r="G169" s="593" t="n"/>
      <c r="H169" s="595" t="n">
        <v>981.3299999999999</v>
      </c>
      <c r="I169" s="595" t="n">
        <v>1602.3</v>
      </c>
      <c r="J169" s="595" t="n">
        <v>-456.92</v>
      </c>
      <c r="K169" s="600" t="n">
        <v>0.285</v>
      </c>
      <c r="L169" s="597" t="n">
        <v>18</v>
      </c>
      <c r="M169" s="595" t="n">
        <v>54.52</v>
      </c>
      <c r="N169" s="598" t="n">
        <v>0.0005</v>
      </c>
      <c r="O169" s="598" t="n">
        <v>0.9403</v>
      </c>
      <c r="P169" s="594" t="n">
        <v>4</v>
      </c>
      <c r="Q169" s="595" t="n">
        <v>18</v>
      </c>
      <c r="R169" s="597" t="n">
        <v>21</v>
      </c>
      <c r="S169" s="597" t="n">
        <v>6</v>
      </c>
      <c r="T169" s="597" t="n">
        <v>5</v>
      </c>
      <c r="U169" s="597" t="n">
        <v>94</v>
      </c>
      <c r="V169" s="597">
        <f>S180+T180</f>
        <v/>
      </c>
      <c r="W169" s="597">
        <f>S180+T180+U180</f>
        <v/>
      </c>
      <c r="X169" s="597">
        <f>W180*Q180</f>
        <v/>
      </c>
      <c r="Y169" s="595" t="n">
        <v>109</v>
      </c>
      <c r="Z169" s="595" t="n">
        <v>76.3</v>
      </c>
      <c r="AA169" s="594">
        <f>IF(Y180=Z180,"No","Yes")</f>
        <v/>
      </c>
      <c r="AB169" s="594" t="inlineStr">
        <is>
          <t>NA232SS4206</t>
        </is>
      </c>
      <c r="AC169" s="593" t="inlineStr">
        <is>
          <t>拉绒中腰全长紧身裤</t>
        </is>
      </c>
    </row>
    <row r="170" ht="18" customHeight="1" s="229">
      <c r="A170" s="361" t="inlineStr">
        <is>
          <t>Ballet Longsleeve Tee</t>
        </is>
      </c>
      <c r="B170" s="362" t="inlineStr">
        <is>
          <t>Active</t>
        </is>
      </c>
      <c r="C170" s="589" t="inlineStr">
        <is>
          <t>REMOVE</t>
        </is>
      </c>
      <c r="D170" s="364" t="inlineStr">
        <is>
          <t>Low sales (&lt;$1K in 90 days)</t>
        </is>
      </c>
      <c r="E170" s="364" t="inlineStr">
        <is>
          <t>2 — HIGH (excess inventory vs demand)</t>
        </is>
      </c>
      <c r="F170" s="365" t="inlineStr">
        <is>
          <t>Remove</t>
        </is>
      </c>
      <c r="G170" s="364" t="n"/>
      <c r="H170" s="366" t="n">
        <v>961.8200000000001</v>
      </c>
      <c r="I170" s="366" t="n">
        <v>1364</v>
      </c>
      <c r="J170" s="366" t="n">
        <v>-402.18</v>
      </c>
      <c r="K170" s="367" t="n">
        <v>0.295</v>
      </c>
      <c r="L170" s="368" t="n">
        <v>31</v>
      </c>
      <c r="M170" s="366" t="n">
        <v>31.03</v>
      </c>
      <c r="N170" s="369" t="n">
        <v>0.0005</v>
      </c>
      <c r="O170" s="369" t="n">
        <v>0.9408</v>
      </c>
      <c r="P170" s="365" t="n">
        <v>12</v>
      </c>
      <c r="Q170" s="366" t="n">
        <v>18</v>
      </c>
      <c r="R170" s="368" t="n">
        <v>31</v>
      </c>
      <c r="S170" s="368" t="n">
        <v>0</v>
      </c>
      <c r="T170" s="368" t="n">
        <v>71</v>
      </c>
      <c r="U170" s="368" t="n">
        <v>0</v>
      </c>
      <c r="V170" s="368">
        <f>S181+T181</f>
        <v/>
      </c>
      <c r="W170" s="368">
        <f>S181+T181+U181</f>
        <v/>
      </c>
      <c r="X170" s="368">
        <f>W181*Q181</f>
        <v/>
      </c>
      <c r="Y170" s="366" t="n">
        <v>88</v>
      </c>
      <c r="Z170" s="366" t="n">
        <v>44</v>
      </c>
      <c r="AA170" s="365">
        <f>IF(Y181=Z181,"No","Yes")</f>
        <v/>
      </c>
      <c r="AB170" s="365" t="inlineStr">
        <is>
          <t>N212WA3210</t>
        </is>
      </c>
      <c r="AC170" s="364" t="inlineStr">
        <is>
          <t>舞蹈基础长袖T恤</t>
        </is>
      </c>
    </row>
    <row r="171" ht="18" customHeight="1" s="229">
      <c r="A171" s="590" t="inlineStr">
        <is>
          <t>Mousse Fixed Cup Light Support Sports Bra</t>
        </is>
      </c>
      <c r="B171" s="591" t="inlineStr">
        <is>
          <t>Active</t>
        </is>
      </c>
      <c r="C171" s="592" t="inlineStr">
        <is>
          <t>REMOVE</t>
        </is>
      </c>
      <c r="D171" s="593" t="inlineStr">
        <is>
          <t>Low sales (&lt;$1K in 90 days)</t>
        </is>
      </c>
      <c r="E171" s="593" t="inlineStr">
        <is>
          <t>3 — MEDIUM (selldown or markdown)</t>
        </is>
      </c>
      <c r="F171" s="594" t="inlineStr">
        <is>
          <t>Remove</t>
        </is>
      </c>
      <c r="G171" s="593" t="n"/>
      <c r="H171" s="595" t="n">
        <v>929.45</v>
      </c>
      <c r="I171" s="595" t="n">
        <v>2700</v>
      </c>
      <c r="J171" s="595" t="n">
        <v>-1658.05</v>
      </c>
      <c r="K171" s="600" t="n">
        <v>0.614</v>
      </c>
      <c r="L171" s="597" t="n">
        <v>34</v>
      </c>
      <c r="M171" s="595" t="n">
        <v>27.34</v>
      </c>
      <c r="N171" s="598" t="n">
        <v>0.0005</v>
      </c>
      <c r="O171" s="598" t="n">
        <v>0.9433</v>
      </c>
      <c r="P171" s="594" t="n">
        <v>4</v>
      </c>
      <c r="Q171" s="595" t="n">
        <v>18</v>
      </c>
      <c r="R171" s="597" t="n">
        <v>35</v>
      </c>
      <c r="S171" s="597" t="n">
        <v>0</v>
      </c>
      <c r="T171" s="597" t="n">
        <v>31</v>
      </c>
      <c r="U171" s="597" t="n">
        <v>0</v>
      </c>
      <c r="V171" s="597">
        <f>S185+T185</f>
        <v/>
      </c>
      <c r="W171" s="597">
        <f>S185+T185+U185</f>
        <v/>
      </c>
      <c r="X171" s="597">
        <f>W185*Q185</f>
        <v/>
      </c>
      <c r="Y171" s="595" t="n">
        <v>75</v>
      </c>
      <c r="Z171" s="595" t="n">
        <v>75</v>
      </c>
      <c r="AA171" s="594">
        <f>IF(Y185=Z185,"No","Yes")</f>
        <v/>
      </c>
      <c r="AB171" s="594" t="inlineStr">
        <is>
          <t>NA251SS1105</t>
        </is>
      </c>
      <c r="AC171" s="593" t="inlineStr">
        <is>
          <t>核心低强度固定杯运动文胸</t>
        </is>
      </c>
    </row>
    <row r="172" ht="18" customHeight="1" s="229">
      <c r="A172" s="361" t="inlineStr">
        <is>
          <t>NEIWAI ACTIVE X NYCB Light Woven Joggers</t>
        </is>
      </c>
      <c r="B172" s="362" t="inlineStr">
        <is>
          <t>Active</t>
        </is>
      </c>
      <c r="C172" s="589" t="inlineStr">
        <is>
          <t>REMOVE</t>
        </is>
      </c>
      <c r="D172" s="364" t="inlineStr">
        <is>
          <t>NYCB collab — dead inventory, no velocity</t>
        </is>
      </c>
      <c r="E172" s="364" t="inlineStr">
        <is>
          <t>2 — HIGH (excess inventory vs demand)</t>
        </is>
      </c>
      <c r="F172" s="365" t="inlineStr">
        <is>
          <t>Remove</t>
        </is>
      </c>
      <c r="G172" s="364" t="n"/>
      <c r="H172" s="366" t="n">
        <v>892.5</v>
      </c>
      <c r="I172" s="366" t="n">
        <v>1190</v>
      </c>
      <c r="J172" s="366" t="n">
        <v>-297.5</v>
      </c>
      <c r="K172" s="380" t="n">
        <v>0.25</v>
      </c>
      <c r="L172" s="368" t="n">
        <v>10</v>
      </c>
      <c r="M172" s="366" t="n">
        <v>89.25</v>
      </c>
      <c r="N172" s="369" t="n">
        <v>0.0005</v>
      </c>
      <c r="O172" s="369" t="n">
        <v>0.9453</v>
      </c>
      <c r="P172" s="365" t="n">
        <v>6</v>
      </c>
      <c r="Q172" s="366" t="n">
        <v>18</v>
      </c>
      <c r="R172" s="368" t="n">
        <v>10</v>
      </c>
      <c r="S172" s="368" t="n">
        <v>0</v>
      </c>
      <c r="T172" s="368" t="n">
        <v>118</v>
      </c>
      <c r="U172" s="368" t="n">
        <v>0</v>
      </c>
      <c r="V172" s="368">
        <f>S189+T189</f>
        <v/>
      </c>
      <c r="W172" s="368">
        <f>S189+T189+U189</f>
        <v/>
      </c>
      <c r="X172" s="368">
        <f>W189*Q189</f>
        <v/>
      </c>
      <c r="Y172" s="366" t="n">
        <v>119</v>
      </c>
      <c r="Z172" s="366" t="n">
        <v>119</v>
      </c>
      <c r="AA172" s="365">
        <f>IF(Y189=Z189,"No","Yes")</f>
        <v/>
      </c>
      <c r="AB172" s="365" t="inlineStr">
        <is>
          <t>NA242SD4101</t>
        </is>
      </c>
      <c r="AC172" s="364" t="inlineStr">
        <is>
          <t>梭织轻薄束脚练功裤</t>
        </is>
      </c>
    </row>
    <row r="173" ht="18" customHeight="1" s="229">
      <c r="A173" s="590" t="inlineStr">
        <is>
          <t>Medium Support M-Back Sports Bra</t>
        </is>
      </c>
      <c r="B173" s="591" t="inlineStr">
        <is>
          <t>Active</t>
        </is>
      </c>
      <c r="C173" s="592" t="inlineStr">
        <is>
          <t>REMOVE</t>
        </is>
      </c>
      <c r="D173" s="593" t="inlineStr">
        <is>
          <t>Low sales (&lt;$1K in 90 days)</t>
        </is>
      </c>
      <c r="E173" s="593" t="inlineStr">
        <is>
          <t>4 — LOW (natural sellthrough)</t>
        </is>
      </c>
      <c r="F173" s="594" t="inlineStr">
        <is>
          <t>Remove</t>
        </is>
      </c>
      <c r="G173" s="593" t="n"/>
      <c r="H173" s="595" t="n">
        <v>876.4599999999999</v>
      </c>
      <c r="I173" s="595" t="n">
        <v>1295.6</v>
      </c>
      <c r="J173" s="595" t="n">
        <v>-380.4299999999999</v>
      </c>
      <c r="K173" s="600" t="n">
        <v>0.294</v>
      </c>
      <c r="L173" s="597" t="n">
        <v>23</v>
      </c>
      <c r="M173" s="595" t="n">
        <v>38.11</v>
      </c>
      <c r="N173" s="598" t="n">
        <v>0.0005</v>
      </c>
      <c r="O173" s="598" t="n">
        <v>0.9462999999999999</v>
      </c>
      <c r="P173" s="594" t="n">
        <v>4</v>
      </c>
      <c r="Q173" s="595" t="n">
        <v>18</v>
      </c>
      <c r="R173" s="597" t="n">
        <v>23</v>
      </c>
      <c r="S173" s="597" t="n">
        <v>2</v>
      </c>
      <c r="T173" s="597" t="n">
        <v>15</v>
      </c>
      <c r="U173" s="597" t="n">
        <v>37</v>
      </c>
      <c r="V173" s="597">
        <f>S191+T191</f>
        <v/>
      </c>
      <c r="W173" s="597">
        <f>S191+T191+U191</f>
        <v/>
      </c>
      <c r="X173" s="597">
        <f>W191*Q191</f>
        <v/>
      </c>
      <c r="Y173" s="595" t="n">
        <v>79</v>
      </c>
      <c r="Z173" s="595" t="n">
        <v>47.4</v>
      </c>
      <c r="AA173" s="594">
        <f>IF(Y191=Z191,"No","Yes")</f>
        <v/>
      </c>
      <c r="AB173" s="594" t="inlineStr">
        <is>
          <t>NA221SS1111</t>
        </is>
      </c>
      <c r="AC173" s="593" t="inlineStr">
        <is>
          <t>核心中强度一体杯M字背运动文胸</t>
        </is>
      </c>
    </row>
    <row r="174" ht="18" customHeight="1" s="229">
      <c r="A174" s="361" t="inlineStr">
        <is>
          <t>Ballet Shrug</t>
        </is>
      </c>
      <c r="B174" s="362" t="inlineStr">
        <is>
          <t>Active</t>
        </is>
      </c>
      <c r="C174" s="589" t="inlineStr">
        <is>
          <t>REMOVE</t>
        </is>
      </c>
      <c r="D174" s="364" t="inlineStr">
        <is>
          <t>Low sales (&lt;$1K in 90 days)</t>
        </is>
      </c>
      <c r="E174" s="364" t="inlineStr">
        <is>
          <t>2 — HIGH (excess inventory vs demand)</t>
        </is>
      </c>
      <c r="F174" s="365" t="inlineStr">
        <is>
          <t>Remove</t>
        </is>
      </c>
      <c r="G174" s="364" t="n"/>
      <c r="H174" s="366" t="n">
        <v>866.5500000000001</v>
      </c>
      <c r="I174" s="366" t="n">
        <v>1090</v>
      </c>
      <c r="J174" s="366" t="n">
        <v>-223.45</v>
      </c>
      <c r="K174" s="380" t="n">
        <v>0.205</v>
      </c>
      <c r="L174" s="368" t="n">
        <v>10</v>
      </c>
      <c r="M174" s="366" t="n">
        <v>86.66</v>
      </c>
      <c r="N174" s="369" t="n">
        <v>0.0005</v>
      </c>
      <c r="O174" s="369" t="n">
        <v>0.9468000000000001</v>
      </c>
      <c r="P174" s="365" t="n">
        <v>2</v>
      </c>
      <c r="Q174" s="366" t="n">
        <v>18</v>
      </c>
      <c r="R174" s="368" t="n">
        <v>10</v>
      </c>
      <c r="S174" s="368" t="n">
        <v>0</v>
      </c>
      <c r="T174" s="368" t="n">
        <v>232</v>
      </c>
      <c r="U174" s="368" t="n">
        <v>0</v>
      </c>
      <c r="V174" s="368">
        <f>S192+T192</f>
        <v/>
      </c>
      <c r="W174" s="368">
        <f>S192+T192+U192</f>
        <v/>
      </c>
      <c r="X174" s="368">
        <f>W192*Q192</f>
        <v/>
      </c>
      <c r="Y174" s="366" t="n">
        <v>109</v>
      </c>
      <c r="Z174" s="366" t="n">
        <v>109</v>
      </c>
      <c r="AA174" s="365">
        <f>IF(Y192=Z192,"No","Yes")</f>
        <v/>
      </c>
      <c r="AB174" s="365" t="inlineStr">
        <is>
          <t>NA241SD2702</t>
        </is>
      </c>
      <c r="AC174" s="364" t="inlineStr">
        <is>
          <t>茧型护肩</t>
        </is>
      </c>
    </row>
    <row r="175" ht="18" customHeight="1" s="229">
      <c r="A175" s="590" t="inlineStr">
        <is>
          <t>Core Racerback Tank Top</t>
        </is>
      </c>
      <c r="B175" s="591" t="inlineStr">
        <is>
          <t>Active</t>
        </is>
      </c>
      <c r="C175" s="592" t="inlineStr">
        <is>
          <t>REMOVE</t>
        </is>
      </c>
      <c r="D175" s="593" t="inlineStr">
        <is>
          <t>Low sales (&lt;$1K in 90 days)</t>
        </is>
      </c>
      <c r="E175" s="593" t="inlineStr">
        <is>
          <t>4 — LOW (natural sellthrough)</t>
        </is>
      </c>
      <c r="F175" s="594" t="inlineStr">
        <is>
          <t>Remove</t>
        </is>
      </c>
      <c r="G175" s="593" t="n"/>
      <c r="H175" s="595" t="n">
        <v>865.77</v>
      </c>
      <c r="I175" s="595" t="n">
        <v>1228.5</v>
      </c>
      <c r="J175" s="595" t="n">
        <v>-346.35</v>
      </c>
      <c r="K175" s="600" t="n">
        <v>0.282</v>
      </c>
      <c r="L175" s="597" t="n">
        <v>45</v>
      </c>
      <c r="M175" s="595" t="n">
        <v>19.24</v>
      </c>
      <c r="N175" s="598" t="n">
        <v>0.0005</v>
      </c>
      <c r="O175" s="598" t="n">
        <v>0.9473</v>
      </c>
      <c r="P175" s="594" t="n">
        <v>8</v>
      </c>
      <c r="Q175" s="595" t="n">
        <v>18</v>
      </c>
      <c r="R175" s="597" t="n">
        <v>46</v>
      </c>
      <c r="S175" s="597" t="n">
        <v>0</v>
      </c>
      <c r="T175" s="597" t="n">
        <v>22</v>
      </c>
      <c r="U175" s="597" t="n">
        <v>94</v>
      </c>
      <c r="V175" s="597">
        <f>S193+T193</f>
        <v/>
      </c>
      <c r="W175" s="597">
        <f>S193+T193+U193</f>
        <v/>
      </c>
      <c r="X175" s="597">
        <f>W193*Q193</f>
        <v/>
      </c>
      <c r="Y175" s="595" t="n">
        <v>39</v>
      </c>
      <c r="Z175" s="595" t="n">
        <v>23.4</v>
      </c>
      <c r="AA175" s="594">
        <f>IF(Y193=Z193,"No","Yes")</f>
        <v/>
      </c>
      <c r="AB175" s="594" t="inlineStr">
        <is>
          <t>NA232SS3202</t>
        </is>
      </c>
      <c r="AC175" s="593" t="inlineStr">
        <is>
          <t>基础高领训练背心</t>
        </is>
      </c>
    </row>
    <row r="176" ht="18" customHeight="1" s="229">
      <c r="A176" s="361" t="inlineStr">
        <is>
          <t>Side Knotted Sleeveless Top</t>
        </is>
      </c>
      <c r="B176" s="362" t="inlineStr">
        <is>
          <t>Active</t>
        </is>
      </c>
      <c r="C176" s="589" t="inlineStr">
        <is>
          <t>REMOVE</t>
        </is>
      </c>
      <c r="D176" s="364" t="inlineStr">
        <is>
          <t>Low sales (&lt;$1K in 90 days)</t>
        </is>
      </c>
      <c r="E176" s="364" t="inlineStr">
        <is>
          <t>3 — MEDIUM (selldown or markdown)</t>
        </is>
      </c>
      <c r="F176" s="365" t="inlineStr">
        <is>
          <t>Remove</t>
        </is>
      </c>
      <c r="G176" s="364" t="n"/>
      <c r="H176" s="366" t="n">
        <v>849.99</v>
      </c>
      <c r="I176" s="366" t="n">
        <v>1234.8</v>
      </c>
      <c r="J176" s="366" t="n">
        <v>-384.81</v>
      </c>
      <c r="K176" s="367" t="n">
        <v>0.312</v>
      </c>
      <c r="L176" s="368" t="n">
        <v>36</v>
      </c>
      <c r="M176" s="366" t="n">
        <v>23.61</v>
      </c>
      <c r="N176" s="369" t="n">
        <v>0.0005</v>
      </c>
      <c r="O176" s="369" t="n">
        <v>0.9488</v>
      </c>
      <c r="P176" s="365" t="n">
        <v>7</v>
      </c>
      <c r="Q176" s="366" t="n">
        <v>18</v>
      </c>
      <c r="R176" s="368" t="n">
        <v>36</v>
      </c>
      <c r="S176" s="368" t="n">
        <v>0</v>
      </c>
      <c r="T176" s="368" t="n">
        <v>39</v>
      </c>
      <c r="U176" s="368" t="n">
        <v>108</v>
      </c>
      <c r="V176" s="368">
        <f>S196+T196</f>
        <v/>
      </c>
      <c r="W176" s="368">
        <f>S196+T196+U196</f>
        <v/>
      </c>
      <c r="X176" s="368">
        <f>W196*Q196</f>
        <v/>
      </c>
      <c r="Y176" s="366" t="n">
        <v>49</v>
      </c>
      <c r="Z176" s="366" t="n">
        <v>34.3</v>
      </c>
      <c r="AA176" s="365">
        <f>IF(Y196=Z196,"No","Yes")</f>
        <v/>
      </c>
      <c r="AB176" s="365" t="inlineStr">
        <is>
          <t>NA231SS3202</t>
        </is>
      </c>
      <c r="AC176" s="364" t="inlineStr">
        <is>
          <t>夏练两侧扭结宽松背心</t>
        </is>
      </c>
    </row>
    <row r="177" ht="18" customHeight="1" s="229">
      <c r="A177" s="590" t="inlineStr">
        <is>
          <t>Double Mesh Fixed Cup Dance Bra Top</t>
        </is>
      </c>
      <c r="B177" s="591" t="inlineStr">
        <is>
          <t>Active</t>
        </is>
      </c>
      <c r="C177" s="592" t="inlineStr">
        <is>
          <t>REMOVE</t>
        </is>
      </c>
      <c r="D177" s="593" t="inlineStr">
        <is>
          <t>Low sales (&lt;$1K in 90 days)</t>
        </is>
      </c>
      <c r="E177" s="593" t="inlineStr">
        <is>
          <t>4 — LOW (natural sellthrough)</t>
        </is>
      </c>
      <c r="F177" s="594" t="inlineStr">
        <is>
          <t>Remove</t>
        </is>
      </c>
      <c r="G177" s="593" t="inlineStr">
        <is>
          <t>OOS</t>
        </is>
      </c>
      <c r="H177" s="595" t="n">
        <v>848.87</v>
      </c>
      <c r="I177" s="595" t="n">
        <v>1785</v>
      </c>
      <c r="J177" s="595" t="n">
        <v>-364.63</v>
      </c>
      <c r="K177" s="596" t="n">
        <v>0.204</v>
      </c>
      <c r="L177" s="597" t="n">
        <v>13</v>
      </c>
      <c r="M177" s="595" t="n">
        <v>65.3</v>
      </c>
      <c r="N177" s="598" t="n">
        <v>0.0005</v>
      </c>
      <c r="O177" s="598" t="n">
        <v>0.9493</v>
      </c>
      <c r="P177" s="594" t="n">
        <v>8</v>
      </c>
      <c r="Q177" s="595" t="n">
        <v>18</v>
      </c>
      <c r="R177" s="597" t="n">
        <v>21</v>
      </c>
      <c r="S177" s="597" t="n">
        <v>0</v>
      </c>
      <c r="T177" s="597" t="n">
        <v>0</v>
      </c>
      <c r="U177" s="597" t="n">
        <v>0</v>
      </c>
      <c r="V177" s="597">
        <f>S197+T197</f>
        <v/>
      </c>
      <c r="W177" s="597">
        <f>S197+T197+U197</f>
        <v/>
      </c>
      <c r="X177" s="597">
        <f>W197*Q197</f>
        <v/>
      </c>
      <c r="Y177" s="595" t="n">
        <v>85</v>
      </c>
      <c r="Z177" s="595" t="n">
        <v>85</v>
      </c>
      <c r="AA177" s="594">
        <f>IF(Y197=Z197,"No","Yes")</f>
        <v/>
      </c>
      <c r="AB177" s="594" t="e">
        <v>#N/A</v>
      </c>
      <c r="AC177" s="593" t="e">
        <v>#N/A</v>
      </c>
    </row>
    <row r="178" ht="18" customHeight="1" s="229">
      <c r="A178" s="361" t="inlineStr">
        <is>
          <t>Mousse Drawstring Wide Leg Pants</t>
        </is>
      </c>
      <c r="B178" s="362" t="inlineStr">
        <is>
          <t>Active</t>
        </is>
      </c>
      <c r="C178" s="589" t="inlineStr">
        <is>
          <t>REMOVE</t>
        </is>
      </c>
      <c r="D178" s="364" t="inlineStr">
        <is>
          <t>Low sales (&lt;$1K in 90 days)</t>
        </is>
      </c>
      <c r="E178" s="364" t="inlineStr">
        <is>
          <t>4 — LOW (natural sellthrough)</t>
        </is>
      </c>
      <c r="F178" s="365" t="inlineStr">
        <is>
          <t>Remove</t>
        </is>
      </c>
      <c r="G178" s="364" t="n"/>
      <c r="H178" s="366" t="n">
        <v>842.27</v>
      </c>
      <c r="I178" s="366" t="n">
        <v>1386</v>
      </c>
      <c r="J178" s="366" t="n">
        <v>-390.0599999999999</v>
      </c>
      <c r="K178" s="367" t="n">
        <v>0.281</v>
      </c>
      <c r="L178" s="368" t="n">
        <v>17</v>
      </c>
      <c r="M178" s="366" t="n">
        <v>49.55</v>
      </c>
      <c r="N178" s="369" t="n">
        <v>0.0005</v>
      </c>
      <c r="O178" s="369" t="n">
        <v>0.9498000000000001</v>
      </c>
      <c r="P178" s="365" t="n">
        <v>3</v>
      </c>
      <c r="Q178" s="366" t="n">
        <v>18</v>
      </c>
      <c r="R178" s="368" t="n">
        <v>20</v>
      </c>
      <c r="S178" s="368" t="n">
        <v>9</v>
      </c>
      <c r="T178" s="368" t="n">
        <v>0</v>
      </c>
      <c r="U178" s="368" t="n">
        <v>88</v>
      </c>
      <c r="V178" s="368">
        <f>S198+T198</f>
        <v/>
      </c>
      <c r="W178" s="368">
        <f>S198+T198+U198</f>
        <v/>
      </c>
      <c r="X178" s="368">
        <f>W198*Q198</f>
        <v/>
      </c>
      <c r="Y178" s="366" t="n">
        <v>99</v>
      </c>
      <c r="Z178" s="366" t="n">
        <v>69.3</v>
      </c>
      <c r="AA178" s="365">
        <f>IF(Y198=Z198,"No","Yes")</f>
        <v/>
      </c>
      <c r="AB178" s="365" t="inlineStr">
        <is>
          <t>NA232SS4103</t>
        </is>
      </c>
      <c r="AC178" s="364" t="inlineStr">
        <is>
          <t>慕斯全长腰部抽绳阔腿裤</t>
        </is>
      </c>
    </row>
    <row r="179" ht="18" customHeight="1" s="229">
      <c r="A179" s="590" t="inlineStr">
        <is>
          <t>Voyage Gathered Swimsuit</t>
        </is>
      </c>
      <c r="B179" s="591" t="inlineStr">
        <is>
          <t>Active</t>
        </is>
      </c>
      <c r="C179" s="592" t="inlineStr">
        <is>
          <t>REMOVE</t>
        </is>
      </c>
      <c r="D179" s="593" t="inlineStr">
        <is>
          <t>Low sales (&lt;$1K in 90 days)</t>
        </is>
      </c>
      <c r="E179" s="593" t="inlineStr">
        <is>
          <t>2 — HIGH (excess inventory vs demand)</t>
        </is>
      </c>
      <c r="F179" s="594" t="inlineStr">
        <is>
          <t>Remove</t>
        </is>
      </c>
      <c r="G179" s="593" t="n"/>
      <c r="H179" s="595" t="n">
        <v>841.0500000000001</v>
      </c>
      <c r="I179" s="595" t="n">
        <v>1215.2</v>
      </c>
      <c r="J179" s="595" t="n">
        <v>-312.13</v>
      </c>
      <c r="K179" s="600" t="n">
        <v>0.257</v>
      </c>
      <c r="L179" s="597" t="n">
        <v>29</v>
      </c>
      <c r="M179" s="595" t="n">
        <v>29</v>
      </c>
      <c r="N179" s="598" t="n">
        <v>0.0005</v>
      </c>
      <c r="O179" s="598" t="n">
        <v>0.9503</v>
      </c>
      <c r="P179" s="594" t="n">
        <v>3</v>
      </c>
      <c r="Q179" s="595" t="n">
        <v>18</v>
      </c>
      <c r="R179" s="597" t="n">
        <v>31</v>
      </c>
      <c r="S179" s="597" t="n">
        <v>0</v>
      </c>
      <c r="T179" s="597" t="n">
        <v>443</v>
      </c>
      <c r="U179" s="597" t="n">
        <v>0</v>
      </c>
      <c r="V179" s="597">
        <f>S199+T199</f>
        <v/>
      </c>
      <c r="W179" s="597">
        <f>S199+T199+U199</f>
        <v/>
      </c>
      <c r="X179" s="597">
        <f>W199*Q199</f>
        <v/>
      </c>
      <c r="Y179" s="595" t="n">
        <v>98</v>
      </c>
      <c r="Z179" s="595" t="n">
        <v>39.2</v>
      </c>
      <c r="AA179" s="594">
        <f>IF(Y199=Z199,"No","Yes")</f>
        <v/>
      </c>
      <c r="AB179" s="594" t="inlineStr">
        <is>
          <t>NW01A23102</t>
        </is>
      </c>
      <c r="AC179" s="593" t="inlineStr">
        <is>
          <t>Voyage褶皱连体泳衣</t>
        </is>
      </c>
    </row>
    <row r="180" ht="18" customHeight="1" s="229">
      <c r="A180" s="361" t="inlineStr">
        <is>
          <t>NEIWAI ACTIVE X NYCB Mousse High Waist Pants</t>
        </is>
      </c>
      <c r="B180" s="362" t="inlineStr">
        <is>
          <t>Active</t>
        </is>
      </c>
      <c r="C180" s="589" t="inlineStr">
        <is>
          <t>REMOVE</t>
        </is>
      </c>
      <c r="D180" s="364" t="inlineStr">
        <is>
          <t>NYCB collab — dead inventory, no velocity</t>
        </is>
      </c>
      <c r="E180" s="364" t="inlineStr">
        <is>
          <t>3 — MEDIUM (selldown or markdown)</t>
        </is>
      </c>
      <c r="F180" s="365" t="inlineStr">
        <is>
          <t>Remove</t>
        </is>
      </c>
      <c r="G180" s="364" t="n"/>
      <c r="H180" s="366" t="n">
        <v>832.3200000000001</v>
      </c>
      <c r="I180" s="366" t="n">
        <v>1190</v>
      </c>
      <c r="J180" s="366" t="n">
        <v>-357.68</v>
      </c>
      <c r="K180" s="367" t="n">
        <v>0.301</v>
      </c>
      <c r="L180" s="368" t="n">
        <v>10</v>
      </c>
      <c r="M180" s="366" t="n">
        <v>83.23</v>
      </c>
      <c r="N180" s="369" t="n">
        <v>0.0005</v>
      </c>
      <c r="O180" s="369" t="n">
        <v>0.9512999999999999</v>
      </c>
      <c r="P180" s="365" t="n">
        <v>5</v>
      </c>
      <c r="Q180" s="366" t="n">
        <v>18</v>
      </c>
      <c r="R180" s="368" t="n">
        <v>10</v>
      </c>
      <c r="S180" s="368" t="n">
        <v>4</v>
      </c>
      <c r="T180" s="368" t="n">
        <v>46</v>
      </c>
      <c r="U180" s="368" t="n">
        <v>0</v>
      </c>
      <c r="V180" s="368">
        <f>S201+T201</f>
        <v/>
      </c>
      <c r="W180" s="368">
        <f>S201+T201+U201</f>
        <v/>
      </c>
      <c r="X180" s="368">
        <f>W201*Q201</f>
        <v/>
      </c>
      <c r="Y180" s="366" t="n">
        <v>119</v>
      </c>
      <c r="Z180" s="366" t="n">
        <v>119</v>
      </c>
      <c r="AA180" s="365">
        <f>IF(Y201=Z201,"No","Yes")</f>
        <v/>
      </c>
      <c r="AB180" s="365" t="inlineStr">
        <is>
          <t>NA242SS4103</t>
        </is>
      </c>
      <c r="AC180" s="364" t="inlineStr">
        <is>
          <t>慕斯高腰直筒裤</t>
        </is>
      </c>
    </row>
    <row r="181" ht="18" customHeight="1" s="229">
      <c r="A181" s="590" t="inlineStr">
        <is>
          <t>Breeze Pants</t>
        </is>
      </c>
      <c r="B181" s="591" t="inlineStr">
        <is>
          <t>Active</t>
        </is>
      </c>
      <c r="C181" s="592" t="inlineStr">
        <is>
          <t>REMOVE</t>
        </is>
      </c>
      <c r="D181" s="593" t="inlineStr">
        <is>
          <t>Low sales (&lt;$1K in 90 days)</t>
        </is>
      </c>
      <c r="E181" s="593" t="inlineStr">
        <is>
          <t>4 — LOW (natural sellthrough)</t>
        </is>
      </c>
      <c r="F181" s="594" t="inlineStr">
        <is>
          <t>Remove</t>
        </is>
      </c>
      <c r="G181" s="593" t="n"/>
      <c r="H181" s="595" t="n">
        <v>830.77</v>
      </c>
      <c r="I181" s="595" t="n">
        <v>1264.2</v>
      </c>
      <c r="J181" s="595" t="n">
        <v>-370.22</v>
      </c>
      <c r="K181" s="600" t="n">
        <v>0.293</v>
      </c>
      <c r="L181" s="597" t="n">
        <v>13</v>
      </c>
      <c r="M181" s="595" t="n">
        <v>63.91</v>
      </c>
      <c r="N181" s="598" t="n">
        <v>0.0005</v>
      </c>
      <c r="O181" s="598" t="n">
        <v>0.9518000000000001</v>
      </c>
      <c r="P181" s="594" t="n">
        <v>5</v>
      </c>
      <c r="Q181" s="595" t="n">
        <v>18</v>
      </c>
      <c r="R181" s="597" t="n">
        <v>14</v>
      </c>
      <c r="S181" s="597" t="n">
        <v>6</v>
      </c>
      <c r="T181" s="597" t="n">
        <v>14</v>
      </c>
      <c r="U181" s="597" t="n">
        <v>44</v>
      </c>
      <c r="V181" s="597">
        <f>S202+T202</f>
        <v/>
      </c>
      <c r="W181" s="597">
        <f>S202+T202+U202</f>
        <v/>
      </c>
      <c r="X181" s="597">
        <f>W202*Q202</f>
        <v/>
      </c>
      <c r="Y181" s="595" t="n">
        <v>129</v>
      </c>
      <c r="Z181" s="595" t="n">
        <v>90.3</v>
      </c>
      <c r="AA181" s="594">
        <f>IF(Y202=Z202,"No","Yes")</f>
        <v/>
      </c>
      <c r="AB181" s="594" t="inlineStr">
        <is>
          <t>NA231SO4101</t>
        </is>
      </c>
      <c r="AC181" s="593" t="inlineStr">
        <is>
          <t>微风茧型梭织长裤</t>
        </is>
      </c>
    </row>
    <row r="182" ht="18" customHeight="1" s="229">
      <c r="A182" s="361" t="inlineStr">
        <is>
          <t>Ballet Fitted Hoodie</t>
        </is>
      </c>
      <c r="B182" s="362" t="inlineStr">
        <is>
          <t>Active</t>
        </is>
      </c>
      <c r="C182" s="589" t="inlineStr">
        <is>
          <t>REMOVE</t>
        </is>
      </c>
      <c r="D182" s="364" t="inlineStr">
        <is>
          <t>Low sales (&lt;$1K in 90 days)</t>
        </is>
      </c>
      <c r="E182" s="364" t="inlineStr">
        <is>
          <t>4 — LOW (natural sellthrough)</t>
        </is>
      </c>
      <c r="F182" s="365" t="inlineStr">
        <is>
          <t>Remove</t>
        </is>
      </c>
      <c r="G182" s="364" t="n"/>
      <c r="H182" s="366" t="n">
        <v>820.75</v>
      </c>
      <c r="I182" s="366" t="n">
        <v>1347.5</v>
      </c>
      <c r="J182" s="366" t="n">
        <v>-414.39</v>
      </c>
      <c r="K182" s="367" t="n">
        <v>0.308</v>
      </c>
      <c r="L182" s="368" t="n">
        <v>10</v>
      </c>
      <c r="M182" s="366" t="n">
        <v>82.08</v>
      </c>
      <c r="N182" s="369" t="n">
        <v>0.0005</v>
      </c>
      <c r="O182" s="369" t="n">
        <v>0.9528</v>
      </c>
      <c r="P182" s="365" t="n">
        <v>4</v>
      </c>
      <c r="Q182" s="366" t="n">
        <v>18</v>
      </c>
      <c r="R182" s="368" t="n">
        <v>11</v>
      </c>
      <c r="S182" s="368" t="n">
        <v>0</v>
      </c>
      <c r="T182" s="368" t="n">
        <v>11</v>
      </c>
      <c r="U182" s="368" t="n">
        <v>46</v>
      </c>
      <c r="V182" s="368">
        <f>S204+T204</f>
        <v/>
      </c>
      <c r="W182" s="368">
        <f>S204+T204+U204</f>
        <v/>
      </c>
      <c r="X182" s="368">
        <f>W204*Q204</f>
        <v/>
      </c>
      <c r="Y182" s="366" t="n">
        <v>175</v>
      </c>
      <c r="Z182" s="366" t="n">
        <v>122.5</v>
      </c>
      <c r="AA182" s="365">
        <f>IF(Y204=Z204,"No","Yes")</f>
        <v/>
      </c>
      <c r="AB182" s="365" t="inlineStr">
        <is>
          <t>NA231SD2501</t>
        </is>
      </c>
      <c r="AC182" s="364" t="inlineStr">
        <is>
          <t>芭蕾修身连帽外套</t>
        </is>
      </c>
    </row>
    <row r="183" ht="18" customHeight="1" s="229">
      <c r="A183" s="590" t="inlineStr">
        <is>
          <t>Active Long Sleeve Tee</t>
        </is>
      </c>
      <c r="B183" s="591" t="inlineStr">
        <is>
          <t>Active</t>
        </is>
      </c>
      <c r="C183" s="592" t="inlineStr">
        <is>
          <t>REMOVE</t>
        </is>
      </c>
      <c r="D183" s="593" t="inlineStr">
        <is>
          <t>Low sales (&lt;$1K in 90 days)</t>
        </is>
      </c>
      <c r="E183" s="593" t="inlineStr">
        <is>
          <t>4 — LOW (natural sellthrough)</t>
        </is>
      </c>
      <c r="F183" s="594" t="inlineStr">
        <is>
          <t>Remove</t>
        </is>
      </c>
      <c r="G183" s="593" t="n"/>
      <c r="H183" s="595" t="n">
        <v>807.9300000000001</v>
      </c>
      <c r="I183" s="595" t="n">
        <v>1090.2</v>
      </c>
      <c r="J183" s="595" t="n">
        <v>-282.27</v>
      </c>
      <c r="K183" s="600" t="n">
        <v>0.259</v>
      </c>
      <c r="L183" s="597" t="n">
        <v>23</v>
      </c>
      <c r="M183" s="595" t="n">
        <v>35.13</v>
      </c>
      <c r="N183" s="598" t="n">
        <v>0.0004</v>
      </c>
      <c r="O183" s="598" t="n">
        <v>0.9531999999999999</v>
      </c>
      <c r="P183" s="594" t="n">
        <v>8</v>
      </c>
      <c r="Q183" s="595" t="n">
        <v>18</v>
      </c>
      <c r="R183" s="597" t="n">
        <v>23</v>
      </c>
      <c r="S183" s="597" t="n">
        <v>0</v>
      </c>
      <c r="T183" s="597" t="n">
        <v>31</v>
      </c>
      <c r="U183" s="597" t="n">
        <v>192</v>
      </c>
      <c r="V183" s="597">
        <f>S205+T205</f>
        <v/>
      </c>
      <c r="W183" s="597">
        <f>S205+T205+U205</f>
        <v/>
      </c>
      <c r="X183" s="597">
        <f>W205*Q205</f>
        <v/>
      </c>
      <c r="Y183" s="595" t="n">
        <v>79</v>
      </c>
      <c r="Z183" s="595" t="n">
        <v>47.4</v>
      </c>
      <c r="AA183" s="594">
        <f>IF(Y205=Z205,"No","Yes")</f>
        <v/>
      </c>
      <c r="AB183" s="594" t="inlineStr">
        <is>
          <t>NA221SS3310</t>
        </is>
      </c>
      <c r="AC183" s="593" t="inlineStr">
        <is>
          <t>轻运动长袖T恤</t>
        </is>
      </c>
    </row>
    <row r="184" ht="18" customHeight="1" s="229">
      <c r="A184" s="361" t="inlineStr">
        <is>
          <t>Core Medium Support Leggings</t>
        </is>
      </c>
      <c r="B184" s="362" t="inlineStr">
        <is>
          <t>Active</t>
        </is>
      </c>
      <c r="C184" s="589" t="inlineStr">
        <is>
          <t>REMOVE</t>
        </is>
      </c>
      <c r="D184" s="364" t="inlineStr">
        <is>
          <t>Low sales (&lt;$1K in 90 days)</t>
        </is>
      </c>
      <c r="E184" s="364" t="inlineStr">
        <is>
          <t>3 — MEDIUM (selldown or markdown)</t>
        </is>
      </c>
      <c r="F184" s="365" t="inlineStr">
        <is>
          <t>Remove</t>
        </is>
      </c>
      <c r="G184" s="364" t="n"/>
      <c r="H184" s="366" t="n">
        <v>793.15</v>
      </c>
      <c r="I184" s="366" t="n">
        <v>1247.4</v>
      </c>
      <c r="J184" s="366" t="n">
        <v>-372.5</v>
      </c>
      <c r="K184" s="367" t="n">
        <v>0.299</v>
      </c>
      <c r="L184" s="368" t="n">
        <v>19</v>
      </c>
      <c r="M184" s="366" t="n">
        <v>41.74</v>
      </c>
      <c r="N184" s="369" t="n">
        <v>0.0004</v>
      </c>
      <c r="O184" s="369" t="n">
        <v>0.9548000000000001</v>
      </c>
      <c r="P184" s="365" t="n">
        <v>6</v>
      </c>
      <c r="Q184" s="366" t="n">
        <v>18</v>
      </c>
      <c r="R184" s="368" t="n">
        <v>21</v>
      </c>
      <c r="S184" s="368" t="n">
        <v>0</v>
      </c>
      <c r="T184" s="368" t="n">
        <v>31</v>
      </c>
      <c r="U184" s="368" t="n">
        <v>528</v>
      </c>
      <c r="V184" s="368">
        <f>S209+T209</f>
        <v/>
      </c>
      <c r="W184" s="368">
        <f>S209+T209+U209</f>
        <v/>
      </c>
      <c r="X184" s="368">
        <f>W209*Q209</f>
        <v/>
      </c>
      <c r="Y184" s="366" t="n">
        <v>99</v>
      </c>
      <c r="Z184" s="366" t="n">
        <v>59.4</v>
      </c>
      <c r="AA184" s="365">
        <f>IF(Y209=Z209,"No","Yes")</f>
        <v/>
      </c>
      <c r="AB184" s="365" t="inlineStr">
        <is>
          <t>NA221SS4215</t>
        </is>
      </c>
      <c r="AC184" s="364" t="inlineStr">
        <is>
          <t>核心高弹网布拼接九分运动紧身裤</t>
        </is>
      </c>
    </row>
    <row r="185" ht="18" customHeight="1" s="229">
      <c r="A185" s="590" t="inlineStr">
        <is>
          <t>Ballet Longsleeve T-shirt</t>
        </is>
      </c>
      <c r="B185" s="591" t="inlineStr">
        <is>
          <t>Active</t>
        </is>
      </c>
      <c r="C185" s="592" t="inlineStr">
        <is>
          <t>REMOVE</t>
        </is>
      </c>
      <c r="D185" s="593" t="inlineStr">
        <is>
          <t>Low sales (&lt;$1K in 90 days)</t>
        </is>
      </c>
      <c r="E185" s="593" t="inlineStr">
        <is>
          <t>4 — LOW (natural sellthrough)</t>
        </is>
      </c>
      <c r="F185" s="594" t="inlineStr">
        <is>
          <t>Remove</t>
        </is>
      </c>
      <c r="G185" s="593" t="n"/>
      <c r="H185" s="595" t="n">
        <v>780</v>
      </c>
      <c r="I185" s="595" t="n">
        <v>1039.5</v>
      </c>
      <c r="J185" s="595" t="n">
        <v>-259.5</v>
      </c>
      <c r="K185" s="596" t="n">
        <v>0.25</v>
      </c>
      <c r="L185" s="597" t="n">
        <v>23</v>
      </c>
      <c r="M185" s="595" t="n">
        <v>33.91</v>
      </c>
      <c r="N185" s="598" t="n">
        <v>0.0004</v>
      </c>
      <c r="O185" s="598" t="n">
        <v>0.9556</v>
      </c>
      <c r="P185" s="594" t="n">
        <v>6</v>
      </c>
      <c r="Q185" s="595" t="n">
        <v>18</v>
      </c>
      <c r="R185" s="597" t="n">
        <v>23</v>
      </c>
      <c r="S185" s="597" t="n">
        <v>0</v>
      </c>
      <c r="T185" s="597" t="n">
        <v>37</v>
      </c>
      <c r="U185" s="597" t="n">
        <v>415</v>
      </c>
      <c r="V185" s="597">
        <f>S211+T211</f>
        <v/>
      </c>
      <c r="W185" s="597">
        <f>S211+T211+U211</f>
        <v/>
      </c>
      <c r="X185" s="597">
        <f>W211*Q211</f>
        <v/>
      </c>
      <c r="Y185" s="595" t="n">
        <v>99</v>
      </c>
      <c r="Z185" s="595" t="n">
        <v>39.6</v>
      </c>
      <c r="AA185" s="594">
        <f>IF(Y211=Z211,"No","Yes")</f>
        <v/>
      </c>
      <c r="AB185" s="594" t="inlineStr">
        <is>
          <t>N212WA3226</t>
        </is>
      </c>
      <c r="AC185" s="593" t="inlineStr">
        <is>
          <t>舞蹈长款贴身T恤</t>
        </is>
      </c>
    </row>
    <row r="186" ht="18" customHeight="1" s="229">
      <c r="A186" s="361" t="inlineStr">
        <is>
          <t>NEIWAI ACTIVE X NYCB Polartec Fleece Sweatpants</t>
        </is>
      </c>
      <c r="B186" s="362" t="inlineStr">
        <is>
          <t>Active</t>
        </is>
      </c>
      <c r="C186" s="589" t="inlineStr">
        <is>
          <t>REMOVE</t>
        </is>
      </c>
      <c r="D186" s="364" t="inlineStr">
        <is>
          <t>NYCB collab — dead inventory, no velocity</t>
        </is>
      </c>
      <c r="E186" s="364" t="inlineStr">
        <is>
          <t>2 — HIGH (excess inventory vs demand)</t>
        </is>
      </c>
      <c r="F186" s="365" t="inlineStr">
        <is>
          <t>Remove</t>
        </is>
      </c>
      <c r="G186" s="364" t="n"/>
      <c r="H186" s="366" t="n">
        <v>733.1800000000001</v>
      </c>
      <c r="I186" s="366" t="n">
        <v>1375</v>
      </c>
      <c r="J186" s="366" t="n">
        <v>-310.57</v>
      </c>
      <c r="K186" s="380" t="n">
        <v>0.226</v>
      </c>
      <c r="L186" s="368" t="n">
        <v>8</v>
      </c>
      <c r="M186" s="366" t="n">
        <v>91.65000000000001</v>
      </c>
      <c r="N186" s="369" t="n">
        <v>0.0004</v>
      </c>
      <c r="O186" s="369" t="n">
        <v>0.9584</v>
      </c>
      <c r="P186" s="365" t="n">
        <v>6</v>
      </c>
      <c r="Q186" s="366" t="n">
        <v>18</v>
      </c>
      <c r="R186" s="368" t="n">
        <v>11</v>
      </c>
      <c r="S186" s="368" t="n">
        <v>1</v>
      </c>
      <c r="T186" s="368" t="n">
        <v>100</v>
      </c>
      <c r="U186" s="368" t="n">
        <v>0</v>
      </c>
      <c r="V186" s="368">
        <f>S218+T218</f>
        <v/>
      </c>
      <c r="W186" s="368">
        <f>S218+T218+U218</f>
        <v/>
      </c>
      <c r="X186" s="368">
        <f>W218*Q218</f>
        <v/>
      </c>
      <c r="Y186" s="366" t="n">
        <v>125</v>
      </c>
      <c r="Z186" s="366" t="n">
        <v>125</v>
      </c>
      <c r="AA186" s="365">
        <f>IF(Y218=Z218,"No","Yes")</f>
        <v/>
      </c>
      <c r="AB186" s="365" t="inlineStr">
        <is>
          <t>NA242SO4104</t>
        </is>
      </c>
      <c r="AC186" s="364" t="inlineStr">
        <is>
          <t>POLARTEC抓绒可束脚全长直筒裤</t>
        </is>
      </c>
    </row>
    <row r="187" ht="18" customHeight="1" s="229">
      <c r="A187" s="590" t="inlineStr">
        <is>
          <t>Breeze Light Sun Block Jacket</t>
        </is>
      </c>
      <c r="B187" s="591" t="inlineStr">
        <is>
          <t>Active</t>
        </is>
      </c>
      <c r="C187" s="592" t="inlineStr">
        <is>
          <t>REMOVE</t>
        </is>
      </c>
      <c r="D187" s="593" t="inlineStr">
        <is>
          <t>Low sales (&lt;$1K in 90 days)</t>
        </is>
      </c>
      <c r="E187" s="593" t="inlineStr">
        <is>
          <t>4 — LOW (natural sellthrough)</t>
        </is>
      </c>
      <c r="F187" s="594" t="inlineStr">
        <is>
          <t>Remove</t>
        </is>
      </c>
      <c r="G187" s="593" t="n"/>
      <c r="H187" s="595" t="n">
        <v>718.35</v>
      </c>
      <c r="I187" s="595" t="n">
        <v>1001.7</v>
      </c>
      <c r="J187" s="595" t="n">
        <v>-283.35</v>
      </c>
      <c r="K187" s="600" t="n">
        <v>0.283</v>
      </c>
      <c r="L187" s="597" t="n">
        <v>9</v>
      </c>
      <c r="M187" s="595" t="n">
        <v>79.81999999999999</v>
      </c>
      <c r="N187" s="598" t="n">
        <v>0.0004</v>
      </c>
      <c r="O187" s="598" t="n">
        <v>0.9595999999999999</v>
      </c>
      <c r="P187" s="594" t="n">
        <v>3</v>
      </c>
      <c r="Q187" s="595" t="n">
        <v>18</v>
      </c>
      <c r="R187" s="597" t="n">
        <v>9</v>
      </c>
      <c r="S187" s="597" t="n">
        <v>0</v>
      </c>
      <c r="T187" s="597" t="n">
        <v>7</v>
      </c>
      <c r="U187" s="597" t="n">
        <v>52</v>
      </c>
      <c r="V187" s="597">
        <f>S221+T221</f>
        <v/>
      </c>
      <c r="W187" s="597">
        <f>S221+T221+U221</f>
        <v/>
      </c>
      <c r="X187" s="597">
        <f>W221*Q221</f>
        <v/>
      </c>
      <c r="Y187" s="595" t="n">
        <v>159</v>
      </c>
      <c r="Z187" s="595" t="n">
        <v>111.3</v>
      </c>
      <c r="AA187" s="594">
        <f>IF(Y221=Z221,"No","Yes")</f>
        <v/>
      </c>
      <c r="AB187" s="594" t="inlineStr">
        <is>
          <t>NA231SO2501</t>
        </is>
      </c>
      <c r="AC187" s="593" t="inlineStr">
        <is>
          <t>微风轻薄短外套</t>
        </is>
      </c>
    </row>
    <row r="188" ht="18" customHeight="1" s="229">
      <c r="A188" s="361" t="inlineStr">
        <is>
          <t>Ballet V-Neck Wool Tee</t>
        </is>
      </c>
      <c r="B188" s="362" t="inlineStr">
        <is>
          <t>Active</t>
        </is>
      </c>
      <c r="C188" s="589" t="inlineStr">
        <is>
          <t>REMOVE</t>
        </is>
      </c>
      <c r="D188" s="364" t="inlineStr">
        <is>
          <t>Low sales (&lt;$1K in 90 days)</t>
        </is>
      </c>
      <c r="E188" s="364" t="inlineStr">
        <is>
          <t>4 — LOW (natural sellthrough)</t>
        </is>
      </c>
      <c r="F188" s="365" t="inlineStr">
        <is>
          <t>Remove</t>
        </is>
      </c>
      <c r="G188" s="364" t="n"/>
      <c r="H188" s="366" t="n">
        <v>717.49</v>
      </c>
      <c r="I188" s="366" t="n">
        <v>995.4</v>
      </c>
      <c r="J188" s="366" t="n">
        <v>-277.91</v>
      </c>
      <c r="K188" s="367" t="n">
        <v>0.279</v>
      </c>
      <c r="L188" s="368" t="n">
        <v>21</v>
      </c>
      <c r="M188" s="366" t="n">
        <v>34.17</v>
      </c>
      <c r="N188" s="369" t="n">
        <v>0.0004</v>
      </c>
      <c r="O188" s="369" t="n">
        <v>0.96</v>
      </c>
      <c r="P188" s="365" t="n">
        <v>3</v>
      </c>
      <c r="Q188" s="366" t="n">
        <v>18</v>
      </c>
      <c r="R188" s="368" t="n">
        <v>21</v>
      </c>
      <c r="S188" s="368" t="n">
        <v>0</v>
      </c>
      <c r="T188" s="368" t="n">
        <v>6</v>
      </c>
      <c r="U188" s="368" t="n">
        <v>49</v>
      </c>
      <c r="V188" s="368">
        <f>S222+T222</f>
        <v/>
      </c>
      <c r="W188" s="368">
        <f>S222+T222+U222</f>
        <v/>
      </c>
      <c r="X188" s="368">
        <f>W222*Q222</f>
        <v/>
      </c>
      <c r="Y188" s="366" t="n">
        <v>79</v>
      </c>
      <c r="Z188" s="366" t="n">
        <v>47.4</v>
      </c>
      <c r="AA188" s="365">
        <f>IF(Y222=Z222,"No","Yes")</f>
        <v/>
      </c>
      <c r="AB188" s="365" t="inlineStr">
        <is>
          <t>NA221SD3304</t>
        </is>
      </c>
      <c r="AC188" s="364" t="inlineStr">
        <is>
          <t>芭蕾V领修身羊毛T恤</t>
        </is>
      </c>
    </row>
    <row r="189" ht="18" customHeight="1" s="229">
      <c r="A189" s="590" t="inlineStr">
        <is>
          <t>Mousse Cropped Sports Tank</t>
        </is>
      </c>
      <c r="B189" s="591" t="inlineStr">
        <is>
          <t>Active</t>
        </is>
      </c>
      <c r="C189" s="592" t="inlineStr">
        <is>
          <t>REMOVE</t>
        </is>
      </c>
      <c r="D189" s="593" t="inlineStr">
        <is>
          <t>Low sales (&lt;$1K in 90 days)</t>
        </is>
      </c>
      <c r="E189" s="593" t="inlineStr">
        <is>
          <t>4 — LOW (natural sellthrough)</t>
        </is>
      </c>
      <c r="F189" s="594" t="inlineStr">
        <is>
          <t>Remove</t>
        </is>
      </c>
      <c r="G189" s="593" t="n"/>
      <c r="H189" s="595" t="n">
        <v>694.83</v>
      </c>
      <c r="I189" s="595" t="n">
        <v>1082.9</v>
      </c>
      <c r="J189" s="595" t="n">
        <v>-316.04</v>
      </c>
      <c r="K189" s="600" t="n">
        <v>0.292</v>
      </c>
      <c r="L189" s="597" t="n">
        <v>29</v>
      </c>
      <c r="M189" s="595" t="n">
        <v>23.96</v>
      </c>
      <c r="N189" s="598" t="n">
        <v>0.0004</v>
      </c>
      <c r="O189" s="598" t="n">
        <v>0.9616</v>
      </c>
      <c r="P189" s="594" t="n">
        <v>7</v>
      </c>
      <c r="Q189" s="595" t="n">
        <v>18</v>
      </c>
      <c r="R189" s="597" t="n">
        <v>32</v>
      </c>
      <c r="S189" s="597" t="n">
        <v>0</v>
      </c>
      <c r="T189" s="597" t="n">
        <v>26</v>
      </c>
      <c r="U189" s="597" t="n">
        <v>190</v>
      </c>
      <c r="V189" s="597">
        <f>S226+T226</f>
        <v/>
      </c>
      <c r="W189" s="597">
        <f>S226+T226+U226</f>
        <v/>
      </c>
      <c r="X189" s="597">
        <f>W226*Q226</f>
        <v/>
      </c>
      <c r="Y189" s="595" t="n">
        <v>49</v>
      </c>
      <c r="Z189" s="595" t="n">
        <v>29.4</v>
      </c>
      <c r="AA189" s="594">
        <f>IF(Y226=Z226,"No","Yes")</f>
        <v/>
      </c>
      <c r="AB189" s="594" t="inlineStr">
        <is>
          <t>NA222SS3202</t>
        </is>
      </c>
      <c r="AC189" s="593" t="inlineStr">
        <is>
          <t>核心紧身短款运动背心</t>
        </is>
      </c>
    </row>
    <row r="190" ht="18" customHeight="1" s="229">
      <c r="A190" s="361" t="inlineStr">
        <is>
          <t>NEIWAI ACTIVE X NYCB Ribbed Mousse Wide Leg Pants</t>
        </is>
      </c>
      <c r="B190" s="362" t="inlineStr">
        <is>
          <t>Active</t>
        </is>
      </c>
      <c r="C190" s="589" t="inlineStr">
        <is>
          <t>REMOVE</t>
        </is>
      </c>
      <c r="D190" s="364" t="inlineStr">
        <is>
          <t>NYCB collab — dead inventory, no velocity</t>
        </is>
      </c>
      <c r="E190" s="364" t="inlineStr">
        <is>
          <t>2 — HIGH (excess inventory vs demand)</t>
        </is>
      </c>
      <c r="F190" s="365" t="inlineStr">
        <is>
          <t>Remove</t>
        </is>
      </c>
      <c r="G190" s="364" t="n"/>
      <c r="H190" s="366" t="n">
        <v>682.91</v>
      </c>
      <c r="I190" s="366" t="n">
        <v>1428</v>
      </c>
      <c r="J190" s="366" t="n">
        <v>-352.39</v>
      </c>
      <c r="K190" s="380" t="n">
        <v>0.247</v>
      </c>
      <c r="L190" s="368" t="n">
        <v>8</v>
      </c>
      <c r="M190" s="366" t="n">
        <v>85.36</v>
      </c>
      <c r="N190" s="369" t="n">
        <v>0.0004</v>
      </c>
      <c r="O190" s="369" t="n">
        <v>0.9623999999999999</v>
      </c>
      <c r="P190" s="365" t="n">
        <v>6</v>
      </c>
      <c r="Q190" s="366" t="n">
        <v>18</v>
      </c>
      <c r="R190" s="368" t="n">
        <v>12</v>
      </c>
      <c r="S190" s="368" t="n">
        <v>0</v>
      </c>
      <c r="T190" s="368" t="n">
        <v>107</v>
      </c>
      <c r="U190" s="368" t="n">
        <v>0</v>
      </c>
      <c r="V190" s="368">
        <f>S228+T228</f>
        <v/>
      </c>
      <c r="W190" s="368">
        <f>S228+T228+U228</f>
        <v/>
      </c>
      <c r="X190" s="368">
        <f>W228*Q228</f>
        <v/>
      </c>
      <c r="Y190" s="366" t="n">
        <v>119</v>
      </c>
      <c r="Z190" s="366" t="n">
        <v>119</v>
      </c>
      <c r="AA190" s="365">
        <f>IF(Y228=Z228,"No","Yes")</f>
        <v/>
      </c>
      <c r="AB190" s="365" t="inlineStr">
        <is>
          <t>NA242SS4102</t>
        </is>
      </c>
      <c r="AC190" s="364" t="inlineStr">
        <is>
          <t>罗纹慕斯全长阔腿裤</t>
        </is>
      </c>
    </row>
    <row r="191" ht="18" customHeight="1" s="229">
      <c r="A191" s="590" t="inlineStr">
        <is>
          <t>Active Wool Half Zip Top</t>
        </is>
      </c>
      <c r="B191" s="591" t="inlineStr">
        <is>
          <t>Active</t>
        </is>
      </c>
      <c r="C191" s="592" t="inlineStr">
        <is>
          <t>REMOVE</t>
        </is>
      </c>
      <c r="D191" s="593" t="inlineStr">
        <is>
          <t>Low sales (&lt;$1K in 90 days)</t>
        </is>
      </c>
      <c r="E191" s="593" t="inlineStr">
        <is>
          <t>3 — MEDIUM (selldown or markdown)</t>
        </is>
      </c>
      <c r="F191" s="594" t="inlineStr">
        <is>
          <t>Remove</t>
        </is>
      </c>
      <c r="G191" s="593" t="n"/>
      <c r="H191" s="595" t="n">
        <v>670.38</v>
      </c>
      <c r="I191" s="595" t="n">
        <v>1007.5</v>
      </c>
      <c r="J191" s="595" t="n">
        <v>-271.24</v>
      </c>
      <c r="K191" s="600" t="n">
        <v>0.269</v>
      </c>
      <c r="L191" s="597" t="n">
        <v>12</v>
      </c>
      <c r="M191" s="595" t="n">
        <v>55.86</v>
      </c>
      <c r="N191" s="598" t="n">
        <v>0.0004</v>
      </c>
      <c r="O191" s="598" t="n">
        <v>0.9640000000000001</v>
      </c>
      <c r="P191" s="594" t="n">
        <v>5</v>
      </c>
      <c r="Q191" s="595" t="n">
        <v>18</v>
      </c>
      <c r="R191" s="597" t="n">
        <v>13</v>
      </c>
      <c r="S191" s="597" t="n">
        <v>0</v>
      </c>
      <c r="T191" s="597" t="n">
        <v>38</v>
      </c>
      <c r="U191" s="597" t="n">
        <v>0</v>
      </c>
      <c r="V191" s="597">
        <f>S232+T232</f>
        <v/>
      </c>
      <c r="W191" s="597">
        <f>S232+T232+U232</f>
        <v/>
      </c>
      <c r="X191" s="597">
        <f>W232*Q232</f>
        <v/>
      </c>
      <c r="Y191" s="595" t="n">
        <v>155</v>
      </c>
      <c r="Z191" s="595" t="n">
        <v>77.5</v>
      </c>
      <c r="AA191" s="594">
        <f>IF(Y232=Z232,"No","Yes")</f>
        <v/>
      </c>
      <c r="AB191" s="594" t="inlineStr">
        <is>
          <t>N212WA3222</t>
        </is>
      </c>
      <c r="AC191" s="593" t="inlineStr">
        <is>
          <t>羊毛混纺半高领拉链衫</t>
        </is>
      </c>
    </row>
    <row r="192" ht="18" customHeight="1" s="229">
      <c r="A192" s="361" t="inlineStr">
        <is>
          <t>Seamless Active T-Shirt</t>
        </is>
      </c>
      <c r="B192" s="362" t="inlineStr">
        <is>
          <t>Active</t>
        </is>
      </c>
      <c r="C192" s="589" t="inlineStr">
        <is>
          <t>REMOVE</t>
        </is>
      </c>
      <c r="D192" s="364" t="inlineStr">
        <is>
          <t>Low sales (&lt;$1K in 90 days)</t>
        </is>
      </c>
      <c r="E192" s="364" t="inlineStr">
        <is>
          <t>4 — LOW (natural sellthrough)</t>
        </is>
      </c>
      <c r="F192" s="365" t="inlineStr">
        <is>
          <t>Remove</t>
        </is>
      </c>
      <c r="G192" s="364" t="n"/>
      <c r="H192" s="366" t="n">
        <v>649.7</v>
      </c>
      <c r="I192" s="366" t="n">
        <v>891.8</v>
      </c>
      <c r="J192" s="366" t="n">
        <v>-242.1</v>
      </c>
      <c r="K192" s="367" t="n">
        <v>0.271</v>
      </c>
      <c r="L192" s="368" t="n">
        <v>26</v>
      </c>
      <c r="M192" s="366" t="n">
        <v>24.99</v>
      </c>
      <c r="N192" s="369" t="n">
        <v>0.0004</v>
      </c>
      <c r="O192" s="369" t="n">
        <v>0.9648</v>
      </c>
      <c r="P192" s="365" t="n">
        <v>3</v>
      </c>
      <c r="Q192" s="366" t="n">
        <v>18</v>
      </c>
      <c r="R192" s="368" t="n">
        <v>26</v>
      </c>
      <c r="S192" s="368" t="n">
        <v>0</v>
      </c>
      <c r="T192" s="368" t="n">
        <v>4</v>
      </c>
      <c r="U192" s="368" t="n">
        <v>102</v>
      </c>
      <c r="V192" s="368">
        <f>S234+T234</f>
        <v/>
      </c>
      <c r="W192" s="368">
        <f>S234+T234+U234</f>
        <v/>
      </c>
      <c r="X192" s="368">
        <f>W234*Q234</f>
        <v/>
      </c>
      <c r="Y192" s="366" t="n">
        <v>49</v>
      </c>
      <c r="Z192" s="366" t="n">
        <v>34.3</v>
      </c>
      <c r="AA192" s="365">
        <f>IF(Y234=Z234,"No","Yes")</f>
        <v/>
      </c>
      <c r="AB192" s="365" t="inlineStr">
        <is>
          <t>NA222SS3304</t>
        </is>
      </c>
      <c r="AC192" s="364" t="inlineStr">
        <is>
          <t>无缝修身短袖T恤</t>
        </is>
      </c>
    </row>
    <row r="193" ht="18" customHeight="1" s="229">
      <c r="A193" s="590" t="inlineStr">
        <is>
          <t>Light Support V-Back Sports Bra</t>
        </is>
      </c>
      <c r="B193" s="591" t="inlineStr">
        <is>
          <t>Active</t>
        </is>
      </c>
      <c r="C193" s="592" t="inlineStr">
        <is>
          <t>REMOVE</t>
        </is>
      </c>
      <c r="D193" s="593" t="inlineStr">
        <is>
          <t>Low sales (&lt;$1K in 90 days)</t>
        </is>
      </c>
      <c r="E193" s="593" t="inlineStr">
        <is>
          <t>4 — LOW (natural sellthrough)</t>
        </is>
      </c>
      <c r="F193" s="594" t="inlineStr">
        <is>
          <t>Remove</t>
        </is>
      </c>
      <c r="G193" s="593" t="n"/>
      <c r="H193" s="595" t="n">
        <v>645.84</v>
      </c>
      <c r="I193" s="595" t="n">
        <v>890.1</v>
      </c>
      <c r="J193" s="595" t="n">
        <v>-244.26</v>
      </c>
      <c r="K193" s="600" t="n">
        <v>0.274</v>
      </c>
      <c r="L193" s="597" t="n">
        <v>19</v>
      </c>
      <c r="M193" s="595" t="n">
        <v>33.99</v>
      </c>
      <c r="N193" s="598" t="n">
        <v>0.0004</v>
      </c>
      <c r="O193" s="598" t="n">
        <v>0.9656</v>
      </c>
      <c r="P193" s="594" t="n">
        <v>3</v>
      </c>
      <c r="Q193" s="595" t="n">
        <v>18</v>
      </c>
      <c r="R193" s="597" t="n">
        <v>19</v>
      </c>
      <c r="S193" s="597" t="n">
        <v>0</v>
      </c>
      <c r="T193" s="597" t="n">
        <v>8</v>
      </c>
      <c r="U193" s="597" t="n">
        <v>10</v>
      </c>
      <c r="V193" s="597">
        <f>S236+T236</f>
        <v/>
      </c>
      <c r="W193" s="597">
        <f>S236+T236+U236</f>
        <v/>
      </c>
      <c r="X193" s="597">
        <f>W236*Q236</f>
        <v/>
      </c>
      <c r="Y193" s="595" t="n">
        <v>69</v>
      </c>
      <c r="Z193" s="595" t="n">
        <v>41.4</v>
      </c>
      <c r="AA193" s="594">
        <f>IF(Y236=Z236,"No","Yes")</f>
        <v/>
      </c>
      <c r="AB193" s="594" t="inlineStr">
        <is>
          <t>NA221SS1110</t>
        </is>
      </c>
      <c r="AC193" s="593" t="inlineStr">
        <is>
          <t>核心轻强度V字背运动文胸</t>
        </is>
      </c>
    </row>
    <row r="194" ht="18" customHeight="1" s="229">
      <c r="A194" s="361" t="inlineStr">
        <is>
          <t>Modal Dance Wide Leg Pants</t>
        </is>
      </c>
      <c r="B194" s="362" t="inlineStr">
        <is>
          <t>Active</t>
        </is>
      </c>
      <c r="C194" s="589" t="inlineStr">
        <is>
          <t>REMOVE</t>
        </is>
      </c>
      <c r="D194" s="364" t="inlineStr">
        <is>
          <t>Low sales (&lt;$1K in 90 days)</t>
        </is>
      </c>
      <c r="E194" s="364" t="inlineStr">
        <is>
          <t>2 — HIGH (excess inventory vs demand)</t>
        </is>
      </c>
      <c r="F194" s="365" t="inlineStr">
        <is>
          <t>Remove</t>
        </is>
      </c>
      <c r="G194" s="364" t="n"/>
      <c r="H194" s="366" t="n">
        <v>644</v>
      </c>
      <c r="I194" s="366" t="n">
        <v>1035</v>
      </c>
      <c r="J194" s="366" t="n">
        <v>-233.2</v>
      </c>
      <c r="K194" s="380" t="n">
        <v>0.225</v>
      </c>
      <c r="L194" s="368" t="n">
        <v>7</v>
      </c>
      <c r="M194" s="366" t="n">
        <v>92</v>
      </c>
      <c r="N194" s="369" t="n">
        <v>0.0004</v>
      </c>
      <c r="O194" s="369" t="n">
        <v>0.966</v>
      </c>
      <c r="P194" s="365" t="n">
        <v>6</v>
      </c>
      <c r="Q194" s="366" t="n">
        <v>18</v>
      </c>
      <c r="R194" s="368" t="n">
        <v>9</v>
      </c>
      <c r="S194" s="368" t="n">
        <v>0</v>
      </c>
      <c r="T194" s="368" t="n">
        <v>127</v>
      </c>
      <c r="U194" s="368" t="n">
        <v>0</v>
      </c>
      <c r="V194" s="368">
        <f>S237+T237</f>
        <v/>
      </c>
      <c r="W194" s="368">
        <f>S237+T237+U237</f>
        <v/>
      </c>
      <c r="X194" s="368">
        <f>W237*Q237</f>
        <v/>
      </c>
      <c r="Y194" s="366" t="n">
        <v>115</v>
      </c>
      <c r="Z194" s="366" t="n">
        <v>115</v>
      </c>
      <c r="AA194" s="365">
        <f>IF(Y237=Z237,"No","Yes")</f>
        <v/>
      </c>
      <c r="AB194" s="365" t="inlineStr">
        <is>
          <t>NA251SD4101</t>
        </is>
      </c>
      <c r="AC194" s="364" t="inlineStr">
        <is>
          <t>莫代尔丝舞蹈阔腿裤</t>
        </is>
      </c>
    </row>
    <row r="195" ht="18" customHeight="1" s="229">
      <c r="A195" s="590" t="inlineStr">
        <is>
          <t>NEIWAI X SAVISLOOK Swimsuit</t>
        </is>
      </c>
      <c r="B195" s="591" t="inlineStr">
        <is>
          <t>Active</t>
        </is>
      </c>
      <c r="C195" s="592" t="inlineStr">
        <is>
          <t>REMOVE</t>
        </is>
      </c>
      <c r="D195" s="593" t="inlineStr">
        <is>
          <t>Low sales (&lt;$1K in 90 days)</t>
        </is>
      </c>
      <c r="E195" s="593" t="inlineStr">
        <is>
          <t>2 — HIGH (excess inventory vs demand)</t>
        </is>
      </c>
      <c r="F195" s="594" t="inlineStr">
        <is>
          <t>Remove</t>
        </is>
      </c>
      <c r="G195" s="593" t="n"/>
      <c r="H195" s="595" t="n">
        <v>643.77</v>
      </c>
      <c r="I195" s="595" t="n">
        <v>841.8</v>
      </c>
      <c r="J195" s="595" t="n">
        <v>-198.03</v>
      </c>
      <c r="K195" s="596" t="n">
        <v>0.235</v>
      </c>
      <c r="L195" s="597" t="n">
        <v>11</v>
      </c>
      <c r="M195" s="595" t="n">
        <v>58.52</v>
      </c>
      <c r="N195" s="598" t="n">
        <v>0.0004</v>
      </c>
      <c r="O195" s="598" t="n">
        <v>0.9664</v>
      </c>
      <c r="P195" s="594" t="n">
        <v>2</v>
      </c>
      <c r="Q195" s="595" t="n">
        <v>18</v>
      </c>
      <c r="R195" s="597" t="n">
        <v>11</v>
      </c>
      <c r="S195" s="597" t="n">
        <v>0</v>
      </c>
      <c r="T195" s="597" t="n">
        <v>72</v>
      </c>
      <c r="U195" s="597" t="n">
        <v>0</v>
      </c>
      <c r="V195" s="597">
        <f>S238+T238</f>
        <v/>
      </c>
      <c r="W195" s="597">
        <f>S238+T238+U238</f>
        <v/>
      </c>
      <c r="X195" s="597">
        <f>W238*Q238</f>
        <v/>
      </c>
      <c r="Y195" s="595" t="n">
        <v>138</v>
      </c>
      <c r="Z195" s="595" t="n">
        <v>69</v>
      </c>
      <c r="AA195" s="594">
        <f>IF(Y238=Z238,"No","Yes")</f>
        <v/>
      </c>
      <c r="AB195" s="594" t="e">
        <v>#N/A</v>
      </c>
      <c r="AC195" s="593" t="e">
        <v>#N/A</v>
      </c>
    </row>
    <row r="196" ht="18" customHeight="1" s="229">
      <c r="A196" s="361" t="inlineStr">
        <is>
          <t>Breeze Culottes</t>
        </is>
      </c>
      <c r="B196" s="362" t="inlineStr">
        <is>
          <t>Active</t>
        </is>
      </c>
      <c r="C196" s="589" t="inlineStr">
        <is>
          <t>REMOVE</t>
        </is>
      </c>
      <c r="D196" s="364" t="inlineStr">
        <is>
          <t>Low sales (&lt;$1K in 90 days)</t>
        </is>
      </c>
      <c r="E196" s="364" t="inlineStr">
        <is>
          <t>4 — LOW (natural sellthrough)</t>
        </is>
      </c>
      <c r="F196" s="365" t="inlineStr">
        <is>
          <t>Remove</t>
        </is>
      </c>
      <c r="G196" s="364" t="n"/>
      <c r="H196" s="366" t="n">
        <v>636.59</v>
      </c>
      <c r="I196" s="366" t="n">
        <v>1045.5</v>
      </c>
      <c r="J196" s="366" t="n">
        <v>-264.41</v>
      </c>
      <c r="K196" s="367" t="n">
        <v>0.253</v>
      </c>
      <c r="L196" s="368" t="n">
        <v>13</v>
      </c>
      <c r="M196" s="366" t="n">
        <v>48.97</v>
      </c>
      <c r="N196" s="369" t="n">
        <v>0.0003</v>
      </c>
      <c r="O196" s="369" t="n">
        <v>0.9671</v>
      </c>
      <c r="P196" s="365" t="n">
        <v>3</v>
      </c>
      <c r="Q196" s="366" t="n">
        <v>18</v>
      </c>
      <c r="R196" s="368" t="n">
        <v>15</v>
      </c>
      <c r="S196" s="368" t="n">
        <v>0</v>
      </c>
      <c r="T196" s="368" t="n">
        <v>13</v>
      </c>
      <c r="U196" s="368" t="n">
        <v>65</v>
      </c>
      <c r="V196" s="368">
        <f>S240+T240</f>
        <v/>
      </c>
      <c r="W196" s="368">
        <f>S240+T240+U240</f>
        <v/>
      </c>
      <c r="X196" s="368">
        <f>W240*Q240</f>
        <v/>
      </c>
      <c r="Y196" s="366" t="n">
        <v>85</v>
      </c>
      <c r="Z196" s="366" t="n">
        <v>59.5</v>
      </c>
      <c r="AA196" s="365">
        <f>IF(Y240=Z240,"No","Yes")</f>
        <v/>
      </c>
      <c r="AB196" s="365" t="inlineStr">
        <is>
          <t>NA232SO4106</t>
        </is>
      </c>
      <c r="AC196" s="364" t="inlineStr">
        <is>
          <t>轻薄梭织八分阔腿裤</t>
        </is>
      </c>
    </row>
    <row r="197" ht="18" customHeight="1" s="229">
      <c r="A197" s="590" t="inlineStr">
        <is>
          <t>NEIWAI ACTIVE X NYCB Double Layer Sports Bra Top</t>
        </is>
      </c>
      <c r="B197" s="591" t="inlineStr">
        <is>
          <t>Active</t>
        </is>
      </c>
      <c r="C197" s="592" t="inlineStr">
        <is>
          <t>REMOVE</t>
        </is>
      </c>
      <c r="D197" s="593" t="inlineStr">
        <is>
          <t>NYCB collab — dead inventory, no velocity</t>
        </is>
      </c>
      <c r="E197" s="593" t="inlineStr">
        <is>
          <t>2 — HIGH (excess inventory vs demand)</t>
        </is>
      </c>
      <c r="F197" s="594" t="inlineStr">
        <is>
          <t>Remove</t>
        </is>
      </c>
      <c r="G197" s="593" t="n"/>
      <c r="H197" s="595" t="n">
        <v>633.25</v>
      </c>
      <c r="I197" s="595" t="n">
        <v>918</v>
      </c>
      <c r="J197" s="595" t="n">
        <v>-148.75</v>
      </c>
      <c r="K197" s="596" t="n">
        <v>0.162</v>
      </c>
      <c r="L197" s="597" t="n">
        <v>9</v>
      </c>
      <c r="M197" s="595" t="n">
        <v>70.36</v>
      </c>
      <c r="N197" s="598" t="n">
        <v>0.0003</v>
      </c>
      <c r="O197" s="598" t="n">
        <v>0.9673999999999999</v>
      </c>
      <c r="P197" s="594" t="n">
        <v>3</v>
      </c>
      <c r="Q197" s="595" t="n">
        <v>18</v>
      </c>
      <c r="R197" s="597" t="n">
        <v>10</v>
      </c>
      <c r="S197" s="597" t="n">
        <v>0</v>
      </c>
      <c r="T197" s="597" t="n">
        <v>88</v>
      </c>
      <c r="U197" s="597" t="n">
        <v>0</v>
      </c>
      <c r="V197" s="597">
        <f>S241+T241</f>
        <v/>
      </c>
      <c r="W197" s="597">
        <f>S241+T241+U241</f>
        <v/>
      </c>
      <c r="X197" s="597">
        <f>W241*Q241</f>
        <v/>
      </c>
      <c r="Y197" s="595" t="n">
        <v>85</v>
      </c>
      <c r="Z197" s="595" t="n">
        <v>85</v>
      </c>
      <c r="AA197" s="594">
        <f>IF(Y241=Z241,"No","Yes")</f>
        <v/>
      </c>
      <c r="AB197" s="594" t="inlineStr">
        <is>
          <t>NA242SD1102</t>
        </is>
      </c>
      <c r="AC197" s="593" t="inlineStr">
        <is>
          <t>轻薄双层长款背心式运动文胸</t>
        </is>
      </c>
    </row>
    <row r="198" ht="18" customHeight="1" s="229">
      <c r="A198" s="361" t="inlineStr">
        <is>
          <t>Ballet High Neck Bra Top</t>
        </is>
      </c>
      <c r="B198" s="362" t="inlineStr">
        <is>
          <t>Active</t>
        </is>
      </c>
      <c r="C198" s="589" t="inlineStr">
        <is>
          <t>REMOVE</t>
        </is>
      </c>
      <c r="D198" s="364" t="inlineStr">
        <is>
          <t>Low sales (&lt;$1K in 90 days)</t>
        </is>
      </c>
      <c r="E198" s="364" t="inlineStr">
        <is>
          <t>4 — LOW (natural sellthrough)</t>
        </is>
      </c>
      <c r="F198" s="365" t="inlineStr">
        <is>
          <t>Remove</t>
        </is>
      </c>
      <c r="G198" s="364" t="n"/>
      <c r="H198" s="366" t="n">
        <v>616.6900000000001</v>
      </c>
      <c r="I198" s="366" t="n">
        <v>756.5</v>
      </c>
      <c r="J198" s="366" t="n">
        <v>-139.81</v>
      </c>
      <c r="K198" s="380" t="n">
        <v>0.185</v>
      </c>
      <c r="L198" s="368" t="n">
        <v>11</v>
      </c>
      <c r="M198" s="366" t="n">
        <v>56.06</v>
      </c>
      <c r="N198" s="369" t="n">
        <v>0.0003</v>
      </c>
      <c r="O198" s="369" t="n">
        <v>0.9686</v>
      </c>
      <c r="P198" s="365" t="n">
        <v>7</v>
      </c>
      <c r="Q198" s="366" t="n">
        <v>18</v>
      </c>
      <c r="R198" s="368" t="n">
        <v>11</v>
      </c>
      <c r="S198" s="368" t="n">
        <v>0</v>
      </c>
      <c r="T198" s="368" t="n">
        <v>27</v>
      </c>
      <c r="U198" s="368" t="n">
        <v>144</v>
      </c>
      <c r="V198" s="368">
        <f>S245+T245</f>
        <v/>
      </c>
      <c r="W198" s="368">
        <f>S245+T245+U245</f>
        <v/>
      </c>
      <c r="X198" s="368">
        <f>W245*Q245</f>
        <v/>
      </c>
      <c r="Y198" s="366" t="n">
        <v>85</v>
      </c>
      <c r="Z198" s="366" t="n">
        <v>59.5</v>
      </c>
      <c r="AA198" s="365">
        <f>IF(Y245=Z245,"No","Yes")</f>
        <v/>
      </c>
      <c r="AB198" s="365" t="inlineStr">
        <is>
          <t>NA241SD1102</t>
        </is>
      </c>
      <c r="AC198" s="364" t="inlineStr">
        <is>
          <t>吐司杯抽褶高领运动文胸</t>
        </is>
      </c>
    </row>
    <row r="199" ht="18" customHeight="1" s="229">
      <c r="A199" s="590" t="inlineStr">
        <is>
          <t>Knot Dance Leggings</t>
        </is>
      </c>
      <c r="B199" s="591" t="inlineStr">
        <is>
          <t>Active</t>
        </is>
      </c>
      <c r="C199" s="592" t="inlineStr">
        <is>
          <t>REMOVE</t>
        </is>
      </c>
      <c r="D199" s="593" t="inlineStr">
        <is>
          <t>Low sales (&lt;$1K in 90 days)</t>
        </is>
      </c>
      <c r="E199" s="593" t="inlineStr">
        <is>
          <t>2 — HIGH (excess inventory vs demand)</t>
        </is>
      </c>
      <c r="F199" s="594" t="inlineStr">
        <is>
          <t>Remove</t>
        </is>
      </c>
      <c r="G199" s="593" t="n"/>
      <c r="H199" s="595" t="n">
        <v>610.6800000000001</v>
      </c>
      <c r="I199" s="595" t="n">
        <v>1188</v>
      </c>
      <c r="J199" s="595" t="n">
        <v>-324.87</v>
      </c>
      <c r="K199" s="600" t="n">
        <v>0.273</v>
      </c>
      <c r="L199" s="597" t="n">
        <v>9</v>
      </c>
      <c r="M199" s="595" t="n">
        <v>67.84999999999999</v>
      </c>
      <c r="N199" s="598" t="n">
        <v>0.0003</v>
      </c>
      <c r="O199" s="598" t="n">
        <v>0.9692000000000001</v>
      </c>
      <c r="P199" s="594" t="n">
        <v>7</v>
      </c>
      <c r="Q199" s="595" t="n">
        <v>18</v>
      </c>
      <c r="R199" s="597" t="n">
        <v>12</v>
      </c>
      <c r="S199" s="597" t="n">
        <v>0</v>
      </c>
      <c r="T199" s="597" t="n">
        <v>51</v>
      </c>
      <c r="U199" s="597" t="n">
        <v>0</v>
      </c>
      <c r="V199" s="597">
        <f>S247+T247</f>
        <v/>
      </c>
      <c r="W199" s="597">
        <f>S247+T247+U247</f>
        <v/>
      </c>
      <c r="X199" s="597">
        <f>W247*Q247</f>
        <v/>
      </c>
      <c r="Y199" s="595" t="n">
        <v>99</v>
      </c>
      <c r="Z199" s="595" t="n">
        <v>99</v>
      </c>
      <c r="AA199" s="594">
        <f>IF(Y247=Z247,"No","Yes")</f>
        <v/>
      </c>
      <c r="AB199" s="594" t="inlineStr">
        <is>
          <t>NA252SD4201</t>
        </is>
      </c>
      <c r="AC199" s="593" t="inlineStr">
        <is>
          <t>水滴纽结七分舞蹈运动紧身裤</t>
        </is>
      </c>
    </row>
    <row r="200" ht="18" customHeight="1" s="229">
      <c r="A200" s="361" t="inlineStr">
        <is>
          <t>NEIWAI ACTIVE X NYCB Sandwashed Modal Hoodie</t>
        </is>
      </c>
      <c r="B200" s="362" t="inlineStr">
        <is>
          <t>Active</t>
        </is>
      </c>
      <c r="C200" s="589" t="inlineStr">
        <is>
          <t>REMOVE</t>
        </is>
      </c>
      <c r="D200" s="364" t="inlineStr">
        <is>
          <t>NYCB collab — dead inventory, no velocity</t>
        </is>
      </c>
      <c r="E200" s="364" t="inlineStr">
        <is>
          <t>2 — HIGH (excess inventory vs demand)</t>
        </is>
      </c>
      <c r="F200" s="365" t="inlineStr">
        <is>
          <t>Remove</t>
        </is>
      </c>
      <c r="G200" s="364" t="n"/>
      <c r="H200" s="366" t="n">
        <v>601.75</v>
      </c>
      <c r="I200" s="366" t="n">
        <v>870</v>
      </c>
      <c r="J200" s="366" t="n">
        <v>-268.25</v>
      </c>
      <c r="K200" s="367" t="n">
        <v>0.308</v>
      </c>
      <c r="L200" s="368" t="n">
        <v>6</v>
      </c>
      <c r="M200" s="366" t="n">
        <v>100.29</v>
      </c>
      <c r="N200" s="369" t="n">
        <v>0.0003</v>
      </c>
      <c r="O200" s="369" t="n">
        <v>0.9695</v>
      </c>
      <c r="P200" s="365" t="n">
        <v>5</v>
      </c>
      <c r="Q200" s="366" t="n">
        <v>18</v>
      </c>
      <c r="R200" s="368" t="n">
        <v>6</v>
      </c>
      <c r="S200" s="368" t="n">
        <v>0</v>
      </c>
      <c r="T200" s="368" t="n">
        <v>125</v>
      </c>
      <c r="U200" s="368" t="n">
        <v>0</v>
      </c>
      <c r="V200" s="368">
        <f>S248+T248</f>
        <v/>
      </c>
      <c r="W200" s="368">
        <f>S248+T248+U248</f>
        <v/>
      </c>
      <c r="X200" s="368">
        <f>W248*Q248</f>
        <v/>
      </c>
      <c r="Y200" s="366" t="n">
        <v>145</v>
      </c>
      <c r="Z200" s="366" t="n">
        <v>145</v>
      </c>
      <c r="AA200" s="365">
        <f>IF(Y248=Z248,"No","Yes")</f>
        <v/>
      </c>
      <c r="AB200" s="365" t="inlineStr">
        <is>
          <t>NA242SD3404</t>
        </is>
      </c>
      <c r="AC200" s="364" t="inlineStr">
        <is>
          <t>莫代尔砂洗连帽套头卫衣</t>
        </is>
      </c>
    </row>
    <row r="201" ht="18" customHeight="1" s="229">
      <c r="A201" s="590" t="inlineStr">
        <is>
          <t>NEIWAI ACTIVE X NYCB Ribbed Zip Cardigan</t>
        </is>
      </c>
      <c r="B201" s="591" t="inlineStr">
        <is>
          <t>Active</t>
        </is>
      </c>
      <c r="C201" s="592" t="inlineStr">
        <is>
          <t>REMOVE</t>
        </is>
      </c>
      <c r="D201" s="593" t="inlineStr">
        <is>
          <t>NYCB collab — dead inventory, no velocity</t>
        </is>
      </c>
      <c r="E201" s="593" t="inlineStr">
        <is>
          <t>4 — LOW (natural sellthrough)</t>
        </is>
      </c>
      <c r="F201" s="594" t="inlineStr">
        <is>
          <t>Remove</t>
        </is>
      </c>
      <c r="G201" s="593" t="n"/>
      <c r="H201" s="595" t="n">
        <v>593</v>
      </c>
      <c r="I201" s="595" t="n">
        <v>1272</v>
      </c>
      <c r="J201" s="595" t="n">
        <v>-321.25</v>
      </c>
      <c r="K201" s="600" t="n">
        <v>0.253</v>
      </c>
      <c r="L201" s="597" t="n">
        <v>5</v>
      </c>
      <c r="M201" s="595" t="n">
        <v>118.6</v>
      </c>
      <c r="N201" s="598" t="n">
        <v>0.0003</v>
      </c>
      <c r="O201" s="598" t="n">
        <v>0.9701000000000001</v>
      </c>
      <c r="P201" s="594" t="n">
        <v>2</v>
      </c>
      <c r="Q201" s="595" t="n">
        <v>18</v>
      </c>
      <c r="R201" s="597" t="n">
        <v>8</v>
      </c>
      <c r="S201" s="597" t="n">
        <v>1</v>
      </c>
      <c r="T201" s="597" t="n">
        <v>9</v>
      </c>
      <c r="U201" s="597" t="n">
        <v>0</v>
      </c>
      <c r="V201" s="597">
        <f>S250+T250</f>
        <v/>
      </c>
      <c r="W201" s="597">
        <f>S250+T250+U250</f>
        <v/>
      </c>
      <c r="X201" s="597">
        <f>W250*Q250</f>
        <v/>
      </c>
      <c r="Y201" s="595" t="n">
        <v>159</v>
      </c>
      <c r="Z201" s="595" t="n">
        <v>159</v>
      </c>
      <c r="AA201" s="594">
        <f>IF(Y250=Z250,"No","Yes")</f>
        <v/>
      </c>
      <c r="AB201" s="594" t="inlineStr">
        <is>
          <t>NA242SD2702</t>
        </is>
      </c>
      <c r="AC201" s="593" t="inlineStr">
        <is>
          <t>变化罗纹紧身半高领开衫</t>
        </is>
      </c>
    </row>
    <row r="202" ht="18" customHeight="1" s="229">
      <c r="A202" s="361" t="inlineStr">
        <is>
          <t>Urban Sport Casual Pants</t>
        </is>
      </c>
      <c r="B202" s="362" t="inlineStr">
        <is>
          <t>Active</t>
        </is>
      </c>
      <c r="C202" s="589" t="inlineStr">
        <is>
          <t>REMOVE</t>
        </is>
      </c>
      <c r="D202" s="364" t="inlineStr">
        <is>
          <t>Low sales (&lt;$1K in 90 days)</t>
        </is>
      </c>
      <c r="E202" s="364" t="inlineStr">
        <is>
          <t>3 — MEDIUM (selldown or markdown)</t>
        </is>
      </c>
      <c r="F202" s="365" t="inlineStr">
        <is>
          <t>Remove</t>
        </is>
      </c>
      <c r="G202" s="364" t="n"/>
      <c r="H202" s="366" t="n">
        <v>592.89</v>
      </c>
      <c r="I202" s="366" t="n">
        <v>852.5</v>
      </c>
      <c r="J202" s="366" t="n">
        <v>-259.61</v>
      </c>
      <c r="K202" s="367" t="n">
        <v>0.305</v>
      </c>
      <c r="L202" s="368" t="n">
        <v>11</v>
      </c>
      <c r="M202" s="366" t="n">
        <v>53.9</v>
      </c>
      <c r="N202" s="369" t="n">
        <v>0.0003</v>
      </c>
      <c r="O202" s="369" t="n">
        <v>0.9704</v>
      </c>
      <c r="P202" s="365" t="n">
        <v>3</v>
      </c>
      <c r="Q202" s="366" t="n">
        <v>18</v>
      </c>
      <c r="R202" s="368" t="n">
        <v>11</v>
      </c>
      <c r="S202" s="368" t="n">
        <v>0</v>
      </c>
      <c r="T202" s="368" t="n">
        <v>24</v>
      </c>
      <c r="U202" s="368" t="n">
        <v>0</v>
      </c>
      <c r="V202" s="368">
        <f>S251+T251</f>
        <v/>
      </c>
      <c r="W202" s="368">
        <f>S251+T251+U251</f>
        <v/>
      </c>
      <c r="X202" s="368">
        <f>W251*Q251</f>
        <v/>
      </c>
      <c r="Y202" s="366" t="n">
        <v>155</v>
      </c>
      <c r="Z202" s="366" t="n">
        <v>77.5</v>
      </c>
      <c r="AA202" s="365">
        <f>IF(Y251=Z251,"No","Yes")</f>
        <v/>
      </c>
      <c r="AB202" s="365" t="inlineStr">
        <is>
          <t>N212WA4113</t>
        </is>
      </c>
      <c r="AC202" s="364" t="inlineStr">
        <is>
          <t>运动休闲拉绒卫裤</t>
        </is>
      </c>
    </row>
    <row r="203" ht="18" customHeight="1" s="229">
      <c r="A203" s="590" t="inlineStr">
        <is>
          <t>Urban Sport Casual Sweater</t>
        </is>
      </c>
      <c r="B203" s="591" t="inlineStr">
        <is>
          <t>Active</t>
        </is>
      </c>
      <c r="C203" s="592" t="inlineStr">
        <is>
          <t>REMOVE</t>
        </is>
      </c>
      <c r="D203" s="593" t="inlineStr">
        <is>
          <t>Low sales (&lt;$1K in 90 days)</t>
        </is>
      </c>
      <c r="E203" s="593" t="inlineStr">
        <is>
          <t>4 — LOW (natural sellthrough)</t>
        </is>
      </c>
      <c r="F203" s="594" t="inlineStr">
        <is>
          <t>Remove</t>
        </is>
      </c>
      <c r="G203" s="593" t="n"/>
      <c r="H203" s="595" t="n">
        <v>588.6</v>
      </c>
      <c r="I203" s="595" t="n">
        <v>810</v>
      </c>
      <c r="J203" s="595" t="n">
        <v>-221.4</v>
      </c>
      <c r="K203" s="600" t="n">
        <v>0.273</v>
      </c>
      <c r="L203" s="597" t="n">
        <v>15</v>
      </c>
      <c r="M203" s="595" t="n">
        <v>39.24</v>
      </c>
      <c r="N203" s="598" t="n">
        <v>0.0003</v>
      </c>
      <c r="O203" s="598" t="n">
        <v>0.971</v>
      </c>
      <c r="P203" s="594" t="n">
        <v>6</v>
      </c>
      <c r="Q203" s="595" t="n">
        <v>18</v>
      </c>
      <c r="R203" s="597" t="n">
        <v>15</v>
      </c>
      <c r="S203" s="597" t="n">
        <v>0</v>
      </c>
      <c r="T203" s="597" t="n">
        <v>22</v>
      </c>
      <c r="U203" s="597" t="n">
        <v>285</v>
      </c>
      <c r="V203" s="597">
        <f>S253+T253</f>
        <v/>
      </c>
      <c r="W203" s="597">
        <f>S253+T253+U253</f>
        <v/>
      </c>
      <c r="X203" s="597">
        <f>W253*Q253</f>
        <v/>
      </c>
      <c r="Y203" s="595" t="n">
        <v>108</v>
      </c>
      <c r="Z203" s="595" t="n">
        <v>54</v>
      </c>
      <c r="AA203" s="594">
        <f>IF(Y253=Z253,"No","Yes")</f>
        <v/>
      </c>
      <c r="AB203" s="594" t="inlineStr">
        <is>
          <t>N212WA3218</t>
        </is>
      </c>
      <c r="AC203" s="593" t="inlineStr">
        <is>
          <t>运动休闲连帽套头衫</t>
        </is>
      </c>
    </row>
    <row r="204" ht="18" customHeight="1" s="229">
      <c r="A204" s="361" t="inlineStr">
        <is>
          <t>Ballet Cardigan</t>
        </is>
      </c>
      <c r="B204" s="362" t="inlineStr">
        <is>
          <t>Active</t>
        </is>
      </c>
      <c r="C204" s="589" t="inlineStr">
        <is>
          <t>REMOVE</t>
        </is>
      </c>
      <c r="D204" s="364" t="inlineStr">
        <is>
          <t>Low sales (&lt;$1K in 90 days)</t>
        </is>
      </c>
      <c r="E204" s="364" t="inlineStr">
        <is>
          <t>4 — LOW (natural sellthrough)</t>
        </is>
      </c>
      <c r="F204" s="365" t="inlineStr">
        <is>
          <t>Remove</t>
        </is>
      </c>
      <c r="G204" s="364" t="inlineStr">
        <is>
          <t>OOS</t>
        </is>
      </c>
      <c r="H204" s="366" t="n">
        <v>586.1799999999999</v>
      </c>
      <c r="I204" s="366" t="n">
        <v>774.2</v>
      </c>
      <c r="J204" s="366" t="n">
        <v>-188.02</v>
      </c>
      <c r="K204" s="380" t="n">
        <v>0.243</v>
      </c>
      <c r="L204" s="368" t="n">
        <v>7</v>
      </c>
      <c r="M204" s="366" t="n">
        <v>83.73999999999999</v>
      </c>
      <c r="N204" s="369" t="n">
        <v>0.0003</v>
      </c>
      <c r="O204" s="369" t="n">
        <v>0.9712999999999999</v>
      </c>
      <c r="P204" s="365" t="n">
        <v>2</v>
      </c>
      <c r="Q204" s="366" t="n">
        <v>18</v>
      </c>
      <c r="R204" s="368" t="n">
        <v>7</v>
      </c>
      <c r="S204" s="368" t="n">
        <v>0</v>
      </c>
      <c r="T204" s="368" t="n">
        <v>0</v>
      </c>
      <c r="U204" s="368" t="n">
        <v>0</v>
      </c>
      <c r="V204" s="368">
        <f>S254+T254</f>
        <v/>
      </c>
      <c r="W204" s="368">
        <f>S254+T254+U254</f>
        <v/>
      </c>
      <c r="X204" s="368">
        <f>W254*Q254</f>
        <v/>
      </c>
      <c r="Y204" s="366" t="n">
        <v>158</v>
      </c>
      <c r="Z204" s="366" t="n">
        <v>110.6</v>
      </c>
      <c r="AA204" s="365">
        <f>IF(Y254=Z254,"No","Yes")</f>
        <v/>
      </c>
      <c r="AB204" s="365" t="e">
        <v>#N/A</v>
      </c>
      <c r="AC204" s="364" t="e">
        <v>#N/A</v>
      </c>
    </row>
    <row r="205" ht="18" customHeight="1" s="229">
      <c r="A205" s="590" t="inlineStr">
        <is>
          <t>Ballet Pleated Bustier</t>
        </is>
      </c>
      <c r="B205" s="591" t="inlineStr">
        <is>
          <t>Active</t>
        </is>
      </c>
      <c r="C205" s="592" t="inlineStr">
        <is>
          <t>REMOVE</t>
        </is>
      </c>
      <c r="D205" s="593" t="inlineStr">
        <is>
          <t>Low sales (&lt;$1K in 90 days)</t>
        </is>
      </c>
      <c r="E205" s="593" t="inlineStr">
        <is>
          <t>4 — LOW (natural sellthrough)</t>
        </is>
      </c>
      <c r="F205" s="594" t="inlineStr">
        <is>
          <t>Remove</t>
        </is>
      </c>
      <c r="G205" s="593" t="inlineStr">
        <is>
          <t>Almost OOS</t>
        </is>
      </c>
      <c r="H205" s="595" t="n">
        <v>574.05</v>
      </c>
      <c r="I205" s="595" t="n">
        <v>961.1999999999999</v>
      </c>
      <c r="J205" s="595" t="n">
        <v>-275.01</v>
      </c>
      <c r="K205" s="600" t="n">
        <v>0.286</v>
      </c>
      <c r="L205" s="597" t="n">
        <v>15</v>
      </c>
      <c r="M205" s="595" t="n">
        <v>38.27</v>
      </c>
      <c r="N205" s="598" t="n">
        <v>0.0003</v>
      </c>
      <c r="O205" s="598" t="n">
        <v>0.9722</v>
      </c>
      <c r="P205" s="594" t="n">
        <v>3</v>
      </c>
      <c r="Q205" s="595" t="n">
        <v>18</v>
      </c>
      <c r="R205" s="597" t="n">
        <v>18</v>
      </c>
      <c r="S205" s="597" t="n">
        <v>2</v>
      </c>
      <c r="T205" s="597" t="n">
        <v>5</v>
      </c>
      <c r="U205" s="597" t="n">
        <v>0</v>
      </c>
      <c r="V205" s="597">
        <f>S257+T257</f>
        <v/>
      </c>
      <c r="W205" s="597">
        <f>S257+T257+U257</f>
        <v/>
      </c>
      <c r="X205" s="597">
        <f>W257*Q257</f>
        <v/>
      </c>
      <c r="Y205" s="595" t="n">
        <v>89</v>
      </c>
      <c r="Z205" s="595" t="n">
        <v>53.4</v>
      </c>
      <c r="AA205" s="594">
        <f>IF(Y257=Z257,"No","Yes")</f>
        <v/>
      </c>
      <c r="AB205" s="594" t="inlineStr">
        <is>
          <t>NA221SD1103</t>
        </is>
      </c>
      <c r="AC205" s="593" t="inlineStr">
        <is>
          <t>芭蕾胸前交叠打褶胸衣</t>
        </is>
      </c>
    </row>
    <row r="206" ht="18" customHeight="1" s="229">
      <c r="A206" s="361" t="inlineStr">
        <is>
          <t>NEIWAI ACTIVE X NYCB Sandwashed Modal Cocoon Pants</t>
        </is>
      </c>
      <c r="B206" s="362" t="inlineStr">
        <is>
          <t>Active</t>
        </is>
      </c>
      <c r="C206" s="589" t="inlineStr">
        <is>
          <t>REMOVE</t>
        </is>
      </c>
      <c r="D206" s="364" t="inlineStr">
        <is>
          <t>NYCB collab — dead inventory, no velocity</t>
        </is>
      </c>
      <c r="E206" s="364" t="inlineStr">
        <is>
          <t>4 — LOW (natural sellthrough)</t>
        </is>
      </c>
      <c r="F206" s="365" t="inlineStr">
        <is>
          <t>Remove</t>
        </is>
      </c>
      <c r="G206" s="364" t="inlineStr">
        <is>
          <t>OOS</t>
        </is>
      </c>
      <c r="H206" s="366" t="n">
        <v>556.6800000000001</v>
      </c>
      <c r="I206" s="366" t="n">
        <v>1750</v>
      </c>
      <c r="J206" s="366" t="n">
        <v>-581.25</v>
      </c>
      <c r="K206" s="367" t="n">
        <v>0.332</v>
      </c>
      <c r="L206" s="368" t="n">
        <v>7</v>
      </c>
      <c r="M206" s="366" t="n">
        <v>79.53</v>
      </c>
      <c r="N206" s="369" t="n">
        <v>0.0003</v>
      </c>
      <c r="O206" s="369" t="n">
        <v>0.9743000000000001</v>
      </c>
      <c r="P206" s="365" t="n">
        <v>6</v>
      </c>
      <c r="Q206" s="366" t="n">
        <v>18</v>
      </c>
      <c r="R206" s="368" t="n">
        <v>14</v>
      </c>
      <c r="S206" s="368" t="n">
        <v>0</v>
      </c>
      <c r="T206" s="368" t="n">
        <v>0</v>
      </c>
      <c r="U206" s="368" t="n">
        <v>0</v>
      </c>
      <c r="V206" s="368">
        <f>S264+T264</f>
        <v/>
      </c>
      <c r="W206" s="368">
        <f>S264+T264+U264</f>
        <v/>
      </c>
      <c r="X206" s="368">
        <f>W264*Q264</f>
        <v/>
      </c>
      <c r="Y206" s="366" t="n">
        <v>125</v>
      </c>
      <c r="Z206" s="366" t="n">
        <v>125</v>
      </c>
      <c r="AA206" s="365">
        <f>IF(Y264=Z264,"No","Yes")</f>
        <v/>
      </c>
      <c r="AB206" s="365" t="e">
        <v>#N/A</v>
      </c>
      <c r="AC206" s="364" t="e">
        <v>#N/A</v>
      </c>
    </row>
    <row r="207" ht="18" customHeight="1" s="229">
      <c r="A207" s="590" t="inlineStr">
        <is>
          <t>NEIWAI ACTIVE X NYCB Light Woven Straight Leg Pants</t>
        </is>
      </c>
      <c r="B207" s="591" t="inlineStr">
        <is>
          <t>Active</t>
        </is>
      </c>
      <c r="C207" s="592" t="inlineStr">
        <is>
          <t>REMOVE</t>
        </is>
      </c>
      <c r="D207" s="593" t="inlineStr">
        <is>
          <t>NYCB collab — dead inventory, no velocity</t>
        </is>
      </c>
      <c r="E207" s="593" t="inlineStr">
        <is>
          <t>2 — HIGH (excess inventory vs demand)</t>
        </is>
      </c>
      <c r="F207" s="594" t="inlineStr">
        <is>
          <t>Remove</t>
        </is>
      </c>
      <c r="G207" s="593" t="n"/>
      <c r="H207" s="595" t="n">
        <v>555.9400000000001</v>
      </c>
      <c r="I207" s="595" t="n">
        <v>1190</v>
      </c>
      <c r="J207" s="595" t="n">
        <v>-300.86</v>
      </c>
      <c r="K207" s="600" t="n">
        <v>0.253</v>
      </c>
      <c r="L207" s="597" t="n">
        <v>6</v>
      </c>
      <c r="M207" s="595" t="n">
        <v>92.66</v>
      </c>
      <c r="N207" s="598" t="n">
        <v>0.0003</v>
      </c>
      <c r="O207" s="598" t="n">
        <v>0.9745999999999999</v>
      </c>
      <c r="P207" s="594" t="n">
        <v>7</v>
      </c>
      <c r="Q207" s="595" t="n">
        <v>18</v>
      </c>
      <c r="R207" s="597" t="n">
        <v>10</v>
      </c>
      <c r="S207" s="597" t="n">
        <v>0</v>
      </c>
      <c r="T207" s="597" t="n">
        <v>58</v>
      </c>
      <c r="U207" s="597" t="n">
        <v>0</v>
      </c>
      <c r="V207" s="597">
        <f>S265+T265</f>
        <v/>
      </c>
      <c r="W207" s="597">
        <f>S265+T265+U265</f>
        <v/>
      </c>
      <c r="X207" s="597">
        <f>W265*Q265</f>
        <v/>
      </c>
      <c r="Y207" s="595" t="n">
        <v>119</v>
      </c>
      <c r="Z207" s="595" t="n">
        <v>119</v>
      </c>
      <c r="AA207" s="594">
        <f>IF(Y265=Z265,"No","Yes")</f>
        <v/>
      </c>
      <c r="AB207" s="594" t="inlineStr">
        <is>
          <t>NA242SD4102</t>
        </is>
      </c>
      <c r="AC207" s="593" t="e">
        <v>#N/A</v>
      </c>
    </row>
    <row r="208" ht="18" customHeight="1" s="229">
      <c r="A208" s="361" t="inlineStr">
        <is>
          <t>Seamless Biker Shorts</t>
        </is>
      </c>
      <c r="B208" s="362" t="inlineStr">
        <is>
          <t>Active</t>
        </is>
      </c>
      <c r="C208" s="589" t="inlineStr">
        <is>
          <t>REMOVE</t>
        </is>
      </c>
      <c r="D208" s="364" t="inlineStr">
        <is>
          <t>Low sales (&lt;$1K in 90 days)</t>
        </is>
      </c>
      <c r="E208" s="364" t="inlineStr">
        <is>
          <t>4 — LOW (natural sellthrough)</t>
        </is>
      </c>
      <c r="F208" s="365" t="inlineStr">
        <is>
          <t>Remove</t>
        </is>
      </c>
      <c r="G208" s="364" t="n"/>
      <c r="H208" s="366" t="n">
        <v>550.22</v>
      </c>
      <c r="I208" s="366" t="n">
        <v>778.61</v>
      </c>
      <c r="J208" s="366" t="n">
        <v>-204.38</v>
      </c>
      <c r="K208" s="367" t="n">
        <v>0.262</v>
      </c>
      <c r="L208" s="368" t="n">
        <v>22</v>
      </c>
      <c r="M208" s="366" t="n">
        <v>25.01</v>
      </c>
      <c r="N208" s="369" t="n">
        <v>0.0003</v>
      </c>
      <c r="O208" s="369" t="n">
        <v>0.9749</v>
      </c>
      <c r="P208" s="365" t="n">
        <v>4</v>
      </c>
      <c r="Q208" s="366" t="n">
        <v>18</v>
      </c>
      <c r="R208" s="368" t="n">
        <v>23</v>
      </c>
      <c r="S208" s="368" t="n">
        <v>0</v>
      </c>
      <c r="T208" s="368" t="n">
        <v>11</v>
      </c>
      <c r="U208" s="368" t="n">
        <v>108</v>
      </c>
      <c r="V208" s="368">
        <f>S266+T266</f>
        <v/>
      </c>
      <c r="W208" s="368">
        <f>S266+T266+U266</f>
        <v/>
      </c>
      <c r="X208" s="368">
        <f>W266*Q266</f>
        <v/>
      </c>
      <c r="Y208" s="366" t="n">
        <v>49</v>
      </c>
      <c r="Z208" s="366" t="n">
        <v>34.3</v>
      </c>
      <c r="AA208" s="365">
        <f>IF(Y266=Z266,"No","Yes")</f>
        <v/>
      </c>
      <c r="AB208" s="365" t="inlineStr">
        <is>
          <t>NA222SS4202</t>
        </is>
      </c>
      <c r="AC208" s="364" t="inlineStr">
        <is>
          <t>低强度无缝运动四分紧身裤</t>
        </is>
      </c>
    </row>
    <row r="209" ht="18" customHeight="1" s="229">
      <c r="A209" s="590" t="inlineStr">
        <is>
          <t>Tennis Dress</t>
        </is>
      </c>
      <c r="B209" s="591" t="inlineStr">
        <is>
          <t>Active</t>
        </is>
      </c>
      <c r="C209" s="592" t="inlineStr">
        <is>
          <t>REMOVE</t>
        </is>
      </c>
      <c r="D209" s="593" t="inlineStr">
        <is>
          <t>Low sales (&lt;$1K in 90 days)</t>
        </is>
      </c>
      <c r="E209" s="593" t="inlineStr">
        <is>
          <t>4 — LOW (natural sellthrough)</t>
        </is>
      </c>
      <c r="F209" s="594" t="inlineStr">
        <is>
          <t>Remove</t>
        </is>
      </c>
      <c r="G209" s="593" t="n"/>
      <c r="H209" s="595" t="n">
        <v>534.24</v>
      </c>
      <c r="I209" s="595" t="n">
        <v>779.1</v>
      </c>
      <c r="J209" s="595" t="n">
        <v>-244.86</v>
      </c>
      <c r="K209" s="600" t="n">
        <v>0.314</v>
      </c>
      <c r="L209" s="597" t="n">
        <v>7</v>
      </c>
      <c r="M209" s="595" t="n">
        <v>76.31999999999999</v>
      </c>
      <c r="N209" s="598" t="n">
        <v>0.0003</v>
      </c>
      <c r="O209" s="598" t="n">
        <v>0.977</v>
      </c>
      <c r="P209" s="594" t="n">
        <v>6</v>
      </c>
      <c r="Q209" s="595" t="n">
        <v>18</v>
      </c>
      <c r="R209" s="597" t="n">
        <v>7</v>
      </c>
      <c r="S209" s="597" t="n">
        <v>0</v>
      </c>
      <c r="T209" s="597" t="n">
        <v>44</v>
      </c>
      <c r="U209" s="597" t="n">
        <v>117</v>
      </c>
      <c r="V209" s="597">
        <f>S273+T273</f>
        <v/>
      </c>
      <c r="W209" s="597">
        <f>S273+T273+U273</f>
        <v/>
      </c>
      <c r="X209" s="597">
        <f>W273*Q273</f>
        <v/>
      </c>
      <c r="Y209" s="595" t="n">
        <v>159</v>
      </c>
      <c r="Z209" s="595" t="n">
        <v>111.3</v>
      </c>
      <c r="AA209" s="594">
        <f>IF(Y273=Z273,"No","Yes")</f>
        <v/>
      </c>
      <c r="AB209" s="594" t="inlineStr">
        <is>
          <t>NA231SS5101</t>
        </is>
      </c>
      <c r="AC209" s="593" t="inlineStr">
        <is>
          <t>夏练2in1网球训练连衣裙</t>
        </is>
      </c>
    </row>
    <row r="210" ht="18" customHeight="1" s="229">
      <c r="A210" s="361" t="inlineStr">
        <is>
          <t>Urban Sport Casual Top</t>
        </is>
      </c>
      <c r="B210" s="362" t="inlineStr">
        <is>
          <t>Active</t>
        </is>
      </c>
      <c r="C210" s="589" t="inlineStr">
        <is>
          <t>REMOVE</t>
        </is>
      </c>
      <c r="D210" s="364" t="inlineStr">
        <is>
          <t>Low sales (&lt;$1K in 90 days)</t>
        </is>
      </c>
      <c r="E210" s="364" t="inlineStr">
        <is>
          <t>4 — LOW (natural sellthrough)</t>
        </is>
      </c>
      <c r="F210" s="365" t="inlineStr">
        <is>
          <t>Remove</t>
        </is>
      </c>
      <c r="G210" s="364" t="n"/>
      <c r="H210" s="366" t="n">
        <v>529.51</v>
      </c>
      <c r="I210" s="366" t="n">
        <v>742.5</v>
      </c>
      <c r="J210" s="366" t="n">
        <v>-212.99</v>
      </c>
      <c r="K210" s="367" t="n">
        <v>0.287</v>
      </c>
      <c r="L210" s="368" t="n">
        <v>11</v>
      </c>
      <c r="M210" s="366" t="n">
        <v>48.14</v>
      </c>
      <c r="N210" s="369" t="n">
        <v>0.0003</v>
      </c>
      <c r="O210" s="369" t="n">
        <v>0.9773000000000001</v>
      </c>
      <c r="P210" s="365" t="n">
        <v>3</v>
      </c>
      <c r="Q210" s="366" t="n">
        <v>18</v>
      </c>
      <c r="R210" s="368" t="n">
        <v>11</v>
      </c>
      <c r="S210" s="368" t="n">
        <v>0</v>
      </c>
      <c r="T210" s="368" t="n">
        <v>14</v>
      </c>
      <c r="U210" s="368" t="n">
        <v>0</v>
      </c>
      <c r="V210" s="368">
        <f>S274+T274</f>
        <v/>
      </c>
      <c r="W210" s="368">
        <f>S274+T274+U274</f>
        <v/>
      </c>
      <c r="X210" s="368">
        <f>W274*Q274</f>
        <v/>
      </c>
      <c r="Y210" s="366" t="n">
        <v>135</v>
      </c>
      <c r="Z210" s="366" t="n">
        <v>67.5</v>
      </c>
      <c r="AA210" s="365">
        <f>IF(Y274=Z274,"No","Yes")</f>
        <v/>
      </c>
      <c r="AB210" s="365" t="inlineStr">
        <is>
          <t>N212WA3219</t>
        </is>
      </c>
      <c r="AC210" s="364" t="inlineStr">
        <is>
          <t>运动休闲短款拉绒卫衣</t>
        </is>
      </c>
    </row>
    <row r="211" ht="18" customHeight="1" s="229">
      <c r="A211" s="590" t="inlineStr">
        <is>
          <t>NEIWAI ACTIVE X NYCB Waffle Long-Sleeve T-Shirt</t>
        </is>
      </c>
      <c r="B211" s="591" t="inlineStr">
        <is>
          <t>Active</t>
        </is>
      </c>
      <c r="C211" s="592" t="inlineStr">
        <is>
          <t>REMOVE</t>
        </is>
      </c>
      <c r="D211" s="593" t="inlineStr">
        <is>
          <t>NYCB collab — dead inventory, no velocity</t>
        </is>
      </c>
      <c r="E211" s="593" t="inlineStr">
        <is>
          <t>2 — HIGH (excess inventory vs demand)</t>
        </is>
      </c>
      <c r="F211" s="594" t="inlineStr">
        <is>
          <t>Remove</t>
        </is>
      </c>
      <c r="G211" s="593" t="n"/>
      <c r="H211" s="595" t="n">
        <v>529.22</v>
      </c>
      <c r="I211" s="595" t="n">
        <v>935</v>
      </c>
      <c r="J211" s="595" t="n">
        <v>-167.78</v>
      </c>
      <c r="K211" s="596" t="n">
        <v>0.179</v>
      </c>
      <c r="L211" s="597" t="n">
        <v>8</v>
      </c>
      <c r="M211" s="595" t="n">
        <v>66.15000000000001</v>
      </c>
      <c r="N211" s="598" t="n">
        <v>0.0003</v>
      </c>
      <c r="O211" s="598" t="n">
        <v>0.9776</v>
      </c>
      <c r="P211" s="594" t="n">
        <v>7</v>
      </c>
      <c r="Q211" s="595" t="n">
        <v>18</v>
      </c>
      <c r="R211" s="597" t="n">
        <v>11</v>
      </c>
      <c r="S211" s="597" t="n">
        <v>8</v>
      </c>
      <c r="T211" s="597" t="n">
        <v>65</v>
      </c>
      <c r="U211" s="597" t="n">
        <v>0</v>
      </c>
      <c r="V211" s="597">
        <f>S275+T275</f>
        <v/>
      </c>
      <c r="W211" s="597">
        <f>S275+T275+U275</f>
        <v/>
      </c>
      <c r="X211" s="597">
        <f>W275*Q275</f>
        <v/>
      </c>
      <c r="Y211" s="595" t="n">
        <v>85</v>
      </c>
      <c r="Z211" s="595" t="n">
        <v>85</v>
      </c>
      <c r="AA211" s="594">
        <f>IF(Y275=Z275,"No","Yes")</f>
        <v/>
      </c>
      <c r="AB211" s="594" t="inlineStr">
        <is>
          <t>NA242SD3302</t>
        </is>
      </c>
      <c r="AC211" s="593" t="inlineStr">
        <is>
          <t>华夫格箱形长袖T恤</t>
        </is>
      </c>
    </row>
    <row r="212" ht="18" customHeight="1" s="229">
      <c r="A212" s="361" t="inlineStr">
        <is>
          <t>Modal Pleated Dance Tank Top</t>
        </is>
      </c>
      <c r="B212" s="362" t="inlineStr">
        <is>
          <t>Active</t>
        </is>
      </c>
      <c r="C212" s="589" t="inlineStr">
        <is>
          <t>REMOVE</t>
        </is>
      </c>
      <c r="D212" s="364" t="inlineStr">
        <is>
          <t>Low sales (&lt;$1K in 90 days)</t>
        </is>
      </c>
      <c r="E212" s="364" t="inlineStr">
        <is>
          <t>3 — MEDIUM (selldown or markdown)</t>
        </is>
      </c>
      <c r="F212" s="365" t="inlineStr">
        <is>
          <t>Remove</t>
        </is>
      </c>
      <c r="G212" s="364" t="n"/>
      <c r="H212" s="366" t="n">
        <v>518.13</v>
      </c>
      <c r="I212" s="366" t="n">
        <v>900</v>
      </c>
      <c r="J212" s="366" t="n">
        <v>-201.87</v>
      </c>
      <c r="K212" s="380" t="n">
        <v>0.224</v>
      </c>
      <c r="L212" s="368" t="n">
        <v>9</v>
      </c>
      <c r="M212" s="366" t="n">
        <v>57.57</v>
      </c>
      <c r="N212" s="369" t="n">
        <v>0.0003</v>
      </c>
      <c r="O212" s="369" t="n">
        <v>0.9784999999999999</v>
      </c>
      <c r="P212" s="365" t="n">
        <v>6</v>
      </c>
      <c r="Q212" s="366" t="n">
        <v>18</v>
      </c>
      <c r="R212" s="368" t="n">
        <v>12</v>
      </c>
      <c r="S212" s="368" t="n">
        <v>0</v>
      </c>
      <c r="T212" s="368" t="n">
        <v>45</v>
      </c>
      <c r="U212" s="368" t="n">
        <v>0</v>
      </c>
      <c r="V212" s="368">
        <f>S278+T278</f>
        <v/>
      </c>
      <c r="W212" s="368">
        <f>S278+T278+U278</f>
        <v/>
      </c>
      <c r="X212" s="368">
        <f>W278*Q278</f>
        <v/>
      </c>
      <c r="Y212" s="366" t="n">
        <v>75</v>
      </c>
      <c r="Z212" s="366" t="n">
        <v>75</v>
      </c>
      <c r="AA212" s="365">
        <f>IF(Y278=Z278,"No","Yes")</f>
        <v/>
      </c>
      <c r="AB212" s="365" t="inlineStr">
        <is>
          <t>NA251SD1102</t>
        </is>
      </c>
      <c r="AC212" s="364" t="inlineStr">
        <is>
          <t>莫代尔丝抽褶舞蹈背心</t>
        </is>
      </c>
    </row>
    <row r="213" ht="18" customHeight="1" s="229">
      <c r="A213" s="590" t="inlineStr">
        <is>
          <t>Urban Sport Casual Wool Coat</t>
        </is>
      </c>
      <c r="B213" s="591" t="inlineStr">
        <is>
          <t>Active</t>
        </is>
      </c>
      <c r="C213" s="592" t="inlineStr">
        <is>
          <t>REMOVE</t>
        </is>
      </c>
      <c r="D213" s="593" t="inlineStr">
        <is>
          <t>Low sales (&lt;$1K in 90 days)</t>
        </is>
      </c>
      <c r="E213" s="593" t="inlineStr">
        <is>
          <t>4 — LOW (natural sellthrough)</t>
        </is>
      </c>
      <c r="F213" s="594" t="inlineStr">
        <is>
          <t>Remove</t>
        </is>
      </c>
      <c r="G213" s="593" t="inlineStr">
        <is>
          <t>Almost OOS</t>
        </is>
      </c>
      <c r="H213" s="595" t="n">
        <v>510.3</v>
      </c>
      <c r="I213" s="595" t="n">
        <v>945</v>
      </c>
      <c r="J213" s="595" t="n">
        <v>-321.3</v>
      </c>
      <c r="K213" s="600" t="n">
        <v>0.34</v>
      </c>
      <c r="L213" s="597" t="n">
        <v>4</v>
      </c>
      <c r="M213" s="595" t="n">
        <v>127.58</v>
      </c>
      <c r="N213" s="598" t="n">
        <v>0.0003</v>
      </c>
      <c r="O213" s="598" t="n">
        <v>0.9791</v>
      </c>
      <c r="P213" s="594" t="n">
        <v>2</v>
      </c>
      <c r="Q213" s="595" t="n">
        <v>18</v>
      </c>
      <c r="R213" s="597" t="n">
        <v>5</v>
      </c>
      <c r="S213" s="597" t="n">
        <v>1</v>
      </c>
      <c r="T213" s="597" t="n">
        <v>0</v>
      </c>
      <c r="U213" s="597" t="n">
        <v>0</v>
      </c>
      <c r="V213" s="597">
        <f>S280+T280</f>
        <v/>
      </c>
      <c r="W213" s="597">
        <f>S280+T280+U280</f>
        <v/>
      </c>
      <c r="X213" s="597">
        <f>W280*Q280</f>
        <v/>
      </c>
      <c r="Y213" s="595" t="n">
        <v>315</v>
      </c>
      <c r="Z213" s="595" t="n">
        <v>189</v>
      </c>
      <c r="AA213" s="594">
        <f>IF(Y280=Z280,"No","Yes")</f>
        <v/>
      </c>
      <c r="AB213" s="594" t="inlineStr">
        <is>
          <t>N212WA5403</t>
        </is>
      </c>
      <c r="AC213" s="593" t="inlineStr">
        <is>
          <t>运动休闲羊羔绒拼毛织外套</t>
        </is>
      </c>
    </row>
    <row r="214" ht="18" customHeight="1" s="229">
      <c r="A214" s="361" t="inlineStr">
        <is>
          <t>Soft Touch Dance Tee</t>
        </is>
      </c>
      <c r="B214" s="362" t="inlineStr">
        <is>
          <t>Active</t>
        </is>
      </c>
      <c r="C214" s="589" t="inlineStr">
        <is>
          <t>REMOVE</t>
        </is>
      </c>
      <c r="D214" s="364" t="inlineStr">
        <is>
          <t>Very low sales (&lt;$500 in 90 days)</t>
        </is>
      </c>
      <c r="E214" s="364" t="inlineStr">
        <is>
          <t>3 — MEDIUM (selldown or markdown)</t>
        </is>
      </c>
      <c r="F214" s="365" t="inlineStr">
        <is>
          <t>Remove</t>
        </is>
      </c>
      <c r="G214" s="364" t="n"/>
      <c r="H214" s="366" t="n">
        <v>481.25</v>
      </c>
      <c r="I214" s="366" t="n">
        <v>1705</v>
      </c>
      <c r="J214" s="366" t="n">
        <v>-1223.75</v>
      </c>
      <c r="K214" s="367" t="n">
        <v>0.718</v>
      </c>
      <c r="L214" s="368" t="n">
        <v>31</v>
      </c>
      <c r="M214" s="366" t="n">
        <v>15.52</v>
      </c>
      <c r="N214" s="369" t="n">
        <v>0.0003</v>
      </c>
      <c r="O214" s="369" t="n">
        <v>0.98</v>
      </c>
      <c r="P214" s="365" t="n">
        <v>7</v>
      </c>
      <c r="Q214" s="366" t="n">
        <v>18</v>
      </c>
      <c r="R214" s="368" t="n">
        <v>31</v>
      </c>
      <c r="S214" s="368" t="n">
        <v>0</v>
      </c>
      <c r="T214" s="368" t="n">
        <v>24</v>
      </c>
      <c r="U214" s="368" t="n">
        <v>0</v>
      </c>
      <c r="V214" s="368">
        <f>S283+T283</f>
        <v/>
      </c>
      <c r="W214" s="368">
        <f>S283+T283+U283</f>
        <v/>
      </c>
      <c r="X214" s="368">
        <f>W283*Q283</f>
        <v/>
      </c>
      <c r="Y214" s="366" t="n">
        <v>55</v>
      </c>
      <c r="Z214" s="366" t="n">
        <v>55</v>
      </c>
      <c r="AA214" s="365">
        <f>IF(Y283=Z283,"No","Yes")</f>
        <v/>
      </c>
      <c r="AB214" s="365" t="inlineStr">
        <is>
          <t>NA251SD3306</t>
        </is>
      </c>
      <c r="AC214" s="364" t="inlineStr">
        <is>
          <t>仿棉舞蹈短袖T恤</t>
        </is>
      </c>
    </row>
    <row r="215" ht="18" customHeight="1" s="229">
      <c r="A215" s="590" t="inlineStr">
        <is>
          <t>NEIWAI ACTIVE X Andrea Jiapei Li Cutout Unitard</t>
        </is>
      </c>
      <c r="B215" s="591" t="inlineStr">
        <is>
          <t>Active</t>
        </is>
      </c>
      <c r="C215" s="592" t="inlineStr">
        <is>
          <t>REMOVE</t>
        </is>
      </c>
      <c r="D215" s="593" t="inlineStr">
        <is>
          <t>Very low sales (&lt;$500 in 90 days)</t>
        </is>
      </c>
      <c r="E215" s="593" t="inlineStr">
        <is>
          <t>4 — LOW (natural sellthrough)</t>
        </is>
      </c>
      <c r="F215" s="594" t="inlineStr">
        <is>
          <t>Remove</t>
        </is>
      </c>
      <c r="G215" s="593" t="n"/>
      <c r="H215" s="595" t="n">
        <v>479.78</v>
      </c>
      <c r="I215" s="595" t="n">
        <v>625.8</v>
      </c>
      <c r="J215" s="595" t="n">
        <v>-146.02</v>
      </c>
      <c r="K215" s="596" t="n">
        <v>0.233</v>
      </c>
      <c r="L215" s="597" t="n">
        <v>6</v>
      </c>
      <c r="M215" s="595" t="n">
        <v>79.95999999999999</v>
      </c>
      <c r="N215" s="598" t="n">
        <v>0.0003</v>
      </c>
      <c r="O215" s="598" t="n">
        <v>0.9803000000000001</v>
      </c>
      <c r="P215" s="594" t="n">
        <v>3</v>
      </c>
      <c r="Q215" s="595" t="n">
        <v>18</v>
      </c>
      <c r="R215" s="597" t="n">
        <v>6</v>
      </c>
      <c r="S215" s="597" t="n">
        <v>0</v>
      </c>
      <c r="T215" s="597" t="n">
        <v>17</v>
      </c>
      <c r="U215" s="597" t="n">
        <v>75</v>
      </c>
      <c r="V215" s="597">
        <f>S284+T284</f>
        <v/>
      </c>
      <c r="W215" s="597">
        <f>S284+T284+U284</f>
        <v/>
      </c>
      <c r="X215" s="597">
        <f>W284*Q284</f>
        <v/>
      </c>
      <c r="Y215" s="595" t="n">
        <v>149</v>
      </c>
      <c r="Z215" s="595" t="n">
        <v>104.3</v>
      </c>
      <c r="AA215" s="594">
        <f>IF(Y284=Z284,"No","Yes")</f>
        <v/>
      </c>
      <c r="AB215" s="594" t="inlineStr">
        <is>
          <t>NA222SS5301</t>
        </is>
      </c>
      <c r="AC215" s="593" t="inlineStr">
        <is>
          <t>AJL挖空吊带连体短裤</t>
        </is>
      </c>
    </row>
    <row r="216" ht="18" customHeight="1" s="229">
      <c r="A216" s="361" t="inlineStr">
        <is>
          <t>Urban Sport Stirrup Legging</t>
        </is>
      </c>
      <c r="B216" s="362" t="inlineStr">
        <is>
          <t>Active</t>
        </is>
      </c>
      <c r="C216" s="589" t="inlineStr">
        <is>
          <t>REMOVE</t>
        </is>
      </c>
      <c r="D216" s="364" t="inlineStr">
        <is>
          <t>Very low sales (&lt;$500 in 90 days)</t>
        </is>
      </c>
      <c r="E216" s="364" t="inlineStr">
        <is>
          <t>2 — HIGH (excess inventory vs demand)</t>
        </is>
      </c>
      <c r="F216" s="365" t="inlineStr">
        <is>
          <t>Remove</t>
        </is>
      </c>
      <c r="G216" s="364" t="n"/>
      <c r="H216" s="366" t="n">
        <v>464.9</v>
      </c>
      <c r="I216" s="366" t="n">
        <v>594</v>
      </c>
      <c r="J216" s="366" t="n">
        <v>-129.1</v>
      </c>
      <c r="K216" s="380" t="n">
        <v>0.217</v>
      </c>
      <c r="L216" s="368" t="n">
        <v>11</v>
      </c>
      <c r="M216" s="366" t="n">
        <v>42.26</v>
      </c>
      <c r="N216" s="369" t="n">
        <v>0.0003</v>
      </c>
      <c r="O216" s="369" t="n">
        <v>0.9812000000000001</v>
      </c>
      <c r="P216" s="365" t="n">
        <v>4</v>
      </c>
      <c r="Q216" s="366" t="n">
        <v>18</v>
      </c>
      <c r="R216" s="368" t="n">
        <v>7</v>
      </c>
      <c r="S216" s="368" t="n">
        <v>0</v>
      </c>
      <c r="T216" s="368" t="n">
        <v>110</v>
      </c>
      <c r="U216" s="368" t="n">
        <v>0</v>
      </c>
      <c r="V216" s="368">
        <f>S287+T287</f>
        <v/>
      </c>
      <c r="W216" s="368">
        <f>S287+T287+U287</f>
        <v/>
      </c>
      <c r="X216" s="368">
        <f>W287*Q287</f>
        <v/>
      </c>
      <c r="Y216" s="366" t="n">
        <v>108</v>
      </c>
      <c r="Z216" s="366" t="n">
        <v>54</v>
      </c>
      <c r="AA216" s="365">
        <f>IF(Y287=Z287,"No","Yes")</f>
        <v/>
      </c>
      <c r="AB216" s="365" t="inlineStr">
        <is>
          <t>N212WA4110</t>
        </is>
      </c>
      <c r="AC216" s="364" t="inlineStr">
        <is>
          <t>高腰磨毛踩脚legging</t>
        </is>
      </c>
    </row>
    <row r="217" ht="18" customHeight="1" s="229">
      <c r="A217" s="590" t="inlineStr">
        <is>
          <t>NEIWAI ACTIVE X NYCB Asymmetric Long Sleeve Top</t>
        </is>
      </c>
      <c r="B217" s="591" t="inlineStr">
        <is>
          <t>Active</t>
        </is>
      </c>
      <c r="C217" s="592" t="inlineStr">
        <is>
          <t>REMOVE</t>
        </is>
      </c>
      <c r="D217" s="593" t="inlineStr">
        <is>
          <t>NYCB collab — dead inventory, no velocity</t>
        </is>
      </c>
      <c r="E217" s="593" t="inlineStr">
        <is>
          <t>4 — LOW (natural sellthrough)</t>
        </is>
      </c>
      <c r="F217" s="594" t="inlineStr">
        <is>
          <t>Remove</t>
        </is>
      </c>
      <c r="G217" s="593" t="inlineStr">
        <is>
          <t>Almost OOS</t>
        </is>
      </c>
      <c r="H217" s="595" t="n">
        <v>445.05</v>
      </c>
      <c r="I217" s="595" t="n">
        <v>759</v>
      </c>
      <c r="J217" s="595" t="n">
        <v>-162.15</v>
      </c>
      <c r="K217" s="596" t="n">
        <v>0.214</v>
      </c>
      <c r="L217" s="597" t="n">
        <v>8</v>
      </c>
      <c r="M217" s="595" t="n">
        <v>55.63</v>
      </c>
      <c r="N217" s="598" t="n">
        <v>0.0002</v>
      </c>
      <c r="O217" s="598" t="n">
        <v>0.9815999999999999</v>
      </c>
      <c r="P217" s="594" t="n">
        <v>5</v>
      </c>
      <c r="Q217" s="595" t="n">
        <v>18</v>
      </c>
      <c r="R217" s="597" t="n">
        <v>11</v>
      </c>
      <c r="S217" s="597" t="n">
        <v>0</v>
      </c>
      <c r="T217" s="597" t="n">
        <v>5</v>
      </c>
      <c r="U217" s="597" t="n">
        <v>0</v>
      </c>
      <c r="V217" s="597">
        <f>S289+T289</f>
        <v/>
      </c>
      <c r="W217" s="597">
        <f>S289+T289+U289</f>
        <v/>
      </c>
      <c r="X217" s="597">
        <f>W289*Q289</f>
        <v/>
      </c>
      <c r="Y217" s="595" t="n">
        <v>69</v>
      </c>
      <c r="Z217" s="595" t="n">
        <v>69</v>
      </c>
      <c r="AA217" s="594">
        <f>IF(Y289=Z289,"No","Yes")</f>
        <v/>
      </c>
      <c r="AB217" s="594" t="inlineStr">
        <is>
          <t>NA242SO3301</t>
        </is>
      </c>
      <c r="AC217" s="593" t="inlineStr">
        <is>
          <t>轻薄不对称半高领长袖T恤</t>
        </is>
      </c>
    </row>
    <row r="218" ht="18" customHeight="1" s="229">
      <c r="A218" s="361" t="inlineStr">
        <is>
          <t>Dance Halter Sports Bra</t>
        </is>
      </c>
      <c r="B218" s="362" t="inlineStr">
        <is>
          <t>Active</t>
        </is>
      </c>
      <c r="C218" s="589" t="inlineStr">
        <is>
          <t>REMOVE</t>
        </is>
      </c>
      <c r="D218" s="364" t="inlineStr">
        <is>
          <t>Very low sales (&lt;$500 in 90 days)</t>
        </is>
      </c>
      <c r="E218" s="364" t="inlineStr">
        <is>
          <t>4 — LOW (natural sellthrough)</t>
        </is>
      </c>
      <c r="F218" s="365" t="inlineStr">
        <is>
          <t>Remove</t>
        </is>
      </c>
      <c r="G218" s="364" t="n"/>
      <c r="H218" s="366" t="n">
        <v>440.3</v>
      </c>
      <c r="I218" s="366" t="n">
        <v>654.5</v>
      </c>
      <c r="J218" s="366" t="n">
        <v>-214.2</v>
      </c>
      <c r="K218" s="367" t="n">
        <v>0.327</v>
      </c>
      <c r="L218" s="368" t="n">
        <v>11</v>
      </c>
      <c r="M218" s="366" t="n">
        <v>40.03</v>
      </c>
      <c r="N218" s="369" t="n">
        <v>0.0002</v>
      </c>
      <c r="O218" s="369" t="n">
        <v>0.9818000000000001</v>
      </c>
      <c r="P218" s="365" t="n">
        <v>6</v>
      </c>
      <c r="Q218" s="366" t="n">
        <v>18</v>
      </c>
      <c r="R218" s="368" t="n">
        <v>11</v>
      </c>
      <c r="S218" s="368" t="n">
        <v>0</v>
      </c>
      <c r="T218" s="368" t="n">
        <v>48</v>
      </c>
      <c r="U218" s="368" t="n">
        <v>46</v>
      </c>
      <c r="V218" s="368">
        <f>S290+T290</f>
        <v/>
      </c>
      <c r="W218" s="368">
        <f>S290+T290+U290</f>
        <v/>
      </c>
      <c r="X218" s="368">
        <f>W290*Q290</f>
        <v/>
      </c>
      <c r="Y218" s="366" t="n">
        <v>85</v>
      </c>
      <c r="Z218" s="366" t="n">
        <v>59.5</v>
      </c>
      <c r="AA218" s="365">
        <f>IF(Y290=Z290,"No","Yes")</f>
        <v/>
      </c>
      <c r="AB218" s="365" t="inlineStr">
        <is>
          <t>NA222SD1104</t>
        </is>
      </c>
      <c r="AC218" s="364" t="inlineStr">
        <is>
          <t>舞动挂脖运动文胸</t>
        </is>
      </c>
    </row>
    <row r="219" ht="18" customHeight="1" s="229">
      <c r="A219" s="590" t="inlineStr">
        <is>
          <t>Strappy One-Piece Swimsuit</t>
        </is>
      </c>
      <c r="B219" s="591" t="inlineStr">
        <is>
          <t>Active</t>
        </is>
      </c>
      <c r="C219" s="592" t="inlineStr">
        <is>
          <t>REMOVE</t>
        </is>
      </c>
      <c r="D219" s="593" t="inlineStr">
        <is>
          <t>Very low sales (&lt;$500 in 90 days)</t>
        </is>
      </c>
      <c r="E219" s="593" t="inlineStr">
        <is>
          <t>3 — MEDIUM (selldown or markdown)</t>
        </is>
      </c>
      <c r="F219" s="594" t="inlineStr">
        <is>
          <t>Remove</t>
        </is>
      </c>
      <c r="G219" s="593" t="n"/>
      <c r="H219" s="595" t="n">
        <v>433.92</v>
      </c>
      <c r="I219" s="595" t="n">
        <v>1350</v>
      </c>
      <c r="J219" s="595" t="n">
        <v>-382.83</v>
      </c>
      <c r="K219" s="600" t="n">
        <v>0.284</v>
      </c>
      <c r="L219" s="597" t="n">
        <v>5</v>
      </c>
      <c r="M219" s="595" t="n">
        <v>86.78</v>
      </c>
      <c r="N219" s="598" t="n">
        <v>0.0002</v>
      </c>
      <c r="O219" s="598" t="n">
        <v>0.9822</v>
      </c>
      <c r="P219" s="594" t="n">
        <v>5</v>
      </c>
      <c r="Q219" s="595" t="n">
        <v>18</v>
      </c>
      <c r="R219" s="597" t="n">
        <v>10</v>
      </c>
      <c r="S219" s="597" t="n">
        <v>5</v>
      </c>
      <c r="T219" s="597" t="n">
        <v>26</v>
      </c>
      <c r="U219" s="597" t="n">
        <v>0</v>
      </c>
      <c r="V219" s="597">
        <f>S292+T292</f>
        <v/>
      </c>
      <c r="W219" s="597">
        <f>S292+T292+U292</f>
        <v/>
      </c>
      <c r="X219" s="597">
        <f>W292*Q292</f>
        <v/>
      </c>
      <c r="Y219" s="595" t="n">
        <v>135</v>
      </c>
      <c r="Z219" s="595" t="n">
        <v>135</v>
      </c>
      <c r="AA219" s="594">
        <f>IF(Y292=Z292,"No","Yes")</f>
        <v/>
      </c>
      <c r="AB219" s="594" t="inlineStr">
        <is>
          <t>NW251WB5402</t>
        </is>
      </c>
      <c r="AC219" s="593" t="inlineStr">
        <is>
          <t>吊带连体泳衣</t>
        </is>
      </c>
    </row>
    <row r="220" ht="18" customHeight="1" s="229">
      <c r="A220" s="361" t="inlineStr">
        <is>
          <t>NEIWAI ACTIVE X NYCB Quilted Vest</t>
        </is>
      </c>
      <c r="B220" s="362" t="inlineStr">
        <is>
          <t>Active</t>
        </is>
      </c>
      <c r="C220" s="589" t="inlineStr">
        <is>
          <t>REMOVE</t>
        </is>
      </c>
      <c r="D220" s="364" t="inlineStr">
        <is>
          <t>NYCB collab — dead inventory, no velocity</t>
        </is>
      </c>
      <c r="E220" s="364" t="inlineStr">
        <is>
          <t>3 — MEDIUM (selldown or markdown)</t>
        </is>
      </c>
      <c r="F220" s="365" t="inlineStr">
        <is>
          <t>Remove</t>
        </is>
      </c>
      <c r="G220" s="364" t="n"/>
      <c r="H220" s="366" t="n">
        <v>423.6</v>
      </c>
      <c r="I220" s="366" t="n">
        <v>556</v>
      </c>
      <c r="J220" s="366" t="n">
        <v>-132.4</v>
      </c>
      <c r="K220" s="380" t="n">
        <v>0.238</v>
      </c>
      <c r="L220" s="368" t="n">
        <v>4</v>
      </c>
      <c r="M220" s="366" t="n">
        <v>105.9</v>
      </c>
      <c r="N220" s="369" t="n">
        <v>0.0002</v>
      </c>
      <c r="O220" s="369" t="n">
        <v>0.9826</v>
      </c>
      <c r="P220" s="365" t="n">
        <v>4</v>
      </c>
      <c r="Q220" s="366" t="n">
        <v>18</v>
      </c>
      <c r="R220" s="368" t="n">
        <v>4</v>
      </c>
      <c r="S220" s="368" t="n">
        <v>0</v>
      </c>
      <c r="T220" s="368" t="n">
        <v>89</v>
      </c>
      <c r="U220" s="368" t="n">
        <v>0</v>
      </c>
      <c r="V220" s="368">
        <f>S294+T294</f>
        <v/>
      </c>
      <c r="W220" s="368">
        <f>S294+T294+U294</f>
        <v/>
      </c>
      <c r="X220" s="368">
        <f>W294*Q294</f>
        <v/>
      </c>
      <c r="Y220" s="366" t="n">
        <v>139</v>
      </c>
      <c r="Z220" s="366" t="n">
        <v>139</v>
      </c>
      <c r="AA220" s="365">
        <f>IF(Y294=Z294,"No","Yes")</f>
        <v/>
      </c>
      <c r="AB220" s="365" t="inlineStr">
        <is>
          <t>NA242SO2503</t>
        </is>
      </c>
      <c r="AC220" s="364" t="inlineStr">
        <is>
          <t>防泼水夹棉修身马甲</t>
        </is>
      </c>
    </row>
    <row r="221" ht="18" customHeight="1" s="229">
      <c r="A221" s="590" t="inlineStr">
        <is>
          <t>Cargo Pants</t>
        </is>
      </c>
      <c r="B221" s="591" t="inlineStr">
        <is>
          <t>Active</t>
        </is>
      </c>
      <c r="C221" s="592" t="inlineStr">
        <is>
          <t>REMOVE</t>
        </is>
      </c>
      <c r="D221" s="593" t="inlineStr">
        <is>
          <t>Very low sales (&lt;$500 in 90 days)</t>
        </is>
      </c>
      <c r="E221" s="593" t="inlineStr">
        <is>
          <t>2 — HIGH (excess inventory vs demand)</t>
        </is>
      </c>
      <c r="F221" s="594" t="inlineStr">
        <is>
          <t>Remove</t>
        </is>
      </c>
      <c r="G221" s="593" t="n"/>
      <c r="H221" s="595" t="n">
        <v>418.75</v>
      </c>
      <c r="I221" s="595" t="n">
        <v>875</v>
      </c>
      <c r="J221" s="595" t="n">
        <v>-156.25</v>
      </c>
      <c r="K221" s="596" t="n">
        <v>0.179</v>
      </c>
      <c r="L221" s="597" t="n">
        <v>4</v>
      </c>
      <c r="M221" s="595" t="n">
        <v>104.69</v>
      </c>
      <c r="N221" s="598" t="n">
        <v>0.0002</v>
      </c>
      <c r="O221" s="598" t="n">
        <v>0.9834000000000001</v>
      </c>
      <c r="P221" s="594" t="n">
        <v>8</v>
      </c>
      <c r="Q221" s="595" t="n">
        <v>18</v>
      </c>
      <c r="R221" s="597" t="n">
        <v>7</v>
      </c>
      <c r="S221" s="597" t="n">
        <v>0</v>
      </c>
      <c r="T221" s="597" t="n">
        <v>70</v>
      </c>
      <c r="U221" s="597" t="n">
        <v>0</v>
      </c>
      <c r="V221" s="597">
        <f>S298+T298</f>
        <v/>
      </c>
      <c r="W221" s="597">
        <f>S298+T298+U298</f>
        <v/>
      </c>
      <c r="X221" s="597">
        <f>W298*Q298</f>
        <v/>
      </c>
      <c r="Y221" s="595" t="n">
        <v>125</v>
      </c>
      <c r="Z221" s="595" t="n">
        <v>125</v>
      </c>
      <c r="AA221" s="594">
        <f>IF(Y298=Z298,"No","Yes")</f>
        <v/>
      </c>
      <c r="AB221" s="594" t="inlineStr">
        <is>
          <t>NA252SO4101</t>
        </is>
      </c>
      <c r="AC221" s="593" t="inlineStr">
        <is>
          <t>速干侧口袋工装长裤</t>
        </is>
      </c>
    </row>
    <row r="222" ht="18" customHeight="1" s="229">
      <c r="A222" s="361" t="inlineStr">
        <is>
          <t>NEIWAI ACTIVE X NYCB Polartec Fleece Hooded Jacket</t>
        </is>
      </c>
      <c r="B222" s="362" t="inlineStr">
        <is>
          <t>Active</t>
        </is>
      </c>
      <c r="C222" s="589" t="inlineStr">
        <is>
          <t>REMOVE</t>
        </is>
      </c>
      <c r="D222" s="364" t="inlineStr">
        <is>
          <t>NYCB collab — dead inventory, no velocity</t>
        </is>
      </c>
      <c r="E222" s="364" t="inlineStr">
        <is>
          <t>4 — LOW (natural sellthrough)</t>
        </is>
      </c>
      <c r="F222" s="365" t="inlineStr">
        <is>
          <t>Remove</t>
        </is>
      </c>
      <c r="G222" s="364" t="n"/>
      <c r="H222" s="366" t="n">
        <v>412.5</v>
      </c>
      <c r="I222" s="366" t="n">
        <v>676</v>
      </c>
      <c r="J222" s="366" t="n">
        <v>-145.2</v>
      </c>
      <c r="K222" s="380" t="n">
        <v>0.215</v>
      </c>
      <c r="L222" s="368" t="n">
        <v>3</v>
      </c>
      <c r="M222" s="366" t="n">
        <v>137.5</v>
      </c>
      <c r="N222" s="369" t="n">
        <v>0.0002</v>
      </c>
      <c r="O222" s="369" t="n">
        <v>0.9838</v>
      </c>
      <c r="P222" s="365" t="n">
        <v>2</v>
      </c>
      <c r="Q222" s="366" t="n">
        <v>18</v>
      </c>
      <c r="R222" s="368" t="n">
        <v>4</v>
      </c>
      <c r="S222" s="368" t="n">
        <v>0</v>
      </c>
      <c r="T222" s="368" t="n">
        <v>152</v>
      </c>
      <c r="U222" s="368" t="n">
        <v>0</v>
      </c>
      <c r="V222" s="368">
        <f>S300+T300</f>
        <v/>
      </c>
      <c r="W222" s="368">
        <f>S300+T300+U300</f>
        <v/>
      </c>
      <c r="X222" s="368">
        <f>W300*Q300</f>
        <v/>
      </c>
      <c r="Y222" s="366" t="n">
        <v>169</v>
      </c>
      <c r="Z222" s="366" t="n">
        <v>169</v>
      </c>
      <c r="AA222" s="365">
        <f>IF(Y300=Z300,"No","Yes")</f>
        <v/>
      </c>
      <c r="AB222" s="365" t="inlineStr">
        <is>
          <t>NA242SD2501</t>
        </is>
      </c>
      <c r="AC222" s="364" t="inlineStr">
        <is>
          <t>POLARTEC抓绒连帽短款外套</t>
        </is>
      </c>
    </row>
    <row r="223" ht="18" customHeight="1" s="229">
      <c r="A223" s="590" t="inlineStr">
        <is>
          <t>Core Long Sleeve Training Top</t>
        </is>
      </c>
      <c r="B223" s="591" t="inlineStr">
        <is>
          <t>Active</t>
        </is>
      </c>
      <c r="C223" s="592" t="inlineStr">
        <is>
          <t>REMOVE</t>
        </is>
      </c>
      <c r="D223" s="593" t="inlineStr">
        <is>
          <t>Very low sales (&lt;$500 in 90 days)</t>
        </is>
      </c>
      <c r="E223" s="593" t="inlineStr">
        <is>
          <t>4 — LOW (natural sellthrough)</t>
        </is>
      </c>
      <c r="F223" s="594" t="inlineStr">
        <is>
          <t>Remove</t>
        </is>
      </c>
      <c r="G223" s="593" t="n"/>
      <c r="H223" s="595" t="n">
        <v>411.74</v>
      </c>
      <c r="I223" s="595" t="n">
        <v>568.8</v>
      </c>
      <c r="J223" s="595" t="n">
        <v>-157.06</v>
      </c>
      <c r="K223" s="600" t="n">
        <v>0.276</v>
      </c>
      <c r="L223" s="597" t="n">
        <v>12</v>
      </c>
      <c r="M223" s="595" t="n">
        <v>34.31</v>
      </c>
      <c r="N223" s="598" t="n">
        <v>0.0002</v>
      </c>
      <c r="O223" s="598" t="n">
        <v>0.9840000000000001</v>
      </c>
      <c r="P223" s="594" t="n">
        <v>6</v>
      </c>
      <c r="Q223" s="595" t="n">
        <v>18</v>
      </c>
      <c r="R223" s="597" t="n">
        <v>12</v>
      </c>
      <c r="S223" s="597" t="n">
        <v>0</v>
      </c>
      <c r="T223" s="597" t="n">
        <v>38</v>
      </c>
      <c r="U223" s="597" t="n">
        <v>257</v>
      </c>
      <c r="V223" s="597">
        <f>S301+T301</f>
        <v/>
      </c>
      <c r="W223" s="597">
        <f>S301+T301+U301</f>
        <v/>
      </c>
      <c r="X223" s="597">
        <f>W301*Q301</f>
        <v/>
      </c>
      <c r="Y223" s="595" t="n">
        <v>79</v>
      </c>
      <c r="Z223" s="595" t="n">
        <v>47.4</v>
      </c>
      <c r="AA223" s="594">
        <f>IF(Y301=Z301,"No","Yes")</f>
        <v/>
      </c>
      <c r="AB223" s="594" t="inlineStr">
        <is>
          <t>NA221SS3302</t>
        </is>
      </c>
      <c r="AC223" s="593" t="inlineStr">
        <is>
          <t>核心紧身长袖短款训练上衣</t>
        </is>
      </c>
    </row>
    <row r="224" ht="18" customHeight="1" s="229">
      <c r="A224" s="361" t="inlineStr">
        <is>
          <t>Mousse Light Support Sports Bra</t>
        </is>
      </c>
      <c r="B224" s="362" t="inlineStr">
        <is>
          <t>Active</t>
        </is>
      </c>
      <c r="C224" s="589" t="inlineStr">
        <is>
          <t>REMOVE</t>
        </is>
      </c>
      <c r="D224" s="364" t="inlineStr">
        <is>
          <t>Very low sales (&lt;$500 in 90 days)</t>
        </is>
      </c>
      <c r="E224" s="364" t="inlineStr">
        <is>
          <t>4 — LOW (natural sellthrough)</t>
        </is>
      </c>
      <c r="F224" s="365" t="inlineStr">
        <is>
          <t>Remove</t>
        </is>
      </c>
      <c r="G224" s="364" t="n"/>
      <c r="H224" s="366" t="n">
        <v>407.75</v>
      </c>
      <c r="I224" s="366" t="n">
        <v>552</v>
      </c>
      <c r="J224" s="366" t="n">
        <v>-144.25</v>
      </c>
      <c r="K224" s="367" t="n">
        <v>0.261</v>
      </c>
      <c r="L224" s="368" t="n">
        <v>8</v>
      </c>
      <c r="M224" s="366" t="n">
        <v>50.97</v>
      </c>
      <c r="N224" s="369" t="n">
        <v>0.0002</v>
      </c>
      <c r="O224" s="369" t="n">
        <v>0.9842</v>
      </c>
      <c r="P224" s="365" t="n">
        <v>3</v>
      </c>
      <c r="Q224" s="366" t="n">
        <v>18</v>
      </c>
      <c r="R224" s="368" t="n">
        <v>8</v>
      </c>
      <c r="S224" s="368" t="n">
        <v>0</v>
      </c>
      <c r="T224" s="368" t="n">
        <v>22</v>
      </c>
      <c r="U224" s="368" t="n">
        <v>40</v>
      </c>
      <c r="V224" s="368">
        <f>S302+T302</f>
        <v/>
      </c>
      <c r="W224" s="368">
        <f>S302+T302+U302</f>
        <v/>
      </c>
      <c r="X224" s="368">
        <f>W302*Q302</f>
        <v/>
      </c>
      <c r="Y224" s="366" t="n">
        <v>69</v>
      </c>
      <c r="Z224" s="366" t="n">
        <v>69</v>
      </c>
      <c r="AA224" s="365">
        <f>IF(Y302=Z302,"No","Yes")</f>
        <v/>
      </c>
      <c r="AB224" s="365" t="inlineStr">
        <is>
          <t>NA231SS1103</t>
        </is>
      </c>
      <c r="AC224" s="364" t="inlineStr">
        <is>
          <t>核心低强度V字背运动文胸</t>
        </is>
      </c>
    </row>
    <row r="225" ht="18" customHeight="1" s="229">
      <c r="A225" s="590" t="inlineStr">
        <is>
          <t>NEIWAI ACTIVE X NYCB Mousse Half Zip Long Sleeve Top</t>
        </is>
      </c>
      <c r="B225" s="591" t="inlineStr">
        <is>
          <t>Active</t>
        </is>
      </c>
      <c r="C225" s="592" t="inlineStr">
        <is>
          <t>REMOVE</t>
        </is>
      </c>
      <c r="D225" s="593" t="inlineStr">
        <is>
          <t>NYCB collab — dead inventory, no velocity</t>
        </is>
      </c>
      <c r="E225" s="593" t="inlineStr">
        <is>
          <t>4 — LOW (natural sellthrough)</t>
        </is>
      </c>
      <c r="F225" s="594" t="inlineStr">
        <is>
          <t>Remove</t>
        </is>
      </c>
      <c r="G225" s="593" t="n"/>
      <c r="H225" s="595" t="n">
        <v>404.6</v>
      </c>
      <c r="I225" s="595" t="n">
        <v>595</v>
      </c>
      <c r="J225" s="595" t="n">
        <v>-107.1</v>
      </c>
      <c r="K225" s="596" t="n">
        <v>0.18</v>
      </c>
      <c r="L225" s="597" t="n">
        <v>4</v>
      </c>
      <c r="M225" s="595" t="n">
        <v>101.15</v>
      </c>
      <c r="N225" s="598" t="n">
        <v>0.0002</v>
      </c>
      <c r="O225" s="598" t="n">
        <v>0.9845999999999999</v>
      </c>
      <c r="P225" s="594" t="n">
        <v>4</v>
      </c>
      <c r="Q225" s="595" t="n">
        <v>18</v>
      </c>
      <c r="R225" s="597" t="n">
        <v>5</v>
      </c>
      <c r="S225" s="597" t="n">
        <v>0</v>
      </c>
      <c r="T225" s="597" t="n">
        <v>55</v>
      </c>
      <c r="U225" s="597" t="n">
        <v>0</v>
      </c>
      <c r="V225" s="597">
        <f>S304+T304</f>
        <v/>
      </c>
      <c r="W225" s="597">
        <f>S304+T304+U304</f>
        <v/>
      </c>
      <c r="X225" s="597">
        <f>W304*Q304</f>
        <v/>
      </c>
      <c r="Y225" s="595" t="n">
        <v>119</v>
      </c>
      <c r="Z225" s="595" t="n">
        <v>119</v>
      </c>
      <c r="AA225" s="594">
        <f>IF(Y304=Z304,"No","Yes")</f>
        <v/>
      </c>
      <c r="AB225" s="594" t="inlineStr">
        <is>
          <t>NA242SS3303</t>
        </is>
      </c>
      <c r="AC225" s="593" t="inlineStr">
        <is>
          <t>慕斯高领半开拉链长袖T恤</t>
        </is>
      </c>
    </row>
    <row r="226" ht="18" customHeight="1" s="229">
      <c r="A226" s="361" t="inlineStr">
        <is>
          <t>Core High Support Leggings</t>
        </is>
      </c>
      <c r="B226" s="362" t="inlineStr">
        <is>
          <t>Active</t>
        </is>
      </c>
      <c r="C226" s="589" t="inlineStr">
        <is>
          <t>REMOVE</t>
        </is>
      </c>
      <c r="D226" s="364" t="inlineStr">
        <is>
          <t>Very low sales (&lt;$500 in 90 days)</t>
        </is>
      </c>
      <c r="E226" s="364" t="inlineStr">
        <is>
          <t>4 — LOW (natural sellthrough)</t>
        </is>
      </c>
      <c r="F226" s="365" t="inlineStr">
        <is>
          <t>Remove</t>
        </is>
      </c>
      <c r="G226" s="364" t="n"/>
      <c r="H226" s="366" t="n">
        <v>398.44</v>
      </c>
      <c r="I226" s="366" t="n">
        <v>654</v>
      </c>
      <c r="J226" s="366" t="n">
        <v>-209.78</v>
      </c>
      <c r="K226" s="367" t="n">
        <v>0.321</v>
      </c>
      <c r="L226" s="368" t="n">
        <v>9</v>
      </c>
      <c r="M226" s="366" t="n">
        <v>44.27</v>
      </c>
      <c r="N226" s="369" t="n">
        <v>0.0002</v>
      </c>
      <c r="O226" s="369" t="n">
        <v>0.9852</v>
      </c>
      <c r="P226" s="365" t="n">
        <v>4</v>
      </c>
      <c r="Q226" s="366" t="n">
        <v>18</v>
      </c>
      <c r="R226" s="368" t="n">
        <v>9</v>
      </c>
      <c r="S226" s="368" t="n">
        <v>0</v>
      </c>
      <c r="T226" s="368" t="n">
        <v>6</v>
      </c>
      <c r="U226" s="368" t="n">
        <v>111</v>
      </c>
      <c r="V226" s="368">
        <f>S307+T307</f>
        <v/>
      </c>
      <c r="W226" s="368">
        <f>S307+T307+U307</f>
        <v/>
      </c>
      <c r="X226" s="368">
        <f>W307*Q307</f>
        <v/>
      </c>
      <c r="Y226" s="366" t="n">
        <v>109</v>
      </c>
      <c r="Z226" s="366" t="n">
        <v>65.40000000000001</v>
      </c>
      <c r="AA226" s="365">
        <f>IF(Y307=Z307,"No","Yes")</f>
        <v/>
      </c>
      <c r="AB226" s="365" t="inlineStr">
        <is>
          <t>NA221SS4205</t>
        </is>
      </c>
      <c r="AC226" s="364" t="inlineStr">
        <is>
          <t>核心紧致线条拼接运动紧身裤</t>
        </is>
      </c>
    </row>
    <row r="227" ht="18" customHeight="1" s="229">
      <c r="A227" s="590" t="inlineStr">
        <is>
          <t>Ballet Pleated Plunge Bra Top</t>
        </is>
      </c>
      <c r="B227" s="591" t="inlineStr">
        <is>
          <t>Active</t>
        </is>
      </c>
      <c r="C227" s="592" t="inlineStr">
        <is>
          <t>REMOVE</t>
        </is>
      </c>
      <c r="D227" s="593" t="inlineStr">
        <is>
          <t>Very low sales (&lt;$500 in 90 days)</t>
        </is>
      </c>
      <c r="E227" s="593" t="inlineStr">
        <is>
          <t>4 — LOW (natural sellthrough)</t>
        </is>
      </c>
      <c r="F227" s="594" t="inlineStr">
        <is>
          <t>Remove</t>
        </is>
      </c>
      <c r="G227" s="593" t="n"/>
      <c r="H227" s="595" t="n">
        <v>380.76</v>
      </c>
      <c r="I227" s="595" t="n">
        <v>595</v>
      </c>
      <c r="J227" s="595" t="n">
        <v>-154.74</v>
      </c>
      <c r="K227" s="600" t="n">
        <v>0.26</v>
      </c>
      <c r="L227" s="597" t="n">
        <v>6</v>
      </c>
      <c r="M227" s="595" t="n">
        <v>63.46</v>
      </c>
      <c r="N227" s="598" t="n">
        <v>0.0002</v>
      </c>
      <c r="O227" s="598" t="n">
        <v>0.9858</v>
      </c>
      <c r="P227" s="594" t="n">
        <v>2</v>
      </c>
      <c r="Q227" s="595" t="n">
        <v>18</v>
      </c>
      <c r="R227" s="597" t="n">
        <v>7</v>
      </c>
      <c r="S227" s="597" t="n">
        <v>3</v>
      </c>
      <c r="T227" s="597" t="n">
        <v>5</v>
      </c>
      <c r="U227" s="597" t="n">
        <v>67</v>
      </c>
      <c r="V227" s="597">
        <f>S310+T310</f>
        <v/>
      </c>
      <c r="W227" s="597">
        <f>S310+T310+U310</f>
        <v/>
      </c>
      <c r="X227" s="597">
        <f>W310*Q310</f>
        <v/>
      </c>
      <c r="Y227" s="595" t="n">
        <v>85</v>
      </c>
      <c r="Z227" s="595" t="n">
        <v>85</v>
      </c>
      <c r="AA227" s="594">
        <f>IF(Y310=Z310,"No","Yes")</f>
        <v/>
      </c>
      <c r="AB227" s="594" t="inlineStr">
        <is>
          <t>NA232SD1101</t>
        </is>
      </c>
      <c r="AC227" s="593" t="inlineStr">
        <is>
          <t>轻薄梭织中低强度胸下交叠打褶运动文胸</t>
        </is>
      </c>
    </row>
    <row r="228" ht="18" customHeight="1" s="229">
      <c r="A228" s="361" t="inlineStr">
        <is>
          <t>NEIWAI ACTIVE X NYCB Mousse Cool Medium Support Long Sports Bra</t>
        </is>
      </c>
      <c r="B228" s="362" t="inlineStr">
        <is>
          <t>Active</t>
        </is>
      </c>
      <c r="C228" s="589" t="inlineStr">
        <is>
          <t>REMOVE</t>
        </is>
      </c>
      <c r="D228" s="364" t="inlineStr">
        <is>
          <t>NYCB collab — dead inventory, no velocity</t>
        </is>
      </c>
      <c r="E228" s="364" t="inlineStr">
        <is>
          <t>2 — HIGH (excess inventory vs demand)</t>
        </is>
      </c>
      <c r="F228" s="365" t="inlineStr">
        <is>
          <t>Remove</t>
        </is>
      </c>
      <c r="G228" s="364" t="n"/>
      <c r="H228" s="366" t="n">
        <v>379.96</v>
      </c>
      <c r="I228" s="366" t="n">
        <v>712</v>
      </c>
      <c r="J228" s="366" t="n">
        <v>-218.32</v>
      </c>
      <c r="K228" s="367" t="n">
        <v>0.307</v>
      </c>
      <c r="L228" s="368" t="n">
        <v>6</v>
      </c>
      <c r="M228" s="366" t="n">
        <v>63.33</v>
      </c>
      <c r="N228" s="369" t="n">
        <v>0.0002</v>
      </c>
      <c r="O228" s="369" t="n">
        <v>0.986</v>
      </c>
      <c r="P228" s="365" t="n">
        <v>5</v>
      </c>
      <c r="Q228" s="366" t="n">
        <v>18</v>
      </c>
      <c r="R228" s="368" t="n">
        <v>8</v>
      </c>
      <c r="S228" s="368" t="n">
        <v>3</v>
      </c>
      <c r="T228" s="368" t="n">
        <v>59</v>
      </c>
      <c r="U228" s="368" t="n">
        <v>0</v>
      </c>
      <c r="V228" s="368">
        <f>S311+T311</f>
        <v/>
      </c>
      <c r="W228" s="368">
        <f>S311+T311+U311</f>
        <v/>
      </c>
      <c r="X228" s="368">
        <f>W311*Q311</f>
        <v/>
      </c>
      <c r="Y228" s="366" t="n">
        <v>89</v>
      </c>
      <c r="Z228" s="366" t="n">
        <v>89</v>
      </c>
      <c r="AA228" s="365">
        <f>IF(Y311=Z311,"No","Yes")</f>
        <v/>
      </c>
      <c r="AB228" s="365" t="inlineStr">
        <is>
          <t>NA241SS1109</t>
        </is>
      </c>
      <c r="AC228" s="364" t="inlineStr">
        <is>
          <t>核心中强度镂空M字背长款运动文胸</t>
        </is>
      </c>
    </row>
    <row r="229" ht="18" customHeight="1" s="229">
      <c r="A229" s="590" t="inlineStr">
        <is>
          <t>NEIWAI ACTIVE X NYCB Wool Fleece Coat</t>
        </is>
      </c>
      <c r="B229" s="591" t="inlineStr">
        <is>
          <t>Active</t>
        </is>
      </c>
      <c r="C229" s="592" t="inlineStr">
        <is>
          <t>REMOVE</t>
        </is>
      </c>
      <c r="D229" s="593" t="inlineStr">
        <is>
          <t>NYCB collab — dead inventory, no velocity</t>
        </is>
      </c>
      <c r="E229" s="593" t="inlineStr">
        <is>
          <t>4 — LOW (natural sellthrough)</t>
        </is>
      </c>
      <c r="F229" s="594" t="inlineStr">
        <is>
          <t>Remove</t>
        </is>
      </c>
      <c r="G229" s="593" t="n"/>
      <c r="H229" s="595" t="n">
        <v>371</v>
      </c>
      <c r="I229" s="595" t="n">
        <v>1325</v>
      </c>
      <c r="J229" s="595" t="n">
        <v>-386.15</v>
      </c>
      <c r="K229" s="600" t="n">
        <v>0.291</v>
      </c>
      <c r="L229" s="597" t="n">
        <v>2</v>
      </c>
      <c r="M229" s="595" t="n">
        <v>185.5</v>
      </c>
      <c r="N229" s="598" t="n">
        <v>0.0002</v>
      </c>
      <c r="O229" s="598" t="n">
        <v>0.9865999999999999</v>
      </c>
      <c r="P229" s="594" t="n">
        <v>5</v>
      </c>
      <c r="Q229" s="595" t="n">
        <v>18</v>
      </c>
      <c r="R229" s="597" t="n">
        <v>5</v>
      </c>
      <c r="S229" s="597" t="n">
        <v>0</v>
      </c>
      <c r="T229" s="597" t="n">
        <v>33</v>
      </c>
      <c r="U229" s="597" t="n">
        <v>0</v>
      </c>
      <c r="V229" s="597">
        <f>S314+T314</f>
        <v/>
      </c>
      <c r="W229" s="597">
        <f>S314+T314+U314</f>
        <v/>
      </c>
      <c r="X229" s="597">
        <f>W314*Q314</f>
        <v/>
      </c>
      <c r="Y229" s="595" t="n">
        <v>265</v>
      </c>
      <c r="Z229" s="595" t="n">
        <v>265</v>
      </c>
      <c r="AA229" s="594">
        <f>IF(Y314=Z314,"No","Yes")</f>
        <v/>
      </c>
      <c r="AB229" s="594" t="inlineStr">
        <is>
          <t>NA242SO2506</t>
        </is>
      </c>
      <c r="AC229" s="593" t="inlineStr">
        <is>
          <t>羊毛混纺毛织毛绒拼接中长收腰款外套</t>
        </is>
      </c>
    </row>
    <row r="230" ht="18" customHeight="1" s="229">
      <c r="A230" s="361" t="inlineStr">
        <is>
          <t>Essential 2-In-1 Training Shorts</t>
        </is>
      </c>
      <c r="B230" s="362" t="inlineStr">
        <is>
          <t>Active</t>
        </is>
      </c>
      <c r="C230" s="589" t="inlineStr">
        <is>
          <t>REMOVE</t>
        </is>
      </c>
      <c r="D230" s="364" t="inlineStr">
        <is>
          <t>Very low sales (&lt;$500 in 90 days)</t>
        </is>
      </c>
      <c r="E230" s="364" t="inlineStr">
        <is>
          <t>4 — LOW (natural sellthrough)</t>
        </is>
      </c>
      <c r="F230" s="365" t="inlineStr">
        <is>
          <t>Remove</t>
        </is>
      </c>
      <c r="G230" s="364" t="n"/>
      <c r="H230" s="366" t="n">
        <v>364.98</v>
      </c>
      <c r="I230" s="366" t="n">
        <v>521.4</v>
      </c>
      <c r="J230" s="366" t="n">
        <v>-156.42</v>
      </c>
      <c r="K230" s="367" t="n">
        <v>0.3</v>
      </c>
      <c r="L230" s="368" t="n">
        <v>11</v>
      </c>
      <c r="M230" s="366" t="n">
        <v>33.18</v>
      </c>
      <c r="N230" s="369" t="n">
        <v>0.0002</v>
      </c>
      <c r="O230" s="369" t="n">
        <v>0.9868000000000001</v>
      </c>
      <c r="P230" s="365" t="n">
        <v>7</v>
      </c>
      <c r="Q230" s="366" t="n">
        <v>18</v>
      </c>
      <c r="R230" s="368" t="n">
        <v>11</v>
      </c>
      <c r="S230" s="368" t="n">
        <v>0</v>
      </c>
      <c r="T230" s="368" t="n">
        <v>33</v>
      </c>
      <c r="U230" s="368" t="n">
        <v>84</v>
      </c>
      <c r="V230" s="368">
        <f>S315+T315</f>
        <v/>
      </c>
      <c r="W230" s="368">
        <f>S315+T315+U315</f>
        <v/>
      </c>
      <c r="X230" s="368">
        <f>W315*Q315</f>
        <v/>
      </c>
      <c r="Y230" s="366" t="n">
        <v>79</v>
      </c>
      <c r="Z230" s="366" t="n">
        <v>47.4</v>
      </c>
      <c r="AA230" s="365">
        <f>IF(Y315=Z315,"No","Yes")</f>
        <v/>
      </c>
      <c r="AB230" s="365" t="inlineStr">
        <is>
          <t>NA221SS4107</t>
        </is>
      </c>
      <c r="AC230" s="364" t="inlineStr">
        <is>
          <t>基础训练短裤</t>
        </is>
      </c>
    </row>
    <row r="231" ht="18" customHeight="1" s="229">
      <c r="A231" s="590" t="inlineStr">
        <is>
          <t>NEIWAI ACTIVE X NYCB Foldover Flare Leggings</t>
        </is>
      </c>
      <c r="B231" s="591" t="inlineStr">
        <is>
          <t>Active</t>
        </is>
      </c>
      <c r="C231" s="592" t="inlineStr">
        <is>
          <t>REMOVE</t>
        </is>
      </c>
      <c r="D231" s="593" t="inlineStr">
        <is>
          <t>NYCB collab — dead inventory, no velocity</t>
        </is>
      </c>
      <c r="E231" s="593" t="inlineStr">
        <is>
          <t>4 — LOW (natural sellthrough)</t>
        </is>
      </c>
      <c r="F231" s="594" t="inlineStr">
        <is>
          <t>Remove</t>
        </is>
      </c>
      <c r="G231" s="593" t="n"/>
      <c r="H231" s="595" t="n">
        <v>354.25</v>
      </c>
      <c r="I231" s="595" t="n">
        <v>654</v>
      </c>
      <c r="J231" s="595" t="n">
        <v>-147.15</v>
      </c>
      <c r="K231" s="596" t="n">
        <v>0.225</v>
      </c>
      <c r="L231" s="597" t="n">
        <v>4</v>
      </c>
      <c r="M231" s="595" t="n">
        <v>88.56</v>
      </c>
      <c r="N231" s="598" t="n">
        <v>0.0002</v>
      </c>
      <c r="O231" s="598" t="n">
        <v>0.9872</v>
      </c>
      <c r="P231" s="594" t="n">
        <v>2</v>
      </c>
      <c r="Q231" s="595" t="n">
        <v>18</v>
      </c>
      <c r="R231" s="597" t="n">
        <v>6</v>
      </c>
      <c r="S231" s="597" t="n">
        <v>2</v>
      </c>
      <c r="T231" s="597" t="n">
        <v>9</v>
      </c>
      <c r="U231" s="597" t="n">
        <v>0</v>
      </c>
      <c r="V231" s="597">
        <f>S317+T317</f>
        <v/>
      </c>
      <c r="W231" s="597">
        <f>S317+T317+U317</f>
        <v/>
      </c>
      <c r="X231" s="597">
        <f>W317*Q317</f>
        <v/>
      </c>
      <c r="Y231" s="595" t="n">
        <v>109</v>
      </c>
      <c r="Z231" s="595" t="n">
        <v>109</v>
      </c>
      <c r="AA231" s="594">
        <f>IF(Y317=Z317,"No","Yes")</f>
        <v/>
      </c>
      <c r="AB231" s="594" t="inlineStr">
        <is>
          <t>NA242SD4201</t>
        </is>
      </c>
      <c r="AC231" s="593" t="inlineStr">
        <is>
          <t>翻折腰头喇叭型运动紧身裤</t>
        </is>
      </c>
    </row>
    <row r="232" ht="18" customHeight="1" s="229">
      <c r="A232" s="361" t="inlineStr">
        <is>
          <t>Mousse Dance Wide-Leg Pants</t>
        </is>
      </c>
      <c r="B232" s="362" t="inlineStr">
        <is>
          <t>Active</t>
        </is>
      </c>
      <c r="C232" s="589" t="inlineStr">
        <is>
          <t>REMOVE</t>
        </is>
      </c>
      <c r="D232" s="364" t="inlineStr">
        <is>
          <t>Very low sales (&lt;$500 in 90 days)</t>
        </is>
      </c>
      <c r="E232" s="364" t="inlineStr">
        <is>
          <t>2 — HIGH (excess inventory vs demand)</t>
        </is>
      </c>
      <c r="F232" s="365" t="inlineStr">
        <is>
          <t>Remove</t>
        </is>
      </c>
      <c r="G232" s="364" t="n"/>
      <c r="H232" s="366" t="n">
        <v>347.95</v>
      </c>
      <c r="I232" s="366" t="n">
        <v>3808</v>
      </c>
      <c r="J232" s="366" t="n">
        <v>-3460.05</v>
      </c>
      <c r="K232" s="367" t="n">
        <v>0.909</v>
      </c>
      <c r="L232" s="368" t="n">
        <v>32</v>
      </c>
      <c r="M232" s="366" t="n">
        <v>10.87</v>
      </c>
      <c r="N232" s="369" t="n">
        <v>0.0002</v>
      </c>
      <c r="O232" s="369" t="n">
        <v>0.988</v>
      </c>
      <c r="P232" s="365" t="n">
        <v>4</v>
      </c>
      <c r="Q232" s="366" t="n">
        <v>18</v>
      </c>
      <c r="R232" s="368" t="n">
        <v>32</v>
      </c>
      <c r="S232" s="368" t="n">
        <v>0</v>
      </c>
      <c r="T232" s="368" t="n">
        <v>67</v>
      </c>
      <c r="U232" s="368" t="n">
        <v>0</v>
      </c>
      <c r="V232" s="368">
        <f>S321+T321</f>
        <v/>
      </c>
      <c r="W232" s="368">
        <f>S321+T321+U321</f>
        <v/>
      </c>
      <c r="X232" s="368">
        <f>W321*Q321</f>
        <v/>
      </c>
      <c r="Y232" s="366" t="n">
        <v>119</v>
      </c>
      <c r="Z232" s="366" t="n">
        <v>119</v>
      </c>
      <c r="AA232" s="365">
        <f>IF(Y321=Z321,"No","Yes")</f>
        <v/>
      </c>
      <c r="AB232" s="365" t="inlineStr">
        <is>
          <t>NA251SD4105</t>
        </is>
      </c>
      <c r="AC232" s="364" t="inlineStr">
        <is>
          <t>慕斯全长抽绳阔腿裤</t>
        </is>
      </c>
    </row>
    <row r="233" ht="18" customHeight="1" s="229">
      <c r="A233" s="590" t="inlineStr">
        <is>
          <t>Active Wool Knee Socks</t>
        </is>
      </c>
      <c r="B233" s="591" t="inlineStr">
        <is>
          <t>Active</t>
        </is>
      </c>
      <c r="C233" s="592" t="inlineStr">
        <is>
          <t>REMOVE</t>
        </is>
      </c>
      <c r="D233" s="593" t="inlineStr">
        <is>
          <t>Very low sales (&lt;$500 in 90 days)</t>
        </is>
      </c>
      <c r="E233" s="593" t="inlineStr">
        <is>
          <t>4 — LOW (natural sellthrough)</t>
        </is>
      </c>
      <c r="F233" s="594" t="inlineStr">
        <is>
          <t>Remove</t>
        </is>
      </c>
      <c r="G233" s="593" t="n"/>
      <c r="H233" s="595" t="n">
        <v>346.28</v>
      </c>
      <c r="I233" s="595" t="n">
        <v>532</v>
      </c>
      <c r="J233" s="595" t="n">
        <v>-149.81</v>
      </c>
      <c r="K233" s="600" t="n">
        <v>0.282</v>
      </c>
      <c r="L233" s="597" t="n">
        <v>37</v>
      </c>
      <c r="M233" s="595" t="n">
        <v>9.359999999999999</v>
      </c>
      <c r="N233" s="598" t="n">
        <v>0.0002</v>
      </c>
      <c r="O233" s="598" t="n">
        <v>0.9884000000000001</v>
      </c>
      <c r="P233" s="594" t="n">
        <v>2</v>
      </c>
      <c r="Q233" s="595" t="n">
        <v>18</v>
      </c>
      <c r="R233" s="597" t="n">
        <v>40</v>
      </c>
      <c r="S233" s="597" t="n">
        <v>0</v>
      </c>
      <c r="T233" s="597" t="n">
        <v>6</v>
      </c>
      <c r="U233" s="597" t="n">
        <v>124</v>
      </c>
      <c r="V233" s="597">
        <f>S322+T322</f>
        <v/>
      </c>
      <c r="W233" s="597">
        <f>S322+T322+U322</f>
        <v/>
      </c>
      <c r="X233" s="597">
        <f>W322*Q322</f>
        <v/>
      </c>
      <c r="Y233" s="595" t="n">
        <v>19</v>
      </c>
      <c r="Z233" s="595" t="n">
        <v>13.3</v>
      </c>
      <c r="AA233" s="594">
        <f>IF(Y322=Z322,"No","Yes")</f>
        <v/>
      </c>
      <c r="AB233" s="594" t="inlineStr">
        <is>
          <t>NA232SA6505</t>
        </is>
      </c>
      <c r="AC233" s="593" t="inlineStr">
        <is>
          <t>羊毛运动高筒袜</t>
        </is>
      </c>
    </row>
    <row r="234" ht="18" customHeight="1" s="229">
      <c r="A234" s="361" t="inlineStr">
        <is>
          <t>NEIWAI ACTIVE X Andrea Jiapei Li Cutout Halter Sports Top</t>
        </is>
      </c>
      <c r="B234" s="362" t="inlineStr">
        <is>
          <t>Active</t>
        </is>
      </c>
      <c r="C234" s="589" t="inlineStr">
        <is>
          <t>REMOVE</t>
        </is>
      </c>
      <c r="D234" s="364" t="inlineStr">
        <is>
          <t>Very low sales (&lt;$500 in 90 days)</t>
        </is>
      </c>
      <c r="E234" s="364" t="inlineStr">
        <is>
          <t>4 — LOW (natural sellthrough)</t>
        </is>
      </c>
      <c r="F234" s="365" t="inlineStr">
        <is>
          <t>Remove</t>
        </is>
      </c>
      <c r="G234" s="364" t="n"/>
      <c r="H234" s="366" t="n">
        <v>333.63</v>
      </c>
      <c r="I234" s="366" t="n">
        <v>583.11</v>
      </c>
      <c r="J234" s="366" t="n">
        <v>-152.46</v>
      </c>
      <c r="K234" s="367" t="n">
        <v>0.261</v>
      </c>
      <c r="L234" s="368" t="n">
        <v>7</v>
      </c>
      <c r="M234" s="366" t="n">
        <v>47.66</v>
      </c>
      <c r="N234" s="369" t="n">
        <v>0.0002</v>
      </c>
      <c r="O234" s="369" t="n">
        <v>0.9890000000000001</v>
      </c>
      <c r="P234" s="365" t="n">
        <v>3</v>
      </c>
      <c r="Q234" s="366" t="n">
        <v>18</v>
      </c>
      <c r="R234" s="368" t="n">
        <v>9</v>
      </c>
      <c r="S234" s="368" t="n">
        <v>0</v>
      </c>
      <c r="T234" s="368" t="n">
        <v>16</v>
      </c>
      <c r="U234" s="368" t="n">
        <v>0</v>
      </c>
      <c r="V234" s="368">
        <f>S325+T325</f>
        <v/>
      </c>
      <c r="W234" s="368">
        <f>S325+T325+U325</f>
        <v/>
      </c>
      <c r="X234" s="368">
        <f>W325*Q325</f>
        <v/>
      </c>
      <c r="Y234" s="366" t="n">
        <v>99</v>
      </c>
      <c r="Z234" s="366" t="n">
        <v>59.4</v>
      </c>
      <c r="AA234" s="365">
        <f>IF(Y325=Z325,"No","Yes")</f>
        <v/>
      </c>
      <c r="AB234" s="365" t="inlineStr">
        <is>
          <t>NA222SS1112</t>
        </is>
      </c>
      <c r="AC234" s="364" t="inlineStr">
        <is>
          <t>挖空吊带长款运动文胸（素色款）</t>
        </is>
      </c>
    </row>
    <row r="235" ht="18" customHeight="1" s="229">
      <c r="A235" s="590" t="inlineStr">
        <is>
          <t>NEIWAI ACTIVE X NYCB Boat Neck Tank</t>
        </is>
      </c>
      <c r="B235" s="591" t="inlineStr">
        <is>
          <t>Active</t>
        </is>
      </c>
      <c r="C235" s="592" t="inlineStr">
        <is>
          <t>REMOVE</t>
        </is>
      </c>
      <c r="D235" s="593" t="inlineStr">
        <is>
          <t>NYCB collab — dead inventory, no velocity</t>
        </is>
      </c>
      <c r="E235" s="593" t="inlineStr">
        <is>
          <t>2 — HIGH (excess inventory vs demand)</t>
        </is>
      </c>
      <c r="F235" s="594" t="inlineStr">
        <is>
          <t>Remove</t>
        </is>
      </c>
      <c r="G235" s="593" t="n"/>
      <c r="H235" s="595" t="n">
        <v>331.18</v>
      </c>
      <c r="I235" s="595" t="n">
        <v>475</v>
      </c>
      <c r="J235" s="595" t="n">
        <v>-77.31999999999999</v>
      </c>
      <c r="K235" s="596" t="n">
        <v>0.163</v>
      </c>
      <c r="L235" s="597" t="n">
        <v>4</v>
      </c>
      <c r="M235" s="595" t="n">
        <v>82.8</v>
      </c>
      <c r="N235" s="598" t="n">
        <v>0.0002</v>
      </c>
      <c r="O235" s="598" t="n">
        <v>0.9892</v>
      </c>
      <c r="P235" s="594" t="n">
        <v>5</v>
      </c>
      <c r="Q235" s="595" t="n">
        <v>18</v>
      </c>
      <c r="R235" s="597" t="n">
        <v>5</v>
      </c>
      <c r="S235" s="597" t="n">
        <v>0</v>
      </c>
      <c r="T235" s="597" t="n">
        <v>68</v>
      </c>
      <c r="U235" s="597" t="n">
        <v>0</v>
      </c>
      <c r="V235" s="597">
        <f>S326+T326</f>
        <v/>
      </c>
      <c r="W235" s="597">
        <f>S326+T326+U326</f>
        <v/>
      </c>
      <c r="X235" s="597">
        <f>W326*Q326</f>
        <v/>
      </c>
      <c r="Y235" s="595" t="n">
        <v>95</v>
      </c>
      <c r="Z235" s="595" t="n">
        <v>95</v>
      </c>
      <c r="AA235" s="594">
        <f>IF(Y326=Z326,"No","Yes")</f>
        <v/>
      </c>
      <c r="AB235" s="594" t="inlineStr">
        <is>
          <t>NA242SD3202</t>
        </is>
      </c>
      <c r="AC235" s="593" t="inlineStr">
        <is>
          <t>一字领修身背心</t>
        </is>
      </c>
    </row>
    <row r="236" ht="18" customHeight="1" s="229">
      <c r="A236" s="361" t="inlineStr">
        <is>
          <t>Dance U-Neck Long Sleeve Top</t>
        </is>
      </c>
      <c r="B236" s="362" t="inlineStr">
        <is>
          <t>Active</t>
        </is>
      </c>
      <c r="C236" s="589" t="inlineStr">
        <is>
          <t>REMOVE</t>
        </is>
      </c>
      <c r="D236" s="364" t="inlineStr">
        <is>
          <t>Very low sales (&lt;$500 in 90 days)</t>
        </is>
      </c>
      <c r="E236" s="364" t="inlineStr">
        <is>
          <t>4 — LOW (natural sellthrough)</t>
        </is>
      </c>
      <c r="F236" s="365" t="inlineStr">
        <is>
          <t>Remove</t>
        </is>
      </c>
      <c r="G236" s="364" t="n"/>
      <c r="H236" s="366" t="n">
        <v>317.73</v>
      </c>
      <c r="I236" s="366" t="n">
        <v>498.4</v>
      </c>
      <c r="J236" s="366" t="n">
        <v>-180.67</v>
      </c>
      <c r="K236" s="367" t="n">
        <v>0.363</v>
      </c>
      <c r="L236" s="368" t="n">
        <v>8</v>
      </c>
      <c r="M236" s="366" t="n">
        <v>39.72</v>
      </c>
      <c r="N236" s="369" t="n">
        <v>0.0002</v>
      </c>
      <c r="O236" s="369" t="n">
        <v>0.9898</v>
      </c>
      <c r="P236" s="365" t="n">
        <v>6</v>
      </c>
      <c r="Q236" s="366" t="n">
        <v>18</v>
      </c>
      <c r="R236" s="368" t="n">
        <v>8</v>
      </c>
      <c r="S236" s="368" t="n">
        <v>0</v>
      </c>
      <c r="T236" s="368" t="n">
        <v>47</v>
      </c>
      <c r="U236" s="368" t="n">
        <v>68</v>
      </c>
      <c r="V236" s="368">
        <f>S329+T329</f>
        <v/>
      </c>
      <c r="W236" s="368">
        <f>S329+T329+U329</f>
        <v/>
      </c>
      <c r="X236" s="368">
        <f>W329*Q329</f>
        <v/>
      </c>
      <c r="Y236" s="366" t="n">
        <v>89</v>
      </c>
      <c r="Z236" s="366" t="n">
        <v>62.3</v>
      </c>
      <c r="AA236" s="365">
        <f>IF(Y329=Z329,"No","Yes")</f>
        <v/>
      </c>
      <c r="AB236" s="365" t="inlineStr">
        <is>
          <t>NA222SD3301</t>
        </is>
      </c>
      <c r="AC236" s="364" t="inlineStr">
        <is>
          <t>舞动修身U领长袖上衣</t>
        </is>
      </c>
    </row>
    <row r="237" ht="18" customHeight="1" s="229">
      <c r="A237" s="590" t="inlineStr">
        <is>
          <t>NEIWAI ACTIVE X NYCB Mousse Half Zip Tank</t>
        </is>
      </c>
      <c r="B237" s="591" t="inlineStr">
        <is>
          <t>Active</t>
        </is>
      </c>
      <c r="C237" s="592" t="inlineStr">
        <is>
          <t>REMOVE</t>
        </is>
      </c>
      <c r="D237" s="593" t="inlineStr">
        <is>
          <t>NYCB collab — dead inventory, no velocity</t>
        </is>
      </c>
      <c r="E237" s="593" t="inlineStr">
        <is>
          <t>3 — MEDIUM (selldown or markdown)</t>
        </is>
      </c>
      <c r="F237" s="594" t="inlineStr">
        <is>
          <t>Remove</t>
        </is>
      </c>
      <c r="G237" s="593" t="n"/>
      <c r="H237" s="595" t="n">
        <v>315.25</v>
      </c>
      <c r="I237" s="595" t="n">
        <v>390</v>
      </c>
      <c r="J237" s="595" t="n">
        <v>-74.75</v>
      </c>
      <c r="K237" s="596" t="n">
        <v>0.192</v>
      </c>
      <c r="L237" s="597" t="n">
        <v>6</v>
      </c>
      <c r="M237" s="595" t="n">
        <v>52.54</v>
      </c>
      <c r="N237" s="598" t="n">
        <v>0.0002</v>
      </c>
      <c r="O237" s="598" t="n">
        <v>0.99</v>
      </c>
      <c r="P237" s="594" t="n">
        <v>4</v>
      </c>
      <c r="Q237" s="595" t="n">
        <v>18</v>
      </c>
      <c r="R237" s="597" t="n">
        <v>6</v>
      </c>
      <c r="S237" s="597" t="n">
        <v>0</v>
      </c>
      <c r="T237" s="597" t="n">
        <v>74</v>
      </c>
      <c r="U237" s="597" t="n">
        <v>0</v>
      </c>
      <c r="V237" s="597">
        <f>S330+T330</f>
        <v/>
      </c>
      <c r="W237" s="597">
        <f>S330+T330+U330</f>
        <v/>
      </c>
      <c r="X237" s="597">
        <f>W330*Q330</f>
        <v/>
      </c>
      <c r="Y237" s="595" t="n">
        <v>65</v>
      </c>
      <c r="Z237" s="595" t="n">
        <v>65</v>
      </c>
      <c r="AA237" s="594">
        <f>IF(Y330=Z330,"No","Yes")</f>
        <v/>
      </c>
      <c r="AB237" s="594" t="inlineStr">
        <is>
          <t>NA242SS3202</t>
        </is>
      </c>
      <c r="AC237" s="593" t="inlineStr">
        <is>
          <t>慕斯高领半开拉链背心</t>
        </is>
      </c>
    </row>
    <row r="238" ht="18" customHeight="1" s="229">
      <c r="A238" s="361" t="inlineStr">
        <is>
          <t>Breeze Jacket</t>
        </is>
      </c>
      <c r="B238" s="362" t="inlineStr">
        <is>
          <t>Active</t>
        </is>
      </c>
      <c r="C238" s="589" t="inlineStr">
        <is>
          <t>REMOVE</t>
        </is>
      </c>
      <c r="D238" s="364" t="inlineStr">
        <is>
          <t>Very low sales (&lt;$500 in 90 days)</t>
        </is>
      </c>
      <c r="E238" s="364" t="inlineStr">
        <is>
          <t>4 — LOW (natural sellthrough)</t>
        </is>
      </c>
      <c r="F238" s="365" t="inlineStr">
        <is>
          <t>Remove</t>
        </is>
      </c>
      <c r="G238" s="364" t="n"/>
      <c r="H238" s="366" t="n">
        <v>313.26</v>
      </c>
      <c r="I238" s="366" t="n">
        <v>429.6</v>
      </c>
      <c r="J238" s="366" t="n">
        <v>-116.34</v>
      </c>
      <c r="K238" s="367" t="n">
        <v>0.271</v>
      </c>
      <c r="L238" s="368" t="n">
        <v>3</v>
      </c>
      <c r="M238" s="366" t="n">
        <v>104.42</v>
      </c>
      <c r="N238" s="369" t="n">
        <v>0.0002</v>
      </c>
      <c r="O238" s="369" t="n">
        <v>0.9902</v>
      </c>
      <c r="P238" s="365" t="n">
        <v>2</v>
      </c>
      <c r="Q238" s="366" t="n">
        <v>18</v>
      </c>
      <c r="R238" s="368" t="n">
        <v>3</v>
      </c>
      <c r="S238" s="368" t="n">
        <v>0</v>
      </c>
      <c r="T238" s="368" t="n">
        <v>24</v>
      </c>
      <c r="U238" s="368" t="n">
        <v>27</v>
      </c>
      <c r="V238" s="368">
        <f>S331+T331</f>
        <v/>
      </c>
      <c r="W238" s="368">
        <f>S331+T331+U331</f>
        <v/>
      </c>
      <c r="X238" s="368">
        <f>W331*Q331</f>
        <v/>
      </c>
      <c r="Y238" s="366" t="n">
        <v>179</v>
      </c>
      <c r="Z238" s="366" t="n">
        <v>125.3</v>
      </c>
      <c r="AA238" s="365">
        <f>IF(Y331=Z331,"No","Yes")</f>
        <v/>
      </c>
      <c r="AB238" s="365" t="inlineStr">
        <is>
          <t>NA241SO2505</t>
        </is>
      </c>
      <c r="AC238" s="364" t="inlineStr">
        <is>
          <t>轻薄防泼水梭织连帽夹克</t>
        </is>
      </c>
    </row>
    <row r="239" ht="18" customHeight="1" s="229">
      <c r="A239" s="590" t="inlineStr">
        <is>
          <t>NEIWAI ACTIVE X NYCB Beanie</t>
        </is>
      </c>
      <c r="B239" s="591" t="inlineStr">
        <is>
          <t>Active</t>
        </is>
      </c>
      <c r="C239" s="592" t="inlineStr">
        <is>
          <t>REMOVE</t>
        </is>
      </c>
      <c r="D239" s="593" t="inlineStr">
        <is>
          <t>NYCB collab — dead inventory, no velocity</t>
        </is>
      </c>
      <c r="E239" s="593" t="inlineStr">
        <is>
          <t>2 — HIGH (excess inventory vs demand)</t>
        </is>
      </c>
      <c r="F239" s="594" t="inlineStr">
        <is>
          <t>Remove</t>
        </is>
      </c>
      <c r="G239" s="593" t="n"/>
      <c r="H239" s="595" t="n">
        <v>312.62</v>
      </c>
      <c r="I239" s="595" t="n">
        <v>450</v>
      </c>
      <c r="J239" s="595" t="n">
        <v>-105.88</v>
      </c>
      <c r="K239" s="596" t="n">
        <v>0.235</v>
      </c>
      <c r="L239" s="597" t="n">
        <v>9</v>
      </c>
      <c r="M239" s="595" t="n">
        <v>34.74</v>
      </c>
      <c r="N239" s="598" t="n">
        <v>0.0002</v>
      </c>
      <c r="O239" s="598" t="n">
        <v>0.9904000000000001</v>
      </c>
      <c r="P239" s="594" t="n">
        <v>3</v>
      </c>
      <c r="Q239" s="595" t="n">
        <v>18</v>
      </c>
      <c r="R239" s="597" t="n">
        <v>10</v>
      </c>
      <c r="S239" s="597" t="n">
        <v>9</v>
      </c>
      <c r="T239" s="597" t="n">
        <v>58</v>
      </c>
      <c r="U239" s="597" t="n">
        <v>0</v>
      </c>
      <c r="V239" s="597">
        <f>S332+T332</f>
        <v/>
      </c>
      <c r="W239" s="597">
        <f>S332+T332+U332</f>
        <v/>
      </c>
      <c r="X239" s="597">
        <f>W332*Q332</f>
        <v/>
      </c>
      <c r="Y239" s="595" t="n">
        <v>45</v>
      </c>
      <c r="Z239" s="595" t="n">
        <v>45</v>
      </c>
      <c r="AA239" s="594">
        <f>IF(Y332=Z332,"No","Yes")</f>
        <v/>
      </c>
      <c r="AB239" s="594" t="inlineStr">
        <is>
          <t>NA242SA6101</t>
        </is>
      </c>
      <c r="AC239" s="593" t="inlineStr">
        <is>
          <t>毛线帽</t>
        </is>
      </c>
    </row>
    <row r="240" ht="18" customHeight="1" s="229">
      <c r="A240" s="361" t="inlineStr">
        <is>
          <t>Tennis Skort</t>
        </is>
      </c>
      <c r="B240" s="362" t="inlineStr">
        <is>
          <t>Active</t>
        </is>
      </c>
      <c r="C240" s="589" t="inlineStr">
        <is>
          <t>REMOVE</t>
        </is>
      </c>
      <c r="D240" s="364" t="inlineStr">
        <is>
          <t>Very low sales (&lt;$500 in 90 days)</t>
        </is>
      </c>
      <c r="E240" s="364" t="inlineStr">
        <is>
          <t>4 — LOW (natural sellthrough)</t>
        </is>
      </c>
      <c r="F240" s="365" t="inlineStr">
        <is>
          <t>Remove</t>
        </is>
      </c>
      <c r="G240" s="364" t="n"/>
      <c r="H240" s="366" t="n">
        <v>312.03</v>
      </c>
      <c r="I240" s="366" t="n">
        <v>560.6999999999999</v>
      </c>
      <c r="J240" s="366" t="n">
        <v>-205.06</v>
      </c>
      <c r="K240" s="367" t="n">
        <v>0.366</v>
      </c>
      <c r="L240" s="368" t="n">
        <v>8</v>
      </c>
      <c r="M240" s="366" t="n">
        <v>39</v>
      </c>
      <c r="N240" s="369" t="n">
        <v>0.0002</v>
      </c>
      <c r="O240" s="369" t="n">
        <v>0.9906</v>
      </c>
      <c r="P240" s="365" t="n">
        <v>7</v>
      </c>
      <c r="Q240" s="366" t="n">
        <v>18</v>
      </c>
      <c r="R240" s="368" t="n">
        <v>9</v>
      </c>
      <c r="S240" s="368" t="n">
        <v>0</v>
      </c>
      <c r="T240" s="368" t="n">
        <v>45</v>
      </c>
      <c r="U240" s="368" t="n">
        <v>68</v>
      </c>
      <c r="V240" s="368">
        <f>S333+T333</f>
        <v/>
      </c>
      <c r="W240" s="368">
        <f>S333+T333+U333</f>
        <v/>
      </c>
      <c r="X240" s="368">
        <f>W333*Q333</f>
        <v/>
      </c>
      <c r="Y240" s="366" t="n">
        <v>89</v>
      </c>
      <c r="Z240" s="366" t="n">
        <v>62.3</v>
      </c>
      <c r="AA240" s="365">
        <f>IF(Y333=Z333,"No","Yes")</f>
        <v/>
      </c>
      <c r="AB240" s="365" t="inlineStr">
        <is>
          <t>NA231SS4302</t>
        </is>
      </c>
      <c r="AC240" s="364" t="inlineStr">
        <is>
          <t>夏练2in1网球训练短裙</t>
        </is>
      </c>
    </row>
    <row r="241" ht="18" customHeight="1" s="229">
      <c r="A241" s="590" t="inlineStr">
        <is>
          <t>Dance Sport Leggings</t>
        </is>
      </c>
      <c r="B241" s="591" t="inlineStr">
        <is>
          <t>Active</t>
        </is>
      </c>
      <c r="C241" s="592" t="inlineStr">
        <is>
          <t>REMOVE</t>
        </is>
      </c>
      <c r="D241" s="593" t="inlineStr">
        <is>
          <t>Very low sales (&lt;$500 in 90 days)</t>
        </is>
      </c>
      <c r="E241" s="593" t="inlineStr">
        <is>
          <t>4 — LOW (natural sellthrough)</t>
        </is>
      </c>
      <c r="F241" s="594" t="inlineStr">
        <is>
          <t>Remove</t>
        </is>
      </c>
      <c r="G241" s="593" t="n"/>
      <c r="H241" s="595" t="n">
        <v>305.2</v>
      </c>
      <c r="I241" s="595" t="n">
        <v>457.8</v>
      </c>
      <c r="J241" s="595" t="n">
        <v>-152.6</v>
      </c>
      <c r="K241" s="600" t="n">
        <v>0.333</v>
      </c>
      <c r="L241" s="597" t="n">
        <v>6</v>
      </c>
      <c r="M241" s="595" t="n">
        <v>50.87</v>
      </c>
      <c r="N241" s="598" t="n">
        <v>0.0002</v>
      </c>
      <c r="O241" s="598" t="n">
        <v>0.991</v>
      </c>
      <c r="P241" s="594" t="n">
        <v>4</v>
      </c>
      <c r="Q241" s="595" t="n">
        <v>18</v>
      </c>
      <c r="R241" s="597" t="n">
        <v>6</v>
      </c>
      <c r="S241" s="597" t="n">
        <v>0</v>
      </c>
      <c r="T241" s="597" t="n">
        <v>41</v>
      </c>
      <c r="U241" s="597" t="n">
        <v>153</v>
      </c>
      <c r="V241" s="597">
        <f>S335+T335</f>
        <v/>
      </c>
      <c r="W241" s="597">
        <f>S335+T335+U335</f>
        <v/>
      </c>
      <c r="X241" s="597">
        <f>W335*Q335</f>
        <v/>
      </c>
      <c r="Y241" s="595" t="n">
        <v>109</v>
      </c>
      <c r="Z241" s="595" t="n">
        <v>76.3</v>
      </c>
      <c r="AA241" s="594">
        <f>IF(Y335=Z335,"No","Yes")</f>
        <v/>
      </c>
      <c r="AB241" s="594" t="inlineStr">
        <is>
          <t>NA222SD4205</t>
        </is>
      </c>
      <c r="AC241" s="593" t="inlineStr">
        <is>
          <t>舞动运动紧身裤</t>
        </is>
      </c>
    </row>
    <row r="242" ht="18" customHeight="1" s="229">
      <c r="A242" s="361" t="inlineStr">
        <is>
          <t>Breeze Cropped Sunblock Jacket</t>
        </is>
      </c>
      <c r="B242" s="362" t="inlineStr">
        <is>
          <t>Active</t>
        </is>
      </c>
      <c r="C242" s="589" t="inlineStr">
        <is>
          <t>REMOVE</t>
        </is>
      </c>
      <c r="D242" s="364" t="inlineStr">
        <is>
          <t>Very low sales (&lt;$500 in 90 days)</t>
        </is>
      </c>
      <c r="E242" s="364" t="inlineStr">
        <is>
          <t>4 — LOW (natural sellthrough)</t>
        </is>
      </c>
      <c r="F242" s="365" t="inlineStr">
        <is>
          <t>Remove</t>
        </is>
      </c>
      <c r="G242" s="364" t="n"/>
      <c r="H242" s="366" t="n">
        <v>274.28</v>
      </c>
      <c r="I242" s="366" t="n">
        <v>573.5</v>
      </c>
      <c r="J242" s="366" t="n">
        <v>-175.22</v>
      </c>
      <c r="K242" s="367" t="n">
        <v>0.306</v>
      </c>
      <c r="L242" s="368" t="n">
        <v>3</v>
      </c>
      <c r="M242" s="366" t="n">
        <v>91.43000000000001</v>
      </c>
      <c r="N242" s="369" t="n">
        <v>0.0002</v>
      </c>
      <c r="O242" s="369" t="n">
        <v>0.9922</v>
      </c>
      <c r="P242" s="365" t="n">
        <v>4</v>
      </c>
      <c r="Q242" s="366" t="n">
        <v>18</v>
      </c>
      <c r="R242" s="368" t="n">
        <v>4</v>
      </c>
      <c r="S242" s="368" t="n">
        <v>0</v>
      </c>
      <c r="T242" s="368" t="n">
        <v>20</v>
      </c>
      <c r="U242" s="368" t="n">
        <v>117</v>
      </c>
      <c r="V242" s="368">
        <f>S341+T341</f>
        <v/>
      </c>
      <c r="W242" s="368">
        <f>S341+T341+U341</f>
        <v/>
      </c>
      <c r="X242" s="368">
        <f>W341*Q341</f>
        <v/>
      </c>
      <c r="Y242" s="366" t="n">
        <v>155</v>
      </c>
      <c r="Z242" s="366" t="n">
        <v>108.5</v>
      </c>
      <c r="AA242" s="365">
        <f>IF(Y341=Z341,"No","Yes")</f>
        <v/>
      </c>
      <c r="AB242" s="365" t="inlineStr">
        <is>
          <t>NA232SO2501</t>
        </is>
      </c>
      <c r="AC242" s="364" t="inlineStr">
        <is>
          <t>防泼水梭织微弹短款连帽外套</t>
        </is>
      </c>
    </row>
    <row r="243" ht="18" customHeight="1" s="229">
      <c r="A243" s="590" t="inlineStr">
        <is>
          <t>Breeze High Waist Drawstring Shorts</t>
        </is>
      </c>
      <c r="B243" s="591" t="inlineStr">
        <is>
          <t>Active</t>
        </is>
      </c>
      <c r="C243" s="592" t="inlineStr">
        <is>
          <t>REMOVE</t>
        </is>
      </c>
      <c r="D243" s="593" t="inlineStr">
        <is>
          <t>Very low sales (&lt;$500 in 90 days)</t>
        </is>
      </c>
      <c r="E243" s="593" t="inlineStr">
        <is>
          <t>4 — LOW (natural sellthrough)</t>
        </is>
      </c>
      <c r="F243" s="594" t="inlineStr">
        <is>
          <t>Remove</t>
        </is>
      </c>
      <c r="G243" s="593" t="n"/>
      <c r="H243" s="595" t="n">
        <v>274.13</v>
      </c>
      <c r="I243" s="595" t="n">
        <v>373.8</v>
      </c>
      <c r="J243" s="595" t="n">
        <v>-99.67</v>
      </c>
      <c r="K243" s="600" t="n">
        <v>0.267</v>
      </c>
      <c r="L243" s="597" t="n">
        <v>6</v>
      </c>
      <c r="M243" s="595" t="n">
        <v>45.69</v>
      </c>
      <c r="N243" s="598" t="n">
        <v>0.0002</v>
      </c>
      <c r="O243" s="598" t="n">
        <v>0.9923999999999999</v>
      </c>
      <c r="P243" s="594" t="n">
        <v>4</v>
      </c>
      <c r="Q243" s="595" t="n">
        <v>18</v>
      </c>
      <c r="R243" s="597" t="n">
        <v>6</v>
      </c>
      <c r="S243" s="597" t="n">
        <v>0</v>
      </c>
      <c r="T243" s="597" t="n">
        <v>26</v>
      </c>
      <c r="U243" s="597" t="n">
        <v>21</v>
      </c>
      <c r="V243" s="597">
        <f>S342+T342</f>
        <v/>
      </c>
      <c r="W243" s="597">
        <f>S342+T342+U342</f>
        <v/>
      </c>
      <c r="X243" s="597">
        <f>W342*Q342</f>
        <v/>
      </c>
      <c r="Y243" s="595" t="n">
        <v>89</v>
      </c>
      <c r="Z243" s="595" t="n">
        <v>62.3</v>
      </c>
      <c r="AA243" s="594">
        <f>IF(Y342=Z342,"No","Yes")</f>
        <v/>
      </c>
      <c r="AB243" s="594" t="inlineStr">
        <is>
          <t>NA231SO4104</t>
        </is>
      </c>
      <c r="AC243" s="593" t="inlineStr">
        <is>
          <t>微风高腰抽绳短裤</t>
        </is>
      </c>
    </row>
    <row r="244" ht="18" customHeight="1" s="229">
      <c r="A244" s="361" t="inlineStr">
        <is>
          <t>Core Training Skort</t>
        </is>
      </c>
      <c r="B244" s="362" t="inlineStr">
        <is>
          <t>Active</t>
        </is>
      </c>
      <c r="C244" s="589" t="inlineStr">
        <is>
          <t>REMOVE</t>
        </is>
      </c>
      <c r="D244" s="364" t="inlineStr">
        <is>
          <t>Very low sales (&lt;$500 in 90 days)</t>
        </is>
      </c>
      <c r="E244" s="364" t="inlineStr">
        <is>
          <t>4 — LOW (natural sellthrough)</t>
        </is>
      </c>
      <c r="F244" s="365" t="inlineStr">
        <is>
          <t>Remove</t>
        </is>
      </c>
      <c r="G244" s="364" t="n"/>
      <c r="H244" s="366" t="n">
        <v>273.38</v>
      </c>
      <c r="I244" s="366" t="n">
        <v>358.8</v>
      </c>
      <c r="J244" s="366" t="n">
        <v>-85.42</v>
      </c>
      <c r="K244" s="380" t="n">
        <v>0.238</v>
      </c>
      <c r="L244" s="368" t="n">
        <v>7</v>
      </c>
      <c r="M244" s="366" t="n">
        <v>39.05</v>
      </c>
      <c r="N244" s="369" t="n">
        <v>0.0002</v>
      </c>
      <c r="O244" s="369" t="n">
        <v>0.9928</v>
      </c>
      <c r="P244" s="365" t="n">
        <v>5</v>
      </c>
      <c r="Q244" s="366" t="n">
        <v>18</v>
      </c>
      <c r="R244" s="368" t="n">
        <v>7</v>
      </c>
      <c r="S244" s="368" t="n">
        <v>0</v>
      </c>
      <c r="T244" s="368" t="n">
        <v>34</v>
      </c>
      <c r="U244" s="368" t="n">
        <v>197</v>
      </c>
      <c r="V244" s="368">
        <f>S344+T344</f>
        <v/>
      </c>
      <c r="W244" s="368">
        <f>S344+T344+U344</f>
        <v/>
      </c>
      <c r="X244" s="368">
        <f>W344*Q344</f>
        <v/>
      </c>
      <c r="Y244" s="366" t="n">
        <v>69</v>
      </c>
      <c r="Z244" s="366" t="n">
        <v>48.3</v>
      </c>
      <c r="AA244" s="365">
        <f>IF(Y344=Z344,"No","Yes")</f>
        <v/>
      </c>
      <c r="AB244" s="365" t="inlineStr">
        <is>
          <t>NA232SS4301</t>
        </is>
      </c>
      <c r="AC244" s="364" t="inlineStr">
        <is>
          <t>训练短款裙裤</t>
        </is>
      </c>
    </row>
    <row r="245" ht="18" customHeight="1" s="229">
      <c r="A245" s="590" t="inlineStr">
        <is>
          <t>Fleece Pocket Leggings</t>
        </is>
      </c>
      <c r="B245" s="591" t="inlineStr">
        <is>
          <t>Active</t>
        </is>
      </c>
      <c r="C245" s="592" t="inlineStr">
        <is>
          <t>REMOVE</t>
        </is>
      </c>
      <c r="D245" s="593" t="inlineStr">
        <is>
          <t>Very low sales (&lt;$500 in 90 days)</t>
        </is>
      </c>
      <c r="E245" s="593" t="inlineStr">
        <is>
          <t>3 — MEDIUM (selldown or markdown)</t>
        </is>
      </c>
      <c r="F245" s="594" t="inlineStr">
        <is>
          <t>Remove</t>
        </is>
      </c>
      <c r="G245" s="593" t="n"/>
      <c r="H245" s="595" t="n">
        <v>271.59</v>
      </c>
      <c r="I245" s="595" t="n">
        <v>891</v>
      </c>
      <c r="J245" s="595" t="n">
        <v>-238.35</v>
      </c>
      <c r="K245" s="600" t="n">
        <v>0.268</v>
      </c>
      <c r="L245" s="597" t="n">
        <v>4</v>
      </c>
      <c r="M245" s="595" t="n">
        <v>67.90000000000001</v>
      </c>
      <c r="N245" s="598" t="n">
        <v>0.0001</v>
      </c>
      <c r="O245" s="598" t="n">
        <v>0.9929000000000001</v>
      </c>
      <c r="P245" s="594" t="n">
        <v>4</v>
      </c>
      <c r="Q245" s="595" t="n">
        <v>18</v>
      </c>
      <c r="R245" s="597" t="n">
        <v>9</v>
      </c>
      <c r="S245" s="597" t="n">
        <v>2</v>
      </c>
      <c r="T245" s="597" t="n">
        <v>34</v>
      </c>
      <c r="U245" s="597" t="n">
        <v>0</v>
      </c>
      <c r="V245" s="597">
        <f>S345+T345</f>
        <v/>
      </c>
      <c r="W245" s="597">
        <f>S345+T345+U345</f>
        <v/>
      </c>
      <c r="X245" s="597">
        <f>W345*Q345</f>
        <v/>
      </c>
      <c r="Y245" s="595" t="n">
        <v>99</v>
      </c>
      <c r="Z245" s="595" t="n">
        <v>99</v>
      </c>
      <c r="AA245" s="594">
        <f>IF(Y345=Z345,"No","Yes")</f>
        <v/>
      </c>
      <c r="AB245" s="594" t="inlineStr">
        <is>
          <t>NA242SS4205</t>
        </is>
      </c>
      <c r="AC245" s="593" t="inlineStr">
        <is>
          <t>抓绒中高腰九分口袋紧身裤</t>
        </is>
      </c>
    </row>
    <row r="246" ht="18" customHeight="1" s="229">
      <c r="A246" s="361" t="inlineStr">
        <is>
          <t>Dolce Bikini Top</t>
        </is>
      </c>
      <c r="B246" s="362" t="inlineStr">
        <is>
          <t>Active</t>
        </is>
      </c>
      <c r="C246" s="589" t="inlineStr">
        <is>
          <t>REMOVE</t>
        </is>
      </c>
      <c r="D246" s="364" t="inlineStr">
        <is>
          <t>Very low sales (&lt;$500 in 90 days)</t>
        </is>
      </c>
      <c r="E246" s="364" t="inlineStr">
        <is>
          <t>2 — HIGH (excess inventory vs demand)</t>
        </is>
      </c>
      <c r="F246" s="365" t="inlineStr">
        <is>
          <t>Remove</t>
        </is>
      </c>
      <c r="G246" s="364" t="n"/>
      <c r="H246" s="366" t="n">
        <v>258.11</v>
      </c>
      <c r="I246" s="366" t="n">
        <v>520</v>
      </c>
      <c r="J246" s="366" t="n">
        <v>-105.89</v>
      </c>
      <c r="K246" s="380" t="n">
        <v>0.204</v>
      </c>
      <c r="L246" s="368" t="n">
        <v>5</v>
      </c>
      <c r="M246" s="366" t="n">
        <v>51.62</v>
      </c>
      <c r="N246" s="369" t="n">
        <v>0.0001</v>
      </c>
      <c r="O246" s="369" t="n">
        <v>0.9934000000000001</v>
      </c>
      <c r="P246" s="365" t="n">
        <v>6</v>
      </c>
      <c r="Q246" s="366" t="n">
        <v>18</v>
      </c>
      <c r="R246" s="368" t="n">
        <v>8</v>
      </c>
      <c r="S246" s="368" t="n">
        <v>0</v>
      </c>
      <c r="T246" s="368" t="n">
        <v>162</v>
      </c>
      <c r="U246" s="368" t="n">
        <v>0</v>
      </c>
      <c r="V246" s="368">
        <f>S350+T350</f>
        <v/>
      </c>
      <c r="W246" s="368">
        <f>S350+T350+U350</f>
        <v/>
      </c>
      <c r="X246" s="368">
        <f>W350*Q350</f>
        <v/>
      </c>
      <c r="Y246" s="366" t="n">
        <v>65</v>
      </c>
      <c r="Z246" s="366" t="n">
        <v>65</v>
      </c>
      <c r="AA246" s="365">
        <f>IF(Y350=Z350,"No","Yes")</f>
        <v/>
      </c>
      <c r="AB246" s="365" t="inlineStr">
        <is>
          <t>NW241WB3701</t>
        </is>
      </c>
      <c r="AC246" s="364" t="inlineStr">
        <is>
          <t>泳衣上装</t>
        </is>
      </c>
    </row>
    <row r="247" ht="18" customHeight="1" s="229">
      <c r="A247" s="590" t="inlineStr">
        <is>
          <t>Dolce Bikini Bottom</t>
        </is>
      </c>
      <c r="B247" s="591" t="inlineStr">
        <is>
          <t>Active</t>
        </is>
      </c>
      <c r="C247" s="592" t="inlineStr">
        <is>
          <t>REMOVE</t>
        </is>
      </c>
      <c r="D247" s="593" t="inlineStr">
        <is>
          <t>Very low sales (&lt;$500 in 90 days)</t>
        </is>
      </c>
      <c r="E247" s="593" t="inlineStr">
        <is>
          <t>3 — MEDIUM (selldown or markdown)</t>
        </is>
      </c>
      <c r="F247" s="594" t="inlineStr">
        <is>
          <t>Remove</t>
        </is>
      </c>
      <c r="G247" s="593" t="n"/>
      <c r="H247" s="595" t="n">
        <v>238.91</v>
      </c>
      <c r="I247" s="595" t="n">
        <v>405</v>
      </c>
      <c r="J247" s="595" t="n">
        <v>-96.34</v>
      </c>
      <c r="K247" s="596" t="n">
        <v>0.238</v>
      </c>
      <c r="L247" s="597" t="n">
        <v>7</v>
      </c>
      <c r="M247" s="595" t="n">
        <v>34.13</v>
      </c>
      <c r="N247" s="598" t="n">
        <v>0.0001</v>
      </c>
      <c r="O247" s="598" t="n">
        <v>0.9937999999999999</v>
      </c>
      <c r="P247" s="594" t="n">
        <v>5</v>
      </c>
      <c r="Q247" s="595" t="n">
        <v>18</v>
      </c>
      <c r="R247" s="597" t="n">
        <v>9</v>
      </c>
      <c r="S247" s="597" t="n">
        <v>1</v>
      </c>
      <c r="T247" s="597" t="n">
        <v>95</v>
      </c>
      <c r="U247" s="597" t="n">
        <v>0</v>
      </c>
      <c r="V247" s="597">
        <f>S354+T354</f>
        <v/>
      </c>
      <c r="W247" s="597">
        <f>S354+T354+U354</f>
        <v/>
      </c>
      <c r="X247" s="597">
        <f>W354*Q354</f>
        <v/>
      </c>
      <c r="Y247" s="595" t="n">
        <v>45</v>
      </c>
      <c r="Z247" s="595" t="n">
        <v>45</v>
      </c>
      <c r="AA247" s="594">
        <f>IF(Y354=Z354,"No","Yes")</f>
        <v/>
      </c>
      <c r="AB247" s="594" t="inlineStr">
        <is>
          <t>NW241WB4401</t>
        </is>
      </c>
      <c r="AC247" s="593" t="inlineStr">
        <is>
          <t>高腰泳裤</t>
        </is>
      </c>
    </row>
    <row r="248" ht="18" customHeight="1" s="229">
      <c r="A248" s="361" t="inlineStr">
        <is>
          <t>NEIWAI ACTIVE X NYCB Polartec Fleece Sweatshirt</t>
        </is>
      </c>
      <c r="B248" s="362" t="inlineStr">
        <is>
          <t>Active</t>
        </is>
      </c>
      <c r="C248" s="589" t="inlineStr">
        <is>
          <t>REMOVE</t>
        </is>
      </c>
      <c r="D248" s="364" t="inlineStr">
        <is>
          <t>NYCB collab — dead inventory, no velocity</t>
        </is>
      </c>
      <c r="E248" s="364" t="inlineStr">
        <is>
          <t>4 — LOW (natural sellthrough)</t>
        </is>
      </c>
      <c r="F248" s="365" t="inlineStr">
        <is>
          <t>Remove</t>
        </is>
      </c>
      <c r="G248" s="364" t="n"/>
      <c r="H248" s="366" t="n">
        <v>232.5</v>
      </c>
      <c r="I248" s="366" t="n">
        <v>465</v>
      </c>
      <c r="J248" s="366" t="n">
        <v>-124</v>
      </c>
      <c r="K248" s="367" t="n">
        <v>0.267</v>
      </c>
      <c r="L248" s="368" t="n">
        <v>2</v>
      </c>
      <c r="M248" s="366" t="n">
        <v>116.25</v>
      </c>
      <c r="N248" s="369" t="n">
        <v>0.0001</v>
      </c>
      <c r="O248" s="369" t="n">
        <v>0.9940000000000001</v>
      </c>
      <c r="P248" s="365" t="n">
        <v>2</v>
      </c>
      <c r="Q248" s="366" t="n">
        <v>18</v>
      </c>
      <c r="R248" s="368" t="n">
        <v>3</v>
      </c>
      <c r="S248" s="368" t="n">
        <v>0</v>
      </c>
      <c r="T248" s="368" t="n">
        <v>60</v>
      </c>
      <c r="U248" s="368" t="n">
        <v>0</v>
      </c>
      <c r="V248" s="368">
        <f>S356+T356</f>
        <v/>
      </c>
      <c r="W248" s="368">
        <f>S356+T356+U356</f>
        <v/>
      </c>
      <c r="X248" s="368">
        <f>W356*Q356</f>
        <v/>
      </c>
      <c r="Y248" s="366" t="n">
        <v>155</v>
      </c>
      <c r="Z248" s="366" t="n">
        <v>155</v>
      </c>
      <c r="AA248" s="365">
        <f>IF(Y356=Z356,"No","Yes")</f>
        <v/>
      </c>
      <c r="AB248" s="365" t="inlineStr">
        <is>
          <t>NA242SO3404</t>
        </is>
      </c>
      <c r="AC248" s="364" t="inlineStr">
        <is>
          <t>POLARTEC半开高领套头衫</t>
        </is>
      </c>
    </row>
    <row r="249" ht="18" customHeight="1" s="229">
      <c r="A249" s="590" t="inlineStr">
        <is>
          <t>Mousse Hooded Jacket</t>
        </is>
      </c>
      <c r="B249" s="591" t="inlineStr">
        <is>
          <t>Active</t>
        </is>
      </c>
      <c r="C249" s="592" t="inlineStr">
        <is>
          <t>REMOVE</t>
        </is>
      </c>
      <c r="D249" s="593" t="inlineStr">
        <is>
          <t>Very low sales (&lt;$500 in 90 days)</t>
        </is>
      </c>
      <c r="E249" s="593" t="inlineStr">
        <is>
          <t>4 — LOW (natural sellthrough)</t>
        </is>
      </c>
      <c r="F249" s="594" t="inlineStr">
        <is>
          <t>Remove</t>
        </is>
      </c>
      <c r="G249" s="593" t="n"/>
      <c r="H249" s="595" t="n">
        <v>231.53</v>
      </c>
      <c r="I249" s="595" t="n">
        <v>264.6</v>
      </c>
      <c r="J249" s="595" t="n">
        <v>-33.07</v>
      </c>
      <c r="K249" s="596" t="n">
        <v>0.125</v>
      </c>
      <c r="L249" s="597" t="n">
        <v>2</v>
      </c>
      <c r="M249" s="595" t="n">
        <v>115.77</v>
      </c>
      <c r="N249" s="598" t="n">
        <v>0.0001</v>
      </c>
      <c r="O249" s="598" t="n">
        <v>0.9941</v>
      </c>
      <c r="P249" s="594" t="n">
        <v>4</v>
      </c>
      <c r="Q249" s="595" t="n">
        <v>18</v>
      </c>
      <c r="R249" s="597" t="n">
        <v>2</v>
      </c>
      <c r="S249" s="597" t="n">
        <v>0</v>
      </c>
      <c r="T249" s="597" t="n">
        <v>20</v>
      </c>
      <c r="U249" s="597" t="n">
        <v>170</v>
      </c>
      <c r="V249" s="597">
        <f>S357+T357</f>
        <v/>
      </c>
      <c r="W249" s="597">
        <f>S357+T357+U357</f>
        <v/>
      </c>
      <c r="X249" s="597">
        <f>W357*Q357</f>
        <v/>
      </c>
      <c r="Y249" s="595" t="n">
        <v>189</v>
      </c>
      <c r="Z249" s="595" t="n">
        <v>132.3</v>
      </c>
      <c r="AA249" s="594">
        <f>IF(Y357=Z357,"No","Yes")</f>
        <v/>
      </c>
      <c r="AB249" s="594" t="inlineStr">
        <is>
          <t>NA241SS2501</t>
        </is>
      </c>
      <c r="AC249" s="593" t="inlineStr">
        <is>
          <t>慕斯连帽腰部抽绳外套</t>
        </is>
      </c>
    </row>
    <row r="250" ht="18" customHeight="1" s="229">
      <c r="A250" s="361" t="inlineStr">
        <is>
          <t>High Support Leggings</t>
        </is>
      </c>
      <c r="B250" s="362" t="inlineStr">
        <is>
          <t>Active</t>
        </is>
      </c>
      <c r="C250" s="589" t="inlineStr">
        <is>
          <t>REMOVE</t>
        </is>
      </c>
      <c r="D250" s="364" t="inlineStr">
        <is>
          <t>Very low sales (&lt;$500 in 90 days)</t>
        </is>
      </c>
      <c r="E250" s="364" t="inlineStr">
        <is>
          <t>4 — LOW (natural sellthrough)</t>
        </is>
      </c>
      <c r="F250" s="365" t="inlineStr">
        <is>
          <t>Remove</t>
        </is>
      </c>
      <c r="G250" s="364" t="n"/>
      <c r="H250" s="366" t="n">
        <v>227.7</v>
      </c>
      <c r="I250" s="366" t="n">
        <v>495</v>
      </c>
      <c r="J250" s="366" t="n">
        <v>-121.9</v>
      </c>
      <c r="K250" s="380" t="n">
        <v>0.246</v>
      </c>
      <c r="L250" s="368" t="n">
        <v>3</v>
      </c>
      <c r="M250" s="366" t="n">
        <v>75.90000000000001</v>
      </c>
      <c r="N250" s="369" t="n">
        <v>0.0001</v>
      </c>
      <c r="O250" s="369" t="n">
        <v>0.9943000000000001</v>
      </c>
      <c r="P250" s="365" t="n">
        <v>4</v>
      </c>
      <c r="Q250" s="366" t="n">
        <v>18</v>
      </c>
      <c r="R250" s="368" t="n">
        <v>5</v>
      </c>
      <c r="S250" s="368" t="n">
        <v>0</v>
      </c>
      <c r="T250" s="368" t="n">
        <v>52</v>
      </c>
      <c r="U250" s="368" t="n">
        <v>168</v>
      </c>
      <c r="V250" s="368">
        <f>S359+T359</f>
        <v/>
      </c>
      <c r="W250" s="368">
        <f>S359+T359+U359</f>
        <v/>
      </c>
      <c r="X250" s="368">
        <f>W359*Q359</f>
        <v/>
      </c>
      <c r="Y250" s="366" t="n">
        <v>99</v>
      </c>
      <c r="Z250" s="366" t="n">
        <v>99</v>
      </c>
      <c r="AA250" s="365">
        <f>IF(Y359=Z359,"No","Yes")</f>
        <v/>
      </c>
      <c r="AB250" s="365" t="inlineStr">
        <is>
          <t>NA231SS4205</t>
        </is>
      </c>
      <c r="AC250" s="364" t="inlineStr">
        <is>
          <t>核心高强度紧致高腰八分口袋运动紧身裤</t>
        </is>
      </c>
    </row>
    <row r="251" ht="18" customHeight="1" s="229">
      <c r="A251" s="590" t="inlineStr">
        <is>
          <t>Hooded Coat</t>
        </is>
      </c>
      <c r="B251" s="591" t="inlineStr">
        <is>
          <t>Active</t>
        </is>
      </c>
      <c r="C251" s="592" t="inlineStr">
        <is>
          <t>REMOVE</t>
        </is>
      </c>
      <c r="D251" s="593" t="inlineStr">
        <is>
          <t>Very low sales (&lt;$500 in 90 days)</t>
        </is>
      </c>
      <c r="E251" s="593" t="inlineStr">
        <is>
          <t>2 — HIGH (excess inventory vs demand)</t>
        </is>
      </c>
      <c r="F251" s="594" t="inlineStr">
        <is>
          <t>Remove</t>
        </is>
      </c>
      <c r="G251" s="593" t="n"/>
      <c r="H251" s="595" t="n">
        <v>227.5</v>
      </c>
      <c r="I251" s="595" t="n">
        <v>975</v>
      </c>
      <c r="J251" s="595" t="n">
        <v>-312.5</v>
      </c>
      <c r="K251" s="600" t="n">
        <v>0.321</v>
      </c>
      <c r="L251" s="597" t="n">
        <v>1</v>
      </c>
      <c r="M251" s="595" t="n">
        <v>227.5</v>
      </c>
      <c r="N251" s="598" t="n">
        <v>0.0001</v>
      </c>
      <c r="O251" s="598" t="n">
        <v>0.9944</v>
      </c>
      <c r="P251" s="594" t="n">
        <v>4</v>
      </c>
      <c r="Q251" s="595" t="n">
        <v>18</v>
      </c>
      <c r="R251" s="597" t="n">
        <v>3</v>
      </c>
      <c r="S251" s="597" t="n">
        <v>0</v>
      </c>
      <c r="T251" s="597" t="n">
        <v>168</v>
      </c>
      <c r="U251" s="597" t="n">
        <v>0</v>
      </c>
      <c r="V251" s="597">
        <f>S360+T360</f>
        <v/>
      </c>
      <c r="W251" s="597">
        <f>S360+T360+U360</f>
        <v/>
      </c>
      <c r="X251" s="597">
        <f>W360*Q360</f>
        <v/>
      </c>
      <c r="Y251" s="595" t="n">
        <v>325</v>
      </c>
      <c r="Z251" s="595" t="n">
        <v>325</v>
      </c>
      <c r="AA251" s="594">
        <f>IF(Y360=Z360,"No","Yes")</f>
        <v/>
      </c>
      <c r="AB251" s="594" t="inlineStr">
        <is>
          <t>NA242SO2505</t>
        </is>
      </c>
      <c r="AC251" s="593" t="inlineStr">
        <is>
          <t>防泼水保暖复合面料连帽中长夹克</t>
        </is>
      </c>
    </row>
    <row r="252" ht="18" customHeight="1" s="229">
      <c r="A252" s="361" t="inlineStr">
        <is>
          <t>Relaxed Fit Sweat Cardigan</t>
        </is>
      </c>
      <c r="B252" s="362" t="inlineStr">
        <is>
          <t>Active</t>
        </is>
      </c>
      <c r="C252" s="589" t="inlineStr">
        <is>
          <t>REMOVE</t>
        </is>
      </c>
      <c r="D252" s="364" t="inlineStr">
        <is>
          <t>Very low sales (&lt;$500 in 90 days)</t>
        </is>
      </c>
      <c r="E252" s="364" t="inlineStr">
        <is>
          <t>4 — LOW (natural sellthrough)</t>
        </is>
      </c>
      <c r="F252" s="365" t="inlineStr">
        <is>
          <t>Remove</t>
        </is>
      </c>
      <c r="G252" s="364" t="n"/>
      <c r="H252" s="366" t="n">
        <v>224.42</v>
      </c>
      <c r="I252" s="366" t="n">
        <v>320.6</v>
      </c>
      <c r="J252" s="366" t="n">
        <v>-96.18000000000001</v>
      </c>
      <c r="K252" s="367" t="n">
        <v>0.3</v>
      </c>
      <c r="L252" s="368" t="n">
        <v>2</v>
      </c>
      <c r="M252" s="366" t="n">
        <v>112.21</v>
      </c>
      <c r="N252" s="369" t="n">
        <v>0.0001</v>
      </c>
      <c r="O252" s="369" t="n">
        <v>0.9945999999999999</v>
      </c>
      <c r="P252" s="365" t="n">
        <v>2</v>
      </c>
      <c r="Q252" s="366" t="n">
        <v>18</v>
      </c>
      <c r="R252" s="368" t="n">
        <v>2</v>
      </c>
      <c r="S252" s="368" t="n">
        <v>0</v>
      </c>
      <c r="T252" s="368" t="n">
        <v>19</v>
      </c>
      <c r="U252" s="368" t="n">
        <v>80</v>
      </c>
      <c r="V252" s="368">
        <f>S362+T362</f>
        <v/>
      </c>
      <c r="W252" s="368">
        <f>S362+T362+U362</f>
        <v/>
      </c>
      <c r="X252" s="368">
        <f>W362*Q362</f>
        <v/>
      </c>
      <c r="Y252" s="366" t="n">
        <v>229</v>
      </c>
      <c r="Z252" s="366" t="n">
        <v>160.3</v>
      </c>
      <c r="AA252" s="365">
        <f>IF(Y362=Z362,"No","Yes")</f>
        <v/>
      </c>
      <c r="AB252" s="365" t="inlineStr">
        <is>
          <t>NA231SO2701</t>
        </is>
      </c>
      <c r="AC252" s="364" t="inlineStr">
        <is>
          <t>新年37.5°恒温宽松卫衣开衫</t>
        </is>
      </c>
    </row>
    <row r="253" ht="18" customHeight="1" s="229">
      <c r="A253" s="590" t="inlineStr">
        <is>
          <t>NEIWAI ACTIVE X NYCB Fitted Jacket</t>
        </is>
      </c>
      <c r="B253" s="591" t="inlineStr">
        <is>
          <t>Active</t>
        </is>
      </c>
      <c r="C253" s="592" t="inlineStr">
        <is>
          <t>REMOVE</t>
        </is>
      </c>
      <c r="D253" s="593" t="inlineStr">
        <is>
          <t>NYCB collab — dead inventory, no velocity</t>
        </is>
      </c>
      <c r="E253" s="593" t="inlineStr">
        <is>
          <t>4 — LOW (natural sellthrough)</t>
        </is>
      </c>
      <c r="F253" s="594" t="inlineStr">
        <is>
          <t>Remove</t>
        </is>
      </c>
      <c r="G253" s="593" t="n"/>
      <c r="H253" s="595" t="n">
        <v>222.6</v>
      </c>
      <c r="I253" s="595" t="n">
        <v>318</v>
      </c>
      <c r="J253" s="595" t="n">
        <v>-95.40000000000001</v>
      </c>
      <c r="K253" s="600" t="n">
        <v>0.3</v>
      </c>
      <c r="L253" s="597" t="n">
        <v>2</v>
      </c>
      <c r="M253" s="595" t="n">
        <v>111.3</v>
      </c>
      <c r="N253" s="598" t="n">
        <v>0.0001</v>
      </c>
      <c r="O253" s="598" t="n">
        <v>0.9947</v>
      </c>
      <c r="P253" s="594" t="n">
        <v>3</v>
      </c>
      <c r="Q253" s="595" t="n">
        <v>18</v>
      </c>
      <c r="R253" s="597" t="n">
        <v>2</v>
      </c>
      <c r="S253" s="597" t="n">
        <v>0</v>
      </c>
      <c r="T253" s="597" t="n">
        <v>75</v>
      </c>
      <c r="U253" s="597" t="n">
        <v>0</v>
      </c>
      <c r="V253" s="597">
        <f>S363+T363</f>
        <v/>
      </c>
      <c r="W253" s="597">
        <f>S363+T363+U363</f>
        <v/>
      </c>
      <c r="X253" s="597">
        <f>W363*Q363</f>
        <v/>
      </c>
      <c r="Y253" s="595" t="n">
        <v>159</v>
      </c>
      <c r="Z253" s="595" t="n">
        <v>159</v>
      </c>
      <c r="AA253" s="594">
        <f>IF(Y363=Z363,"No","Yes")</f>
        <v/>
      </c>
      <c r="AB253" s="594" t="inlineStr">
        <is>
          <t>NA242SO2502</t>
        </is>
      </c>
      <c r="AC253" s="593" t="inlineStr">
        <is>
          <t>针织仿梭织修身夹克</t>
        </is>
      </c>
    </row>
    <row r="254" ht="18" customHeight="1" s="229">
      <c r="A254" s="361" t="inlineStr">
        <is>
          <t>2-Pack Ankle Socks</t>
        </is>
      </c>
      <c r="B254" s="362" t="inlineStr">
        <is>
          <t>Active</t>
        </is>
      </c>
      <c r="C254" s="589" t="inlineStr">
        <is>
          <t>REMOVE</t>
        </is>
      </c>
      <c r="D254" s="364" t="inlineStr">
        <is>
          <t>Very low sales (&lt;$500 in 90 days)</t>
        </is>
      </c>
      <c r="E254" s="364" t="inlineStr">
        <is>
          <t>2 — HIGH (excess inventory vs demand)</t>
        </is>
      </c>
      <c r="F254" s="365" t="inlineStr">
        <is>
          <t>Remove</t>
        </is>
      </c>
      <c r="G254" s="364" t="n"/>
      <c r="H254" s="366" t="n">
        <v>221.01</v>
      </c>
      <c r="I254" s="366" t="n">
        <v>325</v>
      </c>
      <c r="J254" s="366" t="n">
        <v>-68.99000000000001</v>
      </c>
      <c r="K254" s="380" t="n">
        <v>0.212</v>
      </c>
      <c r="L254" s="368" t="n">
        <v>11</v>
      </c>
      <c r="M254" s="366" t="n">
        <v>20.09</v>
      </c>
      <c r="N254" s="369" t="n">
        <v>0.0001</v>
      </c>
      <c r="O254" s="369" t="n">
        <v>0.9948</v>
      </c>
      <c r="P254" s="365" t="n">
        <v>1</v>
      </c>
      <c r="Q254" s="366" t="n">
        <v>18</v>
      </c>
      <c r="R254" s="368" t="n">
        <v>12</v>
      </c>
      <c r="S254" s="368" t="n">
        <v>0</v>
      </c>
      <c r="T254" s="368" t="n">
        <v>172</v>
      </c>
      <c r="U254" s="368" t="n">
        <v>0</v>
      </c>
      <c r="V254" s="368">
        <f>S364+T364</f>
        <v/>
      </c>
      <c r="W254" s="368">
        <f>S364+T364+U364</f>
        <v/>
      </c>
      <c r="X254" s="368">
        <f>W364*Q364</f>
        <v/>
      </c>
      <c r="Y254" s="366" t="n">
        <v>25</v>
      </c>
      <c r="Z254" s="366" t="n">
        <v>25</v>
      </c>
      <c r="AA254" s="365">
        <f>IF(Y364=Z364,"No","Yes")</f>
        <v/>
      </c>
      <c r="AB254" s="365" t="inlineStr">
        <is>
          <t>NA252SA6501</t>
        </is>
      </c>
      <c r="AC254" s="364" t="inlineStr">
        <is>
          <t>运动中筒袜两双装</t>
        </is>
      </c>
    </row>
    <row r="255" ht="18" customHeight="1" s="229">
      <c r="A255" s="590" t="inlineStr">
        <is>
          <t>Core Training Skorts</t>
        </is>
      </c>
      <c r="B255" s="591" t="inlineStr">
        <is>
          <t>Active</t>
        </is>
      </c>
      <c r="C255" s="592" t="inlineStr">
        <is>
          <t>REMOVE</t>
        </is>
      </c>
      <c r="D255" s="593" t="inlineStr">
        <is>
          <t>Very low sales (&lt;$500 in 90 days)</t>
        </is>
      </c>
      <c r="E255" s="593" t="inlineStr">
        <is>
          <t>4 — LOW (natural sellthrough)</t>
        </is>
      </c>
      <c r="F255" s="594" t="inlineStr">
        <is>
          <t>Remove</t>
        </is>
      </c>
      <c r="G255" s="593" t="n"/>
      <c r="H255" s="595" t="n">
        <v>210.79</v>
      </c>
      <c r="I255" s="595" t="n">
        <v>284.4</v>
      </c>
      <c r="J255" s="595" t="n">
        <v>-73.61</v>
      </c>
      <c r="K255" s="600" t="n">
        <v>0.259</v>
      </c>
      <c r="L255" s="597" t="n">
        <v>6</v>
      </c>
      <c r="M255" s="595" t="n">
        <v>35.13</v>
      </c>
      <c r="N255" s="598" t="n">
        <v>0.0001</v>
      </c>
      <c r="O255" s="598" t="n">
        <v>0.9948999999999999</v>
      </c>
      <c r="P255" s="594" t="n">
        <v>5</v>
      </c>
      <c r="Q255" s="595" t="n">
        <v>18</v>
      </c>
      <c r="R255" s="597" t="n">
        <v>6</v>
      </c>
      <c r="S255" s="597" t="n">
        <v>0</v>
      </c>
      <c r="T255" s="597" t="n">
        <v>26</v>
      </c>
      <c r="U255" s="597" t="n">
        <v>88</v>
      </c>
      <c r="V255" s="597">
        <f>S365+T365</f>
        <v/>
      </c>
      <c r="W255" s="597">
        <f>S365+T365+U365</f>
        <v/>
      </c>
      <c r="X255" s="597">
        <f>W365*Q365</f>
        <v/>
      </c>
      <c r="Y255" s="595" t="n">
        <v>79</v>
      </c>
      <c r="Z255" s="595" t="n">
        <v>47.4</v>
      </c>
      <c r="AA255" s="594">
        <f>IF(Y365=Z365,"No","Yes")</f>
        <v/>
      </c>
      <c r="AB255" s="594" t="inlineStr">
        <is>
          <t>NA221SS4302</t>
        </is>
      </c>
      <c r="AC255" s="593" t="inlineStr">
        <is>
          <t>训练半裙短裤</t>
        </is>
      </c>
    </row>
    <row r="256" ht="18" customHeight="1" s="229">
      <c r="A256" s="361" t="inlineStr">
        <is>
          <t>NEIWAI ACTIVE X Andrea Jiapei Li Stirrup Leggings</t>
        </is>
      </c>
      <c r="B256" s="362" t="inlineStr">
        <is>
          <t>Active</t>
        </is>
      </c>
      <c r="C256" s="589" t="inlineStr">
        <is>
          <t>REMOVE</t>
        </is>
      </c>
      <c r="D256" s="364" t="inlineStr">
        <is>
          <t>Very low sales (&lt;$500 in 90 days)</t>
        </is>
      </c>
      <c r="E256" s="364" t="inlineStr">
        <is>
          <t>4 — LOW (natural sellthrough)</t>
        </is>
      </c>
      <c r="F256" s="365" t="inlineStr">
        <is>
          <t>Remove</t>
        </is>
      </c>
      <c r="G256" s="364" t="n"/>
      <c r="H256" s="366" t="n">
        <v>203.18</v>
      </c>
      <c r="I256" s="366" t="n">
        <v>361.2</v>
      </c>
      <c r="J256" s="366" t="n">
        <v>-94.81</v>
      </c>
      <c r="K256" s="367" t="n">
        <v>0.262</v>
      </c>
      <c r="L256" s="368" t="n">
        <v>3</v>
      </c>
      <c r="M256" s="366" t="n">
        <v>67.73</v>
      </c>
      <c r="N256" s="369" t="n">
        <v>0.0001</v>
      </c>
      <c r="O256" s="369" t="n">
        <v>0.9951000000000001</v>
      </c>
      <c r="P256" s="365" t="n">
        <v>4</v>
      </c>
      <c r="Q256" s="366" t="n">
        <v>18</v>
      </c>
      <c r="R256" s="368" t="n">
        <v>4</v>
      </c>
      <c r="S256" s="368" t="n">
        <v>0</v>
      </c>
      <c r="T256" s="368" t="n">
        <v>8</v>
      </c>
      <c r="U256" s="368" t="n">
        <v>899</v>
      </c>
      <c r="V256" s="368">
        <f>S367+T367</f>
        <v/>
      </c>
      <c r="W256" s="368">
        <f>S367+T367+U367</f>
        <v/>
      </c>
      <c r="X256" s="368">
        <f>W367*Q367</f>
        <v/>
      </c>
      <c r="Y256" s="366" t="n">
        <v>129</v>
      </c>
      <c r="Z256" s="366" t="n">
        <v>90.3</v>
      </c>
      <c r="AA256" s="365">
        <f>IF(Y367=Z367,"No","Yes")</f>
        <v/>
      </c>
      <c r="AB256" s="365" t="inlineStr">
        <is>
          <t>NA222SS4201</t>
        </is>
      </c>
      <c r="AC256" s="364" t="inlineStr">
        <is>
          <t>AJL细带踩脚运动紧身裤（闪）</t>
        </is>
      </c>
    </row>
    <row r="257" ht="18" customHeight="1" s="229">
      <c r="A257" s="590" t="inlineStr">
        <is>
          <t>NEIWAI ACTIVE X Andrea Jiapei Li Cutout Short Sleeve T-shirt</t>
        </is>
      </c>
      <c r="B257" s="591" t="inlineStr">
        <is>
          <t>Active</t>
        </is>
      </c>
      <c r="C257" s="592" t="inlineStr">
        <is>
          <t>REMOVE</t>
        </is>
      </c>
      <c r="D257" s="593" t="inlineStr">
        <is>
          <t>Very low sales (&lt;$500 in 90 days)</t>
        </is>
      </c>
      <c r="E257" s="593" t="inlineStr">
        <is>
          <t>4 — LOW (natural sellthrough)</t>
        </is>
      </c>
      <c r="F257" s="594" t="inlineStr">
        <is>
          <t>Remove</t>
        </is>
      </c>
      <c r="G257" s="593" t="n"/>
      <c r="H257" s="595" t="n">
        <v>189.18</v>
      </c>
      <c r="I257" s="595" t="n">
        <v>501.4</v>
      </c>
      <c r="J257" s="595" t="n">
        <v>-133.46</v>
      </c>
      <c r="K257" s="600" t="n">
        <v>0.266</v>
      </c>
      <c r="L257" s="597" t="n">
        <v>4</v>
      </c>
      <c r="M257" s="595" t="n">
        <v>47.3</v>
      </c>
      <c r="N257" s="598" t="n">
        <v>0.0001</v>
      </c>
      <c r="O257" s="598" t="n">
        <v>0.9954000000000001</v>
      </c>
      <c r="P257" s="594" t="n">
        <v>5</v>
      </c>
      <c r="Q257" s="595" t="n">
        <v>18</v>
      </c>
      <c r="R257" s="597" t="n">
        <v>7</v>
      </c>
      <c r="S257" s="597" t="n">
        <v>0</v>
      </c>
      <c r="T257" s="597" t="n">
        <v>36</v>
      </c>
      <c r="U257" s="597" t="n">
        <v>77</v>
      </c>
      <c r="V257" s="597">
        <f>S370+T370</f>
        <v/>
      </c>
      <c r="W257" s="597">
        <f>S370+T370+U370</f>
        <v/>
      </c>
      <c r="X257" s="597">
        <f>W370*Q370</f>
        <v/>
      </c>
      <c r="Y257" s="595" t="n">
        <v>109</v>
      </c>
      <c r="Z257" s="595" t="n">
        <v>65.40000000000001</v>
      </c>
      <c r="AA257" s="594">
        <f>IF(Y370=Z370,"No","Yes")</f>
        <v/>
      </c>
      <c r="AB257" s="594" t="inlineStr">
        <is>
          <t>NA222SS3301</t>
        </is>
      </c>
      <c r="AC257" s="593" t="inlineStr">
        <is>
          <t>AJL挖空短袖T恤（闪）</t>
        </is>
      </c>
    </row>
    <row r="258" ht="18" customHeight="1" s="229">
      <c r="A258" s="361" t="inlineStr">
        <is>
          <t>NEIWAI ACTIVE X NYCB High Waist Shorts</t>
        </is>
      </c>
      <c r="B258" s="362" t="inlineStr">
        <is>
          <t>Active</t>
        </is>
      </c>
      <c r="C258" s="589" t="inlineStr">
        <is>
          <t>REMOVE</t>
        </is>
      </c>
      <c r="D258" s="364" t="inlineStr">
        <is>
          <t>NYCB collab — dead inventory, no velocity</t>
        </is>
      </c>
      <c r="E258" s="364" t="inlineStr">
        <is>
          <t>3 — MEDIUM (selldown or markdown)</t>
        </is>
      </c>
      <c r="F258" s="365" t="inlineStr">
        <is>
          <t>Remove</t>
        </is>
      </c>
      <c r="G258" s="364" t="n"/>
      <c r="H258" s="366" t="n">
        <v>187.6</v>
      </c>
      <c r="I258" s="366" t="n">
        <v>390</v>
      </c>
      <c r="J258" s="366" t="n">
        <v>-104.9</v>
      </c>
      <c r="K258" s="367" t="n">
        <v>0.269</v>
      </c>
      <c r="L258" s="368" t="n">
        <v>4</v>
      </c>
      <c r="M258" s="366" t="n">
        <v>46.9</v>
      </c>
      <c r="N258" s="369" t="n">
        <v>0.0001</v>
      </c>
      <c r="O258" s="369" t="n">
        <v>0.9954999999999999</v>
      </c>
      <c r="P258" s="365" t="n">
        <v>3</v>
      </c>
      <c r="Q258" s="366" t="n">
        <v>18</v>
      </c>
      <c r="R258" s="368" t="n">
        <v>6</v>
      </c>
      <c r="S258" s="368" t="n">
        <v>0</v>
      </c>
      <c r="T258" s="368" t="n">
        <v>28</v>
      </c>
      <c r="U258" s="368" t="n">
        <v>0</v>
      </c>
      <c r="V258" s="368">
        <f>S371+T371</f>
        <v/>
      </c>
      <c r="W258" s="368">
        <f>S371+T371+U371</f>
        <v/>
      </c>
      <c r="X258" s="368">
        <f>W371*Q371</f>
        <v/>
      </c>
      <c r="Y258" s="366" t="n">
        <v>65</v>
      </c>
      <c r="Z258" s="366" t="n">
        <v>65</v>
      </c>
      <c r="AA258" s="365">
        <f>IF(Y371=Z371,"No","Yes")</f>
        <v/>
      </c>
      <c r="AB258" s="365" t="inlineStr">
        <is>
          <t>NA242SD4202</t>
        </is>
      </c>
      <c r="AC258" s="364" t="inlineStr">
        <is>
          <t>高腰三分运动紧身裤</t>
        </is>
      </c>
    </row>
    <row r="259" ht="18" customHeight="1" s="229">
      <c r="A259" s="590" t="inlineStr">
        <is>
          <t>NEIWAI ACTIVE X NYCB Mousse Fixed Cup Light Support Sports Bra</t>
        </is>
      </c>
      <c r="B259" s="591" t="inlineStr">
        <is>
          <t>Active</t>
        </is>
      </c>
      <c r="C259" s="592" t="inlineStr">
        <is>
          <t>REMOVE</t>
        </is>
      </c>
      <c r="D259" s="593" t="inlineStr">
        <is>
          <t>NYCB collab — dead inventory, no velocity</t>
        </is>
      </c>
      <c r="E259" s="593" t="inlineStr">
        <is>
          <t>4 — LOW (natural sellthrough)</t>
        </is>
      </c>
      <c r="F259" s="594" t="inlineStr">
        <is>
          <t>Remove</t>
        </is>
      </c>
      <c r="G259" s="593" t="n"/>
      <c r="H259" s="595" t="n">
        <v>186.81</v>
      </c>
      <c r="I259" s="595" t="n">
        <v>483</v>
      </c>
      <c r="J259" s="595" t="n">
        <v>-151.29</v>
      </c>
      <c r="K259" s="600" t="n">
        <v>0.313</v>
      </c>
      <c r="L259" s="597" t="n">
        <v>4</v>
      </c>
      <c r="M259" s="595" t="n">
        <v>46.7</v>
      </c>
      <c r="N259" s="598" t="n">
        <v>0.0001</v>
      </c>
      <c r="O259" s="598" t="n">
        <v>0.9956</v>
      </c>
      <c r="P259" s="594" t="n">
        <v>4</v>
      </c>
      <c r="Q259" s="595" t="n">
        <v>18</v>
      </c>
      <c r="R259" s="597" t="n">
        <v>7</v>
      </c>
      <c r="S259" s="597" t="n">
        <v>16</v>
      </c>
      <c r="T259" s="597" t="n">
        <v>7</v>
      </c>
      <c r="U259" s="597" t="n">
        <v>7</v>
      </c>
      <c r="V259" s="597">
        <f>S372+T372</f>
        <v/>
      </c>
      <c r="W259" s="597">
        <f>S372+T372+U372</f>
        <v/>
      </c>
      <c r="X259" s="597">
        <f>W372*Q372</f>
        <v/>
      </c>
      <c r="Y259" s="595" t="n">
        <v>69</v>
      </c>
      <c r="Z259" s="595" t="n">
        <v>69</v>
      </c>
      <c r="AA259" s="594">
        <f>IF(Y372=Z372,"No","Yes")</f>
        <v/>
      </c>
      <c r="AB259" s="594" t="inlineStr">
        <is>
          <t>Virtual</t>
        </is>
      </c>
      <c r="AC259" s="593" t="e">
        <v>#N/A</v>
      </c>
    </row>
    <row r="260" ht="18" customHeight="1" s="229">
      <c r="A260" s="361" t="inlineStr">
        <is>
          <t>NEIWAI ACTIVE X NYCB Bomber Jacket</t>
        </is>
      </c>
      <c r="B260" s="362" t="inlineStr">
        <is>
          <t>Active</t>
        </is>
      </c>
      <c r="C260" s="589" t="inlineStr">
        <is>
          <t>REMOVE</t>
        </is>
      </c>
      <c r="D260" s="364" t="inlineStr">
        <is>
          <t>NYCB collab — dead inventory, no velocity</t>
        </is>
      </c>
      <c r="E260" s="364" t="inlineStr">
        <is>
          <t>4 — LOW (natural sellthrough)</t>
        </is>
      </c>
      <c r="F260" s="365" t="inlineStr">
        <is>
          <t>Remove</t>
        </is>
      </c>
      <c r="G260" s="364" t="n"/>
      <c r="H260" s="366" t="n">
        <v>185.5</v>
      </c>
      <c r="I260" s="366" t="n">
        <v>265</v>
      </c>
      <c r="J260" s="366" t="n">
        <v>-79.5</v>
      </c>
      <c r="K260" s="367" t="n">
        <v>0.3</v>
      </c>
      <c r="L260" s="368" t="n">
        <v>1</v>
      </c>
      <c r="M260" s="366" t="n">
        <v>185.5</v>
      </c>
      <c r="N260" s="369" t="n">
        <v>0.0001</v>
      </c>
      <c r="O260" s="369" t="n">
        <v>0.9956999999999999</v>
      </c>
      <c r="P260" s="365" t="n">
        <v>2</v>
      </c>
      <c r="Q260" s="366" t="n">
        <v>18</v>
      </c>
      <c r="R260" s="368" t="n">
        <v>1</v>
      </c>
      <c r="S260" s="368" t="n">
        <v>0</v>
      </c>
      <c r="T260" s="368" t="n">
        <v>68</v>
      </c>
      <c r="U260" s="368" t="n">
        <v>0</v>
      </c>
      <c r="V260" s="368">
        <f>S373+T373</f>
        <v/>
      </c>
      <c r="W260" s="368">
        <f>S373+T373+U373</f>
        <v/>
      </c>
      <c r="X260" s="368">
        <f>W373*Q373</f>
        <v/>
      </c>
      <c r="Y260" s="366" t="n">
        <v>265</v>
      </c>
      <c r="Z260" s="366" t="n">
        <v>265</v>
      </c>
      <c r="AA260" s="365">
        <f>IF(Y373=Z373,"No","Yes")</f>
        <v/>
      </c>
      <c r="AB260" s="365" t="inlineStr">
        <is>
          <t>NA242SO2504</t>
        </is>
      </c>
      <c r="AC260" s="364" t="inlineStr">
        <is>
          <t>防泼水夹棉短款夹克</t>
        </is>
      </c>
    </row>
    <row r="261" ht="18" customHeight="1" s="229">
      <c r="A261" s="590" t="inlineStr">
        <is>
          <t>NEIWAI ACTIVE X NYCB Cargo Skirt</t>
        </is>
      </c>
      <c r="B261" s="591" t="inlineStr">
        <is>
          <t>Active</t>
        </is>
      </c>
      <c r="C261" s="592" t="inlineStr">
        <is>
          <t>REMOVE</t>
        </is>
      </c>
      <c r="D261" s="593" t="inlineStr">
        <is>
          <t>NYCB collab — dead inventory, no velocity</t>
        </is>
      </c>
      <c r="E261" s="593" t="inlineStr">
        <is>
          <t>4 — LOW (natural sellthrough)</t>
        </is>
      </c>
      <c r="F261" s="594" t="inlineStr">
        <is>
          <t>Remove</t>
        </is>
      </c>
      <c r="G261" s="593" t="n"/>
      <c r="H261" s="595" t="n">
        <v>179</v>
      </c>
      <c r="I261" s="595" t="n">
        <v>270</v>
      </c>
      <c r="J261" s="595" t="n">
        <v>-91</v>
      </c>
      <c r="K261" s="600" t="n">
        <v>0.337</v>
      </c>
      <c r="L261" s="597" t="n">
        <v>2</v>
      </c>
      <c r="M261" s="595" t="n">
        <v>89.5</v>
      </c>
      <c r="N261" s="598" t="n">
        <v>0.0001</v>
      </c>
      <c r="O261" s="598" t="n">
        <v>0.9959</v>
      </c>
      <c r="P261" s="594" t="n">
        <v>4</v>
      </c>
      <c r="Q261" s="595" t="n">
        <v>18</v>
      </c>
      <c r="R261" s="597" t="n">
        <v>2</v>
      </c>
      <c r="S261" s="597" t="n">
        <v>0</v>
      </c>
      <c r="T261" s="597" t="n">
        <v>53</v>
      </c>
      <c r="U261" s="597" t="n">
        <v>0</v>
      </c>
      <c r="V261" s="597">
        <f>S375+T375</f>
        <v/>
      </c>
      <c r="W261" s="597">
        <f>S375+T375+U375</f>
        <v/>
      </c>
      <c r="X261" s="597">
        <f>W375*Q375</f>
        <v/>
      </c>
      <c r="Y261" s="595" t="n">
        <v>135</v>
      </c>
      <c r="Z261" s="595" t="n">
        <v>135</v>
      </c>
      <c r="AA261" s="594">
        <f>IF(Y375=Z375,"No","Yes")</f>
        <v/>
      </c>
      <c r="AB261" s="594" t="inlineStr">
        <is>
          <t>NA242SO4301</t>
        </is>
      </c>
      <c r="AC261" s="593" t="inlineStr">
        <is>
          <t>防泼水微弹梭织工装半裙</t>
        </is>
      </c>
    </row>
    <row r="262" ht="18" customHeight="1" s="229">
      <c r="A262" s="361" t="inlineStr">
        <is>
          <t>Dance Sports Bra</t>
        </is>
      </c>
      <c r="B262" s="362" t="inlineStr">
        <is>
          <t>Active</t>
        </is>
      </c>
      <c r="C262" s="589" t="inlineStr">
        <is>
          <t>REMOVE</t>
        </is>
      </c>
      <c r="D262" s="364" t="inlineStr">
        <is>
          <t>Very low sales (&lt;$500 in 90 days)</t>
        </is>
      </c>
      <c r="E262" s="364" t="inlineStr">
        <is>
          <t>4 — LOW (natural sellthrough)</t>
        </is>
      </c>
      <c r="F262" s="365" t="inlineStr">
        <is>
          <t>Remove</t>
        </is>
      </c>
      <c r="G262" s="364" t="n"/>
      <c r="H262" s="366" t="n">
        <v>165.9</v>
      </c>
      <c r="I262" s="366" t="n">
        <v>165.9</v>
      </c>
      <c r="J262" s="366" t="n">
        <v>0</v>
      </c>
      <c r="K262" s="365" t="n">
        <v>0</v>
      </c>
      <c r="L262" s="368" t="n">
        <v>3</v>
      </c>
      <c r="M262" s="366" t="n">
        <v>55.3</v>
      </c>
      <c r="N262" s="369" t="n">
        <v>0.0001</v>
      </c>
      <c r="O262" s="369" t="n">
        <v>0.9963</v>
      </c>
      <c r="P262" s="365" t="n">
        <v>2</v>
      </c>
      <c r="Q262" s="366" t="n">
        <v>18</v>
      </c>
      <c r="R262" s="368" t="n">
        <v>3</v>
      </c>
      <c r="S262" s="368" t="n">
        <v>3</v>
      </c>
      <c r="T262" s="368" t="n">
        <v>3</v>
      </c>
      <c r="U262" s="368" t="n">
        <v>121</v>
      </c>
      <c r="V262" s="368">
        <f>S379+T379</f>
        <v/>
      </c>
      <c r="W262" s="368">
        <f>S379+T379+U379</f>
        <v/>
      </c>
      <c r="X262" s="368">
        <f>W379*Q379</f>
        <v/>
      </c>
      <c r="Y262" s="366" t="n">
        <v>79</v>
      </c>
      <c r="Z262" s="366" t="n">
        <v>55.3</v>
      </c>
      <c r="AA262" s="365">
        <f>IF(Y379=Z379,"No","Yes")</f>
        <v/>
      </c>
      <c r="AB262" s="365" t="inlineStr">
        <is>
          <t>NA222SD1105</t>
        </is>
      </c>
      <c r="AC262" s="364" t="inlineStr">
        <is>
          <t>舞动运动文胸</t>
        </is>
      </c>
    </row>
    <row r="263" ht="18" customHeight="1" s="229">
      <c r="A263" s="590" t="inlineStr">
        <is>
          <t>Flyaway Tank</t>
        </is>
      </c>
      <c r="B263" s="591" t="inlineStr">
        <is>
          <t>Active</t>
        </is>
      </c>
      <c r="C263" s="592" t="inlineStr">
        <is>
          <t>REMOVE</t>
        </is>
      </c>
      <c r="D263" s="593" t="inlineStr">
        <is>
          <t>Very low sales (&lt;$500 in 90 days)</t>
        </is>
      </c>
      <c r="E263" s="593" t="inlineStr">
        <is>
          <t>2 — HIGH (excess inventory vs demand)</t>
        </is>
      </c>
      <c r="F263" s="594" t="inlineStr">
        <is>
          <t>Remove</t>
        </is>
      </c>
      <c r="G263" s="593" t="n"/>
      <c r="H263" s="595" t="n">
        <v>159.5</v>
      </c>
      <c r="I263" s="595" t="n">
        <v>235.2</v>
      </c>
      <c r="J263" s="595" t="n">
        <v>-41.4</v>
      </c>
      <c r="K263" s="596" t="n">
        <v>0.176</v>
      </c>
      <c r="L263" s="597" t="n">
        <v>5</v>
      </c>
      <c r="M263" s="595" t="n">
        <v>31.9</v>
      </c>
      <c r="N263" s="598" t="n">
        <v>0.0001</v>
      </c>
      <c r="O263" s="598" t="n">
        <v>0.9965000000000001</v>
      </c>
      <c r="P263" s="594" t="n">
        <v>5</v>
      </c>
      <c r="Q263" s="595" t="n">
        <v>18</v>
      </c>
      <c r="R263" s="597" t="n">
        <v>6</v>
      </c>
      <c r="S263" s="597" t="n">
        <v>0</v>
      </c>
      <c r="T263" s="597" t="n">
        <v>207</v>
      </c>
      <c r="U263" s="597" t="n">
        <v>0</v>
      </c>
      <c r="V263" s="597">
        <f>S381+T381</f>
        <v/>
      </c>
      <c r="W263" s="597">
        <f>S381+T381+U381</f>
        <v/>
      </c>
      <c r="X263" s="597">
        <f>W381*Q381</f>
        <v/>
      </c>
      <c r="Y263" s="595" t="n">
        <v>49</v>
      </c>
      <c r="Z263" s="595" t="n">
        <v>34.3</v>
      </c>
      <c r="AA263" s="594">
        <f>IF(Y381=Z381,"No","Yes")</f>
        <v/>
      </c>
      <c r="AB263" s="594" t="inlineStr">
        <is>
          <t>NA241SS3201</t>
        </is>
      </c>
      <c r="AC263" s="593" t="inlineStr">
        <is>
          <t>肌理感速干后背开衩打结背心</t>
        </is>
      </c>
    </row>
    <row r="264" ht="18" customHeight="1" s="229">
      <c r="A264" s="361" t="inlineStr">
        <is>
          <t>Long Bikini Top</t>
        </is>
      </c>
      <c r="B264" s="362" t="inlineStr">
        <is>
          <t>Active</t>
        </is>
      </c>
      <c r="C264" s="589" t="inlineStr">
        <is>
          <t>REMOVE</t>
        </is>
      </c>
      <c r="D264" s="364" t="inlineStr">
        <is>
          <t>Very low sales (&lt;$500 in 90 days)</t>
        </is>
      </c>
      <c r="E264" s="364" t="inlineStr">
        <is>
          <t>4 — LOW (natural sellthrough)</t>
        </is>
      </c>
      <c r="F264" s="365" t="inlineStr">
        <is>
          <t>Remove</t>
        </is>
      </c>
      <c r="G264" s="364" t="n"/>
      <c r="H264" s="366" t="n">
        <v>158.59</v>
      </c>
      <c r="I264" s="366" t="n">
        <v>441</v>
      </c>
      <c r="J264" s="366" t="n">
        <v>-83.95999999999999</v>
      </c>
      <c r="K264" s="380" t="n">
        <v>0.19</v>
      </c>
      <c r="L264" s="368" t="n">
        <v>4</v>
      </c>
      <c r="M264" s="366" t="n">
        <v>39.65</v>
      </c>
      <c r="N264" s="369" t="n">
        <v>0.0001</v>
      </c>
      <c r="O264" s="369" t="n">
        <v>0.9965999999999999</v>
      </c>
      <c r="P264" s="365" t="n">
        <v>5</v>
      </c>
      <c r="Q264" s="366" t="n">
        <v>18</v>
      </c>
      <c r="R264" s="368" t="n">
        <v>9</v>
      </c>
      <c r="S264" s="368" t="n">
        <v>21</v>
      </c>
      <c r="T264" s="368" t="n">
        <v>0</v>
      </c>
      <c r="U264" s="368" t="n">
        <v>21</v>
      </c>
      <c r="V264" s="368">
        <f>S382+T382</f>
        <v/>
      </c>
      <c r="W264" s="368">
        <f>S382+T382+U382</f>
        <v/>
      </c>
      <c r="X264" s="368">
        <f>W382*Q382</f>
        <v/>
      </c>
      <c r="Y264" s="366" t="n">
        <v>49</v>
      </c>
      <c r="Z264" s="366" t="n">
        <v>49</v>
      </c>
      <c r="AA264" s="365">
        <f>IF(Y382=Z382,"No","Yes")</f>
        <v/>
      </c>
      <c r="AB264" s="365" t="inlineStr">
        <is>
          <t>NA231SS3704</t>
        </is>
      </c>
      <c r="AC264" s="364" t="inlineStr">
        <is>
          <t>长款泳衣上装</t>
        </is>
      </c>
    </row>
    <row r="265" ht="18" customHeight="1" s="229">
      <c r="A265" s="590" t="inlineStr">
        <is>
          <t>Retro Bikini Top</t>
        </is>
      </c>
      <c r="B265" s="591" t="inlineStr">
        <is>
          <t>Active</t>
        </is>
      </c>
      <c r="C265" s="592" t="inlineStr">
        <is>
          <t>REMOVE</t>
        </is>
      </c>
      <c r="D265" s="593" t="inlineStr">
        <is>
          <t>Very low sales (&lt;$500 in 90 days)</t>
        </is>
      </c>
      <c r="E265" s="593" t="inlineStr">
        <is>
          <t>3 — MEDIUM (selldown or markdown)</t>
        </is>
      </c>
      <c r="F265" s="594" t="inlineStr">
        <is>
          <t>Remove</t>
        </is>
      </c>
      <c r="G265" s="593" t="n"/>
      <c r="H265" s="595" t="n">
        <v>156.8</v>
      </c>
      <c r="I265" s="595" t="n">
        <v>196</v>
      </c>
      <c r="J265" s="595" t="n">
        <v>-39.2</v>
      </c>
      <c r="K265" s="596" t="n">
        <v>0.2</v>
      </c>
      <c r="L265" s="597" t="n">
        <v>4</v>
      </c>
      <c r="M265" s="595" t="n">
        <v>39.2</v>
      </c>
      <c r="N265" s="598" t="n">
        <v>0.0001</v>
      </c>
      <c r="O265" s="598" t="n">
        <v>0.9967</v>
      </c>
      <c r="P265" s="594" t="n">
        <v>6</v>
      </c>
      <c r="Q265" s="595" t="n">
        <v>18</v>
      </c>
      <c r="R265" s="597" t="n">
        <v>4</v>
      </c>
      <c r="S265" s="597" t="n">
        <v>52</v>
      </c>
      <c r="T265" s="597" t="n">
        <v>7</v>
      </c>
      <c r="U265" s="597" t="n">
        <v>0</v>
      </c>
      <c r="V265" s="597">
        <f>S383+T383</f>
        <v/>
      </c>
      <c r="W265" s="597">
        <f>S383+T383+U383</f>
        <v/>
      </c>
      <c r="X265" s="597">
        <f>W383*Q383</f>
        <v/>
      </c>
      <c r="Y265" s="595" t="n">
        <v>49</v>
      </c>
      <c r="Z265" s="595" t="n">
        <v>49</v>
      </c>
      <c r="AA265" s="594">
        <f>IF(Y383=Z383,"No","Yes")</f>
        <v/>
      </c>
      <c r="AB265" s="594" t="inlineStr">
        <is>
          <t>NA231SS3703</t>
        </is>
      </c>
      <c r="AC265" s="593" t="inlineStr">
        <is>
          <t>文胸式泳衣上装</t>
        </is>
      </c>
    </row>
    <row r="266" ht="18" customHeight="1" s="229">
      <c r="A266" s="361" t="inlineStr">
        <is>
          <t>NEIWAI ACTIVE X NYCB Ribbed Mousse Hooded Jacket</t>
        </is>
      </c>
      <c r="B266" s="362" t="inlineStr">
        <is>
          <t>Active</t>
        </is>
      </c>
      <c r="C266" s="589" t="inlineStr">
        <is>
          <t>REMOVE</t>
        </is>
      </c>
      <c r="D266" s="364" t="inlineStr">
        <is>
          <t>NYCB collab — dead inventory, no velocity</t>
        </is>
      </c>
      <c r="E266" s="364" t="inlineStr">
        <is>
          <t>3 — MEDIUM (selldown or markdown)</t>
        </is>
      </c>
      <c r="F266" s="365" t="inlineStr">
        <is>
          <t>Remove</t>
        </is>
      </c>
      <c r="G266" s="364" t="n"/>
      <c r="H266" s="366" t="n">
        <v>149</v>
      </c>
      <c r="I266" s="366" t="n">
        <v>149</v>
      </c>
      <c r="J266" s="366" t="n">
        <v>0</v>
      </c>
      <c r="K266" s="365" t="n">
        <v>0</v>
      </c>
      <c r="L266" s="368" t="n">
        <v>1</v>
      </c>
      <c r="M266" s="366" t="n">
        <v>149</v>
      </c>
      <c r="N266" s="369" t="n">
        <v>0.0001</v>
      </c>
      <c r="O266" s="369" t="n">
        <v>0.9969</v>
      </c>
      <c r="P266" s="365" t="n">
        <v>3</v>
      </c>
      <c r="Q266" s="366" t="n">
        <v>18</v>
      </c>
      <c r="R266" s="368" t="n">
        <v>1</v>
      </c>
      <c r="S266" s="368" t="n">
        <v>0</v>
      </c>
      <c r="T266" s="368" t="n">
        <v>79</v>
      </c>
      <c r="U266" s="368" t="n">
        <v>0</v>
      </c>
      <c r="V266" s="368">
        <f>S385+T385</f>
        <v/>
      </c>
      <c r="W266" s="368">
        <f>S385+T385+U385</f>
        <v/>
      </c>
      <c r="X266" s="368">
        <f>W385*Q385</f>
        <v/>
      </c>
      <c r="Y266" s="366" t="n">
        <v>149</v>
      </c>
      <c r="Z266" s="366" t="n">
        <v>149</v>
      </c>
      <c r="AA266" s="365">
        <f>IF(Y385=Z385,"No","Yes")</f>
        <v/>
      </c>
      <c r="AB266" s="365" t="inlineStr">
        <is>
          <t>NA242SS2501</t>
        </is>
      </c>
      <c r="AC266" s="364" t="inlineStr">
        <is>
          <t>罗纹慕斯连帽短款夹克</t>
        </is>
      </c>
    </row>
    <row r="267" ht="18" customHeight="1" s="229">
      <c r="A267" s="590" t="inlineStr">
        <is>
          <t>NEIWAI ACTIVE X NYCB Maxi Dress</t>
        </is>
      </c>
      <c r="B267" s="591" t="inlineStr">
        <is>
          <t>Active</t>
        </is>
      </c>
      <c r="C267" s="592" t="inlineStr">
        <is>
          <t>REMOVE</t>
        </is>
      </c>
      <c r="D267" s="593" t="inlineStr">
        <is>
          <t>NYCB collab — dead inventory, no velocity</t>
        </is>
      </c>
      <c r="E267" s="593" t="inlineStr">
        <is>
          <t>4 — LOW (natural sellthrough)</t>
        </is>
      </c>
      <c r="F267" s="594" t="inlineStr">
        <is>
          <t>Remove</t>
        </is>
      </c>
      <c r="G267" s="593" t="inlineStr">
        <is>
          <t>Almost OOS</t>
        </is>
      </c>
      <c r="H267" s="595" t="n">
        <v>149</v>
      </c>
      <c r="I267" s="595" t="n">
        <v>159</v>
      </c>
      <c r="J267" s="595" t="n">
        <v>-10</v>
      </c>
      <c r="K267" s="596" t="n">
        <v>0.063</v>
      </c>
      <c r="L267" s="597" t="n">
        <v>1</v>
      </c>
      <c r="M267" s="595" t="n">
        <v>149</v>
      </c>
      <c r="N267" s="598" t="n">
        <v>0.0001</v>
      </c>
      <c r="O267" s="598" t="n">
        <v>0.997</v>
      </c>
      <c r="P267" s="594" t="n">
        <v>2</v>
      </c>
      <c r="Q267" s="595" t="n">
        <v>18</v>
      </c>
      <c r="R267" s="597" t="n">
        <v>1</v>
      </c>
      <c r="S267" s="597" t="n">
        <v>0</v>
      </c>
      <c r="T267" s="597" t="n">
        <v>6</v>
      </c>
      <c r="U267" s="597" t="n">
        <v>0</v>
      </c>
      <c r="V267" s="597">
        <f>S386+T386</f>
        <v/>
      </c>
      <c r="W267" s="597">
        <f>S386+T386+U386</f>
        <v/>
      </c>
      <c r="X267" s="597">
        <f>W386*Q386</f>
        <v/>
      </c>
      <c r="Y267" s="595" t="n">
        <v>159</v>
      </c>
      <c r="Z267" s="595" t="n">
        <v>159</v>
      </c>
      <c r="AA267" s="594">
        <f>IF(Y386=Z386,"No","Yes")</f>
        <v/>
      </c>
      <c r="AB267" s="594" t="inlineStr">
        <is>
          <t>NA242SD5101</t>
        </is>
      </c>
      <c r="AC267" s="593" t="inlineStr">
        <is>
          <t>防泼水梭织无袖连衣裙</t>
        </is>
      </c>
    </row>
    <row r="268" ht="18" customHeight="1" s="229">
      <c r="A268" s="361" t="inlineStr">
        <is>
          <t>Woven Fleece Pants</t>
        </is>
      </c>
      <c r="B268" s="362" t="inlineStr">
        <is>
          <t>Active</t>
        </is>
      </c>
      <c r="C268" s="589" t="inlineStr">
        <is>
          <t>REMOVE</t>
        </is>
      </c>
      <c r="D268" s="364" t="inlineStr">
        <is>
          <t>Very low sales (&lt;$500 in 90 days)</t>
        </is>
      </c>
      <c r="E268" s="364" t="inlineStr">
        <is>
          <t>4 — LOW (natural sellthrough)</t>
        </is>
      </c>
      <c r="F268" s="365" t="inlineStr">
        <is>
          <t>Remove</t>
        </is>
      </c>
      <c r="G268" s="364" t="n"/>
      <c r="H268" s="366" t="n">
        <v>148</v>
      </c>
      <c r="I268" s="366" t="n">
        <v>185</v>
      </c>
      <c r="J268" s="366" t="n">
        <v>-37</v>
      </c>
      <c r="K268" s="380" t="n">
        <v>0.2</v>
      </c>
      <c r="L268" s="368" t="n">
        <v>1</v>
      </c>
      <c r="M268" s="366" t="n">
        <v>148</v>
      </c>
      <c r="N268" s="369" t="n">
        <v>0.0001</v>
      </c>
      <c r="O268" s="369" t="n">
        <v>0.9971</v>
      </c>
      <c r="P268" s="365" t="n">
        <v>2</v>
      </c>
      <c r="Q268" s="366" t="n">
        <v>18</v>
      </c>
      <c r="R268" s="368" t="n">
        <v>1</v>
      </c>
      <c r="S268" s="368" t="n">
        <v>0</v>
      </c>
      <c r="T268" s="368" t="n">
        <v>73</v>
      </c>
      <c r="U268" s="368" t="n">
        <v>0</v>
      </c>
      <c r="V268" s="368">
        <f>S387+T387</f>
        <v/>
      </c>
      <c r="W268" s="368">
        <f>S387+T387+U387</f>
        <v/>
      </c>
      <c r="X268" s="368">
        <f>W387*Q387</f>
        <v/>
      </c>
      <c r="Y268" s="366" t="n">
        <v>185</v>
      </c>
      <c r="Z268" s="366" t="n">
        <v>185</v>
      </c>
      <c r="AA268" s="365">
        <f>IF(Y387=Z387,"No","Yes")</f>
        <v/>
      </c>
      <c r="AB268" s="365" t="inlineStr">
        <is>
          <t>NA242SO4103</t>
        </is>
      </c>
      <c r="AC268" s="364" t="inlineStr">
        <is>
          <t>抓绒梭织保暖修身微喇九分裤</t>
        </is>
      </c>
    </row>
    <row r="269" ht="18" customHeight="1" s="229">
      <c r="A269" s="590" t="inlineStr">
        <is>
          <t>Mousse Cool Biker Shorts</t>
        </is>
      </c>
      <c r="B269" s="591" t="inlineStr">
        <is>
          <t>Active</t>
        </is>
      </c>
      <c r="C269" s="592" t="inlineStr">
        <is>
          <t>REMOVE</t>
        </is>
      </c>
      <c r="D269" s="593" t="inlineStr">
        <is>
          <t>Very low sales (&lt;$500 in 90 days)</t>
        </is>
      </c>
      <c r="E269" s="593" t="inlineStr">
        <is>
          <t>2 — HIGH (excess inventory vs demand)</t>
        </is>
      </c>
      <c r="F269" s="594" t="inlineStr">
        <is>
          <t>Remove</t>
        </is>
      </c>
      <c r="G269" s="593" t="n"/>
      <c r="H269" s="595" t="n">
        <v>136.5</v>
      </c>
      <c r="I269" s="595" t="n">
        <v>195</v>
      </c>
      <c r="J269" s="595" t="n">
        <v>-58.5</v>
      </c>
      <c r="K269" s="600" t="n">
        <v>0.3</v>
      </c>
      <c r="L269" s="597" t="n">
        <v>3</v>
      </c>
      <c r="M269" s="595" t="n">
        <v>45.5</v>
      </c>
      <c r="N269" s="598" t="n">
        <v>0.0001</v>
      </c>
      <c r="O269" s="598" t="n">
        <v>0.9973000000000001</v>
      </c>
      <c r="P269" s="594" t="n">
        <v>5</v>
      </c>
      <c r="Q269" s="595" t="n">
        <v>18</v>
      </c>
      <c r="R269" s="597" t="n">
        <v>3</v>
      </c>
      <c r="S269" s="597" t="n">
        <v>0</v>
      </c>
      <c r="T269" s="597" t="n">
        <v>189</v>
      </c>
      <c r="U269" s="597" t="n">
        <v>0</v>
      </c>
      <c r="V269" s="597">
        <f>S389+T389</f>
        <v/>
      </c>
      <c r="W269" s="597">
        <f>S389+T389+U389</f>
        <v/>
      </c>
      <c r="X269" s="597">
        <f>W389*Q389</f>
        <v/>
      </c>
      <c r="Y269" s="595" t="n">
        <v>65</v>
      </c>
      <c r="Z269" s="595" t="n">
        <v>65</v>
      </c>
      <c r="AA269" s="594">
        <f>IF(Y389=Z389,"No","Yes")</f>
        <v/>
      </c>
      <c r="AB269" s="594" t="inlineStr">
        <is>
          <t>NA241SS4204</t>
        </is>
      </c>
      <c r="AC269" s="593" t="inlineStr">
        <is>
          <t>核心中高强度高弹四分运动紧身裤</t>
        </is>
      </c>
    </row>
    <row r="270" ht="18" customHeight="1" s="229">
      <c r="A270" s="361" t="inlineStr">
        <is>
          <t>Half-Zip Sweatshirt</t>
        </is>
      </c>
      <c r="B270" s="362" t="inlineStr">
        <is>
          <t>Active</t>
        </is>
      </c>
      <c r="C270" s="589" t="inlineStr">
        <is>
          <t>REMOVE</t>
        </is>
      </c>
      <c r="D270" s="364" t="inlineStr">
        <is>
          <t>Very low sales (&lt;$500 in 90 days)</t>
        </is>
      </c>
      <c r="E270" s="364" t="inlineStr">
        <is>
          <t>4 — LOW (natural sellthrough)</t>
        </is>
      </c>
      <c r="F270" s="365" t="inlineStr">
        <is>
          <t>Remove</t>
        </is>
      </c>
      <c r="G270" s="364" t="n"/>
      <c r="H270" s="366" t="n">
        <v>129.5</v>
      </c>
      <c r="I270" s="366" t="n">
        <v>370</v>
      </c>
      <c r="J270" s="366" t="n">
        <v>-111</v>
      </c>
      <c r="K270" s="367" t="n">
        <v>0.3</v>
      </c>
      <c r="L270" s="368" t="n">
        <v>1</v>
      </c>
      <c r="M270" s="366" t="n">
        <v>129.5</v>
      </c>
      <c r="N270" s="369" t="n">
        <v>0.0001</v>
      </c>
      <c r="O270" s="369" t="n">
        <v>0.9975000000000001</v>
      </c>
      <c r="P270" s="365" t="n">
        <v>2</v>
      </c>
      <c r="Q270" s="366" t="n">
        <v>18</v>
      </c>
      <c r="R270" s="368" t="n">
        <v>2</v>
      </c>
      <c r="S270" s="368" t="n">
        <v>0</v>
      </c>
      <c r="T270" s="368" t="n">
        <v>14</v>
      </c>
      <c r="U270" s="368" t="n">
        <v>192</v>
      </c>
      <c r="V270" s="368">
        <f>S391+T391</f>
        <v/>
      </c>
      <c r="W270" s="368">
        <f>S391+T391+U391</f>
        <v/>
      </c>
      <c r="X270" s="368">
        <f>W391*Q391</f>
        <v/>
      </c>
      <c r="Y270" s="366" t="n">
        <v>185</v>
      </c>
      <c r="Z270" s="366" t="n">
        <v>185</v>
      </c>
      <c r="AA270" s="365">
        <f>IF(Y391=Z391,"No","Yes")</f>
        <v/>
      </c>
      <c r="AB270" s="365" t="inlineStr">
        <is>
          <t>NA241SO3405</t>
        </is>
      </c>
      <c r="AC270" s="364" t="inlineStr">
        <is>
          <t>高领双侧拉链套头卫衣</t>
        </is>
      </c>
    </row>
    <row r="271" ht="18" customHeight="1" s="229">
      <c r="A271" s="590" t="inlineStr">
        <is>
          <t>NEIWAI ACTIVE X NYCB Waffle Short-Sleeve T-Shirt</t>
        </is>
      </c>
      <c r="B271" s="591" t="inlineStr">
        <is>
          <t>Active</t>
        </is>
      </c>
      <c r="C271" s="592" t="inlineStr">
        <is>
          <t>REMOVE</t>
        </is>
      </c>
      <c r="D271" s="593" t="inlineStr">
        <is>
          <t>NYCB collab — dead inventory, no velocity</t>
        </is>
      </c>
      <c r="E271" s="593" t="inlineStr">
        <is>
          <t>2 — HIGH (excess inventory vs demand)</t>
        </is>
      </c>
      <c r="F271" s="594" t="inlineStr">
        <is>
          <t>Remove</t>
        </is>
      </c>
      <c r="G271" s="593" t="n"/>
      <c r="H271" s="595" t="n">
        <v>127.5</v>
      </c>
      <c r="I271" s="595" t="n">
        <v>150</v>
      </c>
      <c r="J271" s="595" t="n">
        <v>-22.5</v>
      </c>
      <c r="K271" s="596" t="n">
        <v>0.15</v>
      </c>
      <c r="L271" s="597" t="n">
        <v>2</v>
      </c>
      <c r="M271" s="595" t="n">
        <v>63.75</v>
      </c>
      <c r="N271" s="598" t="n">
        <v>0.0001</v>
      </c>
      <c r="O271" s="598" t="n">
        <v>0.9976</v>
      </c>
      <c r="P271" s="594" t="n">
        <v>5</v>
      </c>
      <c r="Q271" s="595" t="n">
        <v>18</v>
      </c>
      <c r="R271" s="597" t="n">
        <v>2</v>
      </c>
      <c r="S271" s="597" t="n">
        <v>0</v>
      </c>
      <c r="T271" s="597" t="n">
        <v>145</v>
      </c>
      <c r="U271" s="597" t="n">
        <v>0</v>
      </c>
      <c r="V271" s="597">
        <f>S392+T392</f>
        <v/>
      </c>
      <c r="W271" s="597">
        <f>S392+T392+U392</f>
        <v/>
      </c>
      <c r="X271" s="597">
        <f>W392*Q392</f>
        <v/>
      </c>
      <c r="Y271" s="595" t="n">
        <v>75</v>
      </c>
      <c r="Z271" s="595" t="n">
        <v>75</v>
      </c>
      <c r="AA271" s="594">
        <f>IF(Y392=Z392,"No","Yes")</f>
        <v/>
      </c>
      <c r="AB271" s="594" t="inlineStr">
        <is>
          <t>NA242SD3301</t>
        </is>
      </c>
      <c r="AC271" s="593" t="inlineStr">
        <is>
          <t>华夫格宽松基础短袖T恤</t>
        </is>
      </c>
    </row>
    <row r="272" ht="18" customHeight="1" s="229">
      <c r="A272" s="361" t="inlineStr">
        <is>
          <t>NEIWAI ACTIVE X NYCB Windbreaker</t>
        </is>
      </c>
      <c r="B272" s="362" t="inlineStr">
        <is>
          <t>Active</t>
        </is>
      </c>
      <c r="C272" s="589" t="inlineStr">
        <is>
          <t>REMOVE</t>
        </is>
      </c>
      <c r="D272" s="364" t="inlineStr">
        <is>
          <t>NYCB collab — dead inventory, no velocity</t>
        </is>
      </c>
      <c r="E272" s="364" t="inlineStr">
        <is>
          <t>4 — LOW (natural sellthrough)</t>
        </is>
      </c>
      <c r="F272" s="365" t="inlineStr">
        <is>
          <t>Remove</t>
        </is>
      </c>
      <c r="G272" s="364" t="n"/>
      <c r="H272" s="366" t="n">
        <v>122.5</v>
      </c>
      <c r="I272" s="366" t="n">
        <v>175</v>
      </c>
      <c r="J272" s="366" t="n">
        <v>-52.5</v>
      </c>
      <c r="K272" s="367" t="n">
        <v>0.3</v>
      </c>
      <c r="L272" s="368" t="n">
        <v>1</v>
      </c>
      <c r="M272" s="366" t="n">
        <v>122.5</v>
      </c>
      <c r="N272" s="369" t="n">
        <v>0.0001</v>
      </c>
      <c r="O272" s="369" t="n">
        <v>0.9979</v>
      </c>
      <c r="P272" s="365" t="n">
        <v>2</v>
      </c>
      <c r="Q272" s="366" t="n">
        <v>18</v>
      </c>
      <c r="R272" s="368" t="n">
        <v>1</v>
      </c>
      <c r="S272" s="368" t="n">
        <v>0</v>
      </c>
      <c r="T272" s="368" t="n">
        <v>70</v>
      </c>
      <c r="U272" s="368" t="n">
        <v>0</v>
      </c>
      <c r="V272" s="368">
        <f>S395+T395</f>
        <v/>
      </c>
      <c r="W272" s="368">
        <f>S395+T395+U395</f>
        <v/>
      </c>
      <c r="X272" s="368">
        <f>W395*Q395</f>
        <v/>
      </c>
      <c r="Y272" s="366" t="n">
        <v>175</v>
      </c>
      <c r="Z272" s="366" t="n">
        <v>175</v>
      </c>
      <c r="AA272" s="365">
        <f>IF(Y395=Z395,"No","Yes")</f>
        <v/>
      </c>
      <c r="AB272" s="365" t="inlineStr">
        <is>
          <t>NA242SO2501</t>
        </is>
      </c>
      <c r="AC272" s="364" t="inlineStr">
        <is>
          <t>轻薄宽松高领防晒外套</t>
        </is>
      </c>
    </row>
    <row r="273" ht="18" customHeight="1" s="229">
      <c r="A273" s="590" t="inlineStr">
        <is>
          <t>Mousse Fixed Cup Racerback Sports Bra</t>
        </is>
      </c>
      <c r="B273" s="591" t="inlineStr">
        <is>
          <t>Active</t>
        </is>
      </c>
      <c r="C273" s="592" t="inlineStr">
        <is>
          <t>REMOVE</t>
        </is>
      </c>
      <c r="D273" s="593" t="inlineStr">
        <is>
          <t>Very low sales (&lt;$500 in 90 days)</t>
        </is>
      </c>
      <c r="E273" s="593" t="inlineStr">
        <is>
          <t>2 — HIGH (excess inventory vs demand)</t>
        </is>
      </c>
      <c r="F273" s="594" t="inlineStr">
        <is>
          <t>Remove</t>
        </is>
      </c>
      <c r="G273" s="593" t="n"/>
      <c r="H273" s="595" t="n">
        <v>116.25</v>
      </c>
      <c r="I273" s="595" t="n">
        <v>825</v>
      </c>
      <c r="J273" s="595" t="n">
        <v>-603.75</v>
      </c>
      <c r="K273" s="600" t="n">
        <v>0.732</v>
      </c>
      <c r="L273" s="597" t="n">
        <v>9</v>
      </c>
      <c r="M273" s="595" t="n">
        <v>12.92</v>
      </c>
      <c r="N273" s="598" t="n">
        <v>0.0001</v>
      </c>
      <c r="O273" s="598" t="n">
        <v>0.9982</v>
      </c>
      <c r="P273" s="594" t="n">
        <v>3</v>
      </c>
      <c r="Q273" s="595" t="n">
        <v>18</v>
      </c>
      <c r="R273" s="597" t="n">
        <v>11</v>
      </c>
      <c r="S273" s="597" t="n">
        <v>0</v>
      </c>
      <c r="T273" s="597" t="n">
        <v>84</v>
      </c>
      <c r="U273" s="597" t="n">
        <v>0</v>
      </c>
      <c r="V273" s="597">
        <f>S398+T398</f>
        <v/>
      </c>
      <c r="W273" s="597">
        <f>S398+T398+U398</f>
        <v/>
      </c>
      <c r="X273" s="597">
        <f>W398*Q398</f>
        <v/>
      </c>
      <c r="Y273" s="595" t="n">
        <v>75</v>
      </c>
      <c r="Z273" s="595" t="n">
        <v>75</v>
      </c>
      <c r="AA273" s="594">
        <f>IF(Y398=Z398,"No","Yes")</f>
        <v/>
      </c>
      <c r="AB273" s="594" t="inlineStr">
        <is>
          <t>NA251SS1102</t>
        </is>
      </c>
      <c r="AC273" s="593" t="inlineStr">
        <is>
          <t>核心低强度长款固定杯美背运动文胸</t>
        </is>
      </c>
    </row>
    <row r="274" ht="18" customHeight="1" s="229">
      <c r="A274" s="361" t="inlineStr">
        <is>
          <t>Light Support Shorts</t>
        </is>
      </c>
      <c r="B274" s="362" t="inlineStr">
        <is>
          <t>Active</t>
        </is>
      </c>
      <c r="C274" s="589" t="inlineStr">
        <is>
          <t>REMOVE</t>
        </is>
      </c>
      <c r="D274" s="364" t="inlineStr">
        <is>
          <t>Very low sales (&lt;$500 in 90 days)</t>
        </is>
      </c>
      <c r="E274" s="364" t="inlineStr">
        <is>
          <t>4 — LOW (natural sellthrough)</t>
        </is>
      </c>
      <c r="F274" s="365" t="inlineStr">
        <is>
          <t>Remove</t>
        </is>
      </c>
      <c r="G274" s="364" t="n"/>
      <c r="H274" s="366" t="n">
        <v>105.3</v>
      </c>
      <c r="I274" s="366" t="n">
        <v>156</v>
      </c>
      <c r="J274" s="366" t="n">
        <v>-50.7</v>
      </c>
      <c r="K274" s="367" t="n">
        <v>0.325</v>
      </c>
      <c r="L274" s="368" t="n">
        <v>4</v>
      </c>
      <c r="M274" s="366" t="n">
        <v>26.32</v>
      </c>
      <c r="N274" s="369" t="n">
        <v>0.0001</v>
      </c>
      <c r="O274" s="369" t="n">
        <v>0.9983</v>
      </c>
      <c r="P274" s="365" t="n">
        <v>4</v>
      </c>
      <c r="Q274" s="366" t="n">
        <v>18</v>
      </c>
      <c r="R274" s="368" t="n">
        <v>4</v>
      </c>
      <c r="S274" s="368" t="n">
        <v>0</v>
      </c>
      <c r="T274" s="368" t="n">
        <v>16</v>
      </c>
      <c r="U274" s="368" t="n">
        <v>390</v>
      </c>
      <c r="V274" s="368">
        <f>S399+T399</f>
        <v/>
      </c>
      <c r="W274" s="368">
        <f>S399+T399+U399</f>
        <v/>
      </c>
      <c r="X274" s="368">
        <f>W399*Q399</f>
        <v/>
      </c>
      <c r="Y274" s="366" t="n">
        <v>65</v>
      </c>
      <c r="Z274" s="366" t="n">
        <v>39</v>
      </c>
      <c r="AA274" s="365">
        <f>IF(Y399=Z399,"No","Yes")</f>
        <v/>
      </c>
      <c r="AB274" s="365" t="inlineStr">
        <is>
          <t>NA221SS4214</t>
        </is>
      </c>
      <c r="AC274" s="364" t="inlineStr">
        <is>
          <t>核心柔感三分运动紧身裤</t>
        </is>
      </c>
    </row>
    <row r="275" ht="18" customHeight="1" s="229">
      <c r="A275" s="590" t="inlineStr">
        <is>
          <t>NEIWAI ACTIVE X NYCB Ribbed Mousse T-Shirt</t>
        </is>
      </c>
      <c r="B275" s="591" t="inlineStr">
        <is>
          <t>Active</t>
        </is>
      </c>
      <c r="C275" s="592" t="inlineStr">
        <is>
          <t>REMOVE</t>
        </is>
      </c>
      <c r="D275" s="593" t="inlineStr">
        <is>
          <t>NYCB collab — dead inventory, no velocity</t>
        </is>
      </c>
      <c r="E275" s="593" t="inlineStr">
        <is>
          <t>4 — LOW (natural sellthrough)</t>
        </is>
      </c>
      <c r="F275" s="594" t="inlineStr">
        <is>
          <t>Remove</t>
        </is>
      </c>
      <c r="G275" s="593" t="n"/>
      <c r="H275" s="595" t="n">
        <v>100.75</v>
      </c>
      <c r="I275" s="595" t="n">
        <v>130</v>
      </c>
      <c r="J275" s="595" t="n">
        <v>-29.25</v>
      </c>
      <c r="K275" s="596" t="n">
        <v>0.225</v>
      </c>
      <c r="L275" s="597" t="n">
        <v>2</v>
      </c>
      <c r="M275" s="595" t="n">
        <v>50.38</v>
      </c>
      <c r="N275" s="598" t="n">
        <v>0.0001</v>
      </c>
      <c r="O275" s="598" t="n">
        <v>0.9987</v>
      </c>
      <c r="P275" s="594" t="n">
        <v>3</v>
      </c>
      <c r="Q275" s="595" t="n">
        <v>18</v>
      </c>
      <c r="R275" s="597" t="n">
        <v>2</v>
      </c>
      <c r="S275" s="597" t="n">
        <v>0</v>
      </c>
      <c r="T275" s="597" t="n">
        <v>72</v>
      </c>
      <c r="U275" s="597" t="n">
        <v>0</v>
      </c>
      <c r="V275" s="597">
        <f>S403+T403</f>
        <v/>
      </c>
      <c r="W275" s="597">
        <f>S403+T403+U403</f>
        <v/>
      </c>
      <c r="X275" s="597">
        <f>W403*Q403</f>
        <v/>
      </c>
      <c r="Y275" s="595" t="n">
        <v>65</v>
      </c>
      <c r="Z275" s="595" t="n">
        <v>65</v>
      </c>
      <c r="AA275" s="594">
        <f>IF(Y403=Z403,"No","Yes")</f>
        <v/>
      </c>
      <c r="AB275" s="594" t="inlineStr">
        <is>
          <t>NA242SS3302</t>
        </is>
      </c>
      <c r="AC275" s="593" t="inlineStr">
        <is>
          <t>罗纹慕斯领口开衩短袖T恤</t>
        </is>
      </c>
    </row>
    <row r="276" ht="18" customHeight="1" s="229">
      <c r="A276" s="361" t="inlineStr">
        <is>
          <t>NEIWAI ACTIVE X NYCB Ballet Round Neck T-Shirt</t>
        </is>
      </c>
      <c r="B276" s="362" t="inlineStr">
        <is>
          <t>Active</t>
        </is>
      </c>
      <c r="C276" s="589" t="inlineStr">
        <is>
          <t>REMOVE</t>
        </is>
      </c>
      <c r="D276" s="364" t="inlineStr">
        <is>
          <t>NYCB collab — dead inventory, no velocity</t>
        </is>
      </c>
      <c r="E276" s="364" t="inlineStr">
        <is>
          <t>3 — MEDIUM (selldown or markdown)</t>
        </is>
      </c>
      <c r="F276" s="365" t="inlineStr">
        <is>
          <t>Remove</t>
        </is>
      </c>
      <c r="G276" s="364" t="n"/>
      <c r="H276" s="366" t="n">
        <v>100.75</v>
      </c>
      <c r="I276" s="366" t="n">
        <v>195</v>
      </c>
      <c r="J276" s="366" t="n">
        <v>-48.75</v>
      </c>
      <c r="K276" s="380" t="n">
        <v>0.25</v>
      </c>
      <c r="L276" s="368" t="n">
        <v>2</v>
      </c>
      <c r="M276" s="366" t="n">
        <v>50.38</v>
      </c>
      <c r="N276" s="369" t="n">
        <v>0.0001</v>
      </c>
      <c r="O276" s="369" t="n">
        <v>0.9987999999999999</v>
      </c>
      <c r="P276" s="365" t="n">
        <v>3</v>
      </c>
      <c r="Q276" s="366" t="n">
        <v>18</v>
      </c>
      <c r="R276" s="368" t="n">
        <v>3</v>
      </c>
      <c r="S276" s="368" t="n">
        <v>0</v>
      </c>
      <c r="T276" s="368" t="n">
        <v>57</v>
      </c>
      <c r="U276" s="368" t="n">
        <v>0</v>
      </c>
      <c r="V276" s="368">
        <f>S404+T404</f>
        <v/>
      </c>
      <c r="W276" s="368">
        <f>S404+T404+U404</f>
        <v/>
      </c>
      <c r="X276" s="368">
        <f>W404*Q404</f>
        <v/>
      </c>
      <c r="Y276" s="366" t="n">
        <v>65</v>
      </c>
      <c r="Z276" s="366" t="n">
        <v>65</v>
      </c>
      <c r="AA276" s="365">
        <f>IF(Y404=Z404,"No","Yes")</f>
        <v/>
      </c>
      <c r="AB276" s="365" t="inlineStr">
        <is>
          <t>NA242SO3302</t>
        </is>
      </c>
      <c r="AC276" s="364" t="inlineStr">
        <is>
          <t>拼接圆领短袖T恤</t>
        </is>
      </c>
    </row>
    <row r="277" ht="18" customHeight="1" s="229">
      <c r="A277" s="590" t="inlineStr">
        <is>
          <t>Ballet Drawstring Leggings</t>
        </is>
      </c>
      <c r="B277" s="591" t="inlineStr">
        <is>
          <t>Active</t>
        </is>
      </c>
      <c r="C277" s="592" t="inlineStr">
        <is>
          <t>REMOVE</t>
        </is>
      </c>
      <c r="D277" s="593" t="inlineStr">
        <is>
          <t>Negligible sales (&lt;$100 in 90 days)</t>
        </is>
      </c>
      <c r="E277" s="593" t="inlineStr">
        <is>
          <t>4 — LOW (natural sellthrough)</t>
        </is>
      </c>
      <c r="F277" s="594" t="inlineStr">
        <is>
          <t>Remove</t>
        </is>
      </c>
      <c r="G277" s="593" t="n"/>
      <c r="H277" s="595" t="n">
        <v>90.3</v>
      </c>
      <c r="I277" s="595" t="n">
        <v>258</v>
      </c>
      <c r="J277" s="595" t="n">
        <v>-64.5</v>
      </c>
      <c r="K277" s="596" t="n">
        <v>0.25</v>
      </c>
      <c r="L277" s="597" t="n">
        <v>1</v>
      </c>
      <c r="M277" s="595" t="n">
        <v>90.3</v>
      </c>
      <c r="N277" s="594" t="n">
        <v>0</v>
      </c>
      <c r="O277" s="598" t="n">
        <v>0.9989</v>
      </c>
      <c r="P277" s="594" t="n">
        <v>3</v>
      </c>
      <c r="Q277" s="595" t="n">
        <v>18</v>
      </c>
      <c r="R277" s="597" t="n">
        <v>2</v>
      </c>
      <c r="S277" s="597" t="n">
        <v>0</v>
      </c>
      <c r="T277" s="597" t="n">
        <v>19</v>
      </c>
      <c r="U277" s="597" t="n">
        <v>20</v>
      </c>
      <c r="V277" s="597">
        <f>S406+T406</f>
        <v/>
      </c>
      <c r="W277" s="597">
        <f>S406+T406+U406</f>
        <v/>
      </c>
      <c r="X277" s="597">
        <f>W406*Q406</f>
        <v/>
      </c>
      <c r="Y277" s="595" t="n">
        <v>129</v>
      </c>
      <c r="Z277" s="595" t="n">
        <v>129</v>
      </c>
      <c r="AA277" s="594">
        <f>IF(Y406=Z406,"No","Yes")</f>
        <v/>
      </c>
      <c r="AB277" s="594" t="inlineStr">
        <is>
          <t>NA232SD4201</t>
        </is>
      </c>
      <c r="AC277" s="593" t="inlineStr">
        <is>
          <t>腰部抽绳九分紧身裤</t>
        </is>
      </c>
    </row>
    <row r="278" ht="18" customHeight="1" s="229">
      <c r="A278" s="361" t="inlineStr">
        <is>
          <t>Mousse Biker Shorts</t>
        </is>
      </c>
      <c r="B278" s="362" t="inlineStr">
        <is>
          <t>Active</t>
        </is>
      </c>
      <c r="C278" s="589" t="inlineStr">
        <is>
          <t>REMOVE</t>
        </is>
      </c>
      <c r="D278" s="364" t="inlineStr">
        <is>
          <t>Negligible sales (&lt;$100 in 90 days)</t>
        </is>
      </c>
      <c r="E278" s="364" t="inlineStr">
        <is>
          <t>3 — MEDIUM (selldown or markdown)</t>
        </is>
      </c>
      <c r="F278" s="365" t="inlineStr">
        <is>
          <t>Remove</t>
        </is>
      </c>
      <c r="G278" s="364" t="n"/>
      <c r="H278" s="366" t="n">
        <v>85.5</v>
      </c>
      <c r="I278" s="366" t="n">
        <v>1691</v>
      </c>
      <c r="J278" s="366" t="n">
        <v>-1605.5</v>
      </c>
      <c r="K278" s="367" t="n">
        <v>0.9490000000000001</v>
      </c>
      <c r="L278" s="368" t="n">
        <v>19</v>
      </c>
      <c r="M278" s="366" t="n">
        <v>4.5</v>
      </c>
      <c r="N278" s="365" t="n">
        <v>0</v>
      </c>
      <c r="O278" s="369" t="n">
        <v>0.9989</v>
      </c>
      <c r="P278" s="365" t="n">
        <v>4</v>
      </c>
      <c r="Q278" s="366" t="n">
        <v>18</v>
      </c>
      <c r="R278" s="368" t="n">
        <v>19</v>
      </c>
      <c r="S278" s="368" t="n">
        <v>0</v>
      </c>
      <c r="T278" s="368" t="n">
        <v>53</v>
      </c>
      <c r="U278" s="368" t="n">
        <v>0</v>
      </c>
      <c r="V278" s="368">
        <f>S408+T408</f>
        <v/>
      </c>
      <c r="W278" s="368">
        <f>S408+T408+U408</f>
        <v/>
      </c>
      <c r="X278" s="368">
        <f>W408*Q408</f>
        <v/>
      </c>
      <c r="Y278" s="366" t="n">
        <v>89</v>
      </c>
      <c r="Z278" s="366" t="n">
        <v>89</v>
      </c>
      <c r="AA278" s="365">
        <f>IF(Y408=Z408,"No","Yes")</f>
        <v/>
      </c>
      <c r="AB278" s="365" t="inlineStr">
        <is>
          <t>NA251SS4203</t>
        </is>
      </c>
      <c r="AC278" s="364" t="inlineStr">
        <is>
          <t>3分骑行裤</t>
        </is>
      </c>
    </row>
    <row r="279" ht="18" customHeight="1" s="229">
      <c r="A279" s="590" t="inlineStr">
        <is>
          <t>Crew Neck Sweatshirt</t>
        </is>
      </c>
      <c r="B279" s="591" t="inlineStr">
        <is>
          <t>Active</t>
        </is>
      </c>
      <c r="C279" s="592" t="inlineStr">
        <is>
          <t>REMOVE</t>
        </is>
      </c>
      <c r="D279" s="593" t="inlineStr">
        <is>
          <t>Negligible sales (&lt;$100 in 90 days)</t>
        </is>
      </c>
      <c r="E279" s="593" t="inlineStr">
        <is>
          <t>4 — LOW (natural sellthrough)</t>
        </is>
      </c>
      <c r="F279" s="594" t="inlineStr">
        <is>
          <t>Remove</t>
        </is>
      </c>
      <c r="G279" s="593" t="n"/>
      <c r="H279" s="595" t="n">
        <v>84.5</v>
      </c>
      <c r="I279" s="595" t="n">
        <v>125</v>
      </c>
      <c r="J279" s="595" t="n">
        <v>-40.5</v>
      </c>
      <c r="K279" s="600" t="n">
        <v>0.324</v>
      </c>
      <c r="L279" s="597" t="n">
        <v>1</v>
      </c>
      <c r="M279" s="595" t="n">
        <v>84.5</v>
      </c>
      <c r="N279" s="594" t="n">
        <v>0</v>
      </c>
      <c r="O279" s="598" t="n">
        <v>0.9989</v>
      </c>
      <c r="P279" s="594" t="n">
        <v>2</v>
      </c>
      <c r="Q279" s="595" t="n">
        <v>18</v>
      </c>
      <c r="R279" s="597" t="n">
        <v>1</v>
      </c>
      <c r="S279" s="597" t="n">
        <v>0</v>
      </c>
      <c r="T279" s="597" t="n">
        <v>15</v>
      </c>
      <c r="U279" s="597" t="n">
        <v>129</v>
      </c>
      <c r="V279" s="597">
        <f>S409+T409</f>
        <v/>
      </c>
      <c r="W279" s="597">
        <f>S409+T409+U409</f>
        <v/>
      </c>
      <c r="X279" s="597">
        <f>W409*Q409</f>
        <v/>
      </c>
      <c r="Y279" s="595" t="n">
        <v>125</v>
      </c>
      <c r="Z279" s="595" t="n">
        <v>125</v>
      </c>
      <c r="AA279" s="594">
        <f>IF(Y409=Z409,"No","Yes")</f>
        <v/>
      </c>
      <c r="AB279" s="594" t="inlineStr">
        <is>
          <t>NA241SO3404</t>
        </is>
      </c>
      <c r="AC279" s="593" t="inlineStr">
        <is>
          <t>圆领紧凑型短款卫衣</t>
        </is>
      </c>
    </row>
    <row r="280" ht="18" customHeight="1" s="229">
      <c r="A280" s="361" t="inlineStr">
        <is>
          <t>Urban Sport Active Running Legging</t>
        </is>
      </c>
      <c r="B280" s="362" t="inlineStr">
        <is>
          <t>Active</t>
        </is>
      </c>
      <c r="C280" s="589" t="inlineStr">
        <is>
          <t>REMOVE</t>
        </is>
      </c>
      <c r="D280" s="364" t="inlineStr">
        <is>
          <t>Negligible sales (&lt;$100 in 90 days)</t>
        </is>
      </c>
      <c r="E280" s="364" t="inlineStr">
        <is>
          <t>4 — LOW (natural sellthrough)</t>
        </is>
      </c>
      <c r="F280" s="365" t="inlineStr">
        <is>
          <t>Remove</t>
        </is>
      </c>
      <c r="G280" s="364" t="n"/>
      <c r="H280" s="366" t="n">
        <v>84.24000000000001</v>
      </c>
      <c r="I280" s="366" t="n">
        <v>129.6</v>
      </c>
      <c r="J280" s="366" t="n">
        <v>-45.36</v>
      </c>
      <c r="K280" s="367" t="n">
        <v>0.35</v>
      </c>
      <c r="L280" s="368" t="n">
        <v>2</v>
      </c>
      <c r="M280" s="366" t="n">
        <v>42.12</v>
      </c>
      <c r="N280" s="365" t="n">
        <v>0</v>
      </c>
      <c r="O280" s="369" t="n">
        <v>0.9989</v>
      </c>
      <c r="P280" s="365" t="n">
        <v>2</v>
      </c>
      <c r="Q280" s="366" t="n">
        <v>18</v>
      </c>
      <c r="R280" s="368" t="n">
        <v>2</v>
      </c>
      <c r="S280" s="368" t="n">
        <v>0</v>
      </c>
      <c r="T280" s="368" t="n">
        <v>41</v>
      </c>
      <c r="U280" s="368" t="n">
        <v>0</v>
      </c>
      <c r="V280" s="368">
        <f>S410+T410</f>
        <v/>
      </c>
      <c r="W280" s="368">
        <f>S410+T410+U410</f>
        <v/>
      </c>
      <c r="X280" s="368">
        <f>W410*Q410</f>
        <v/>
      </c>
      <c r="Y280" s="366" t="n">
        <v>108</v>
      </c>
      <c r="Z280" s="366" t="n">
        <v>64.8</v>
      </c>
      <c r="AA280" s="365">
        <f>IF(Y410=Z410,"No","Yes")</f>
        <v/>
      </c>
      <c r="AB280" s="365" t="inlineStr">
        <is>
          <t>N212WA4104</t>
        </is>
      </c>
      <c r="AC280" s="364" t="inlineStr">
        <is>
          <t>轻盈跑步legging</t>
        </is>
      </c>
    </row>
    <row r="281" ht="18" customHeight="1" s="229">
      <c r="A281" s="590" t="inlineStr">
        <is>
          <t>Core Low-Intensity Seamless Leggings</t>
        </is>
      </c>
      <c r="B281" s="591" t="inlineStr">
        <is>
          <t>Active</t>
        </is>
      </c>
      <c r="C281" s="592" t="inlineStr">
        <is>
          <t>REMOVE</t>
        </is>
      </c>
      <c r="D281" s="593" t="inlineStr">
        <is>
          <t>Negligible sales (&lt;$100 in 90 days)</t>
        </is>
      </c>
      <c r="E281" s="593" t="inlineStr">
        <is>
          <t>4 — LOW (natural sellthrough)</t>
        </is>
      </c>
      <c r="F281" s="594" t="inlineStr">
        <is>
          <t>Remove</t>
        </is>
      </c>
      <c r="G281" s="593" t="n"/>
      <c r="H281" s="595" t="n">
        <v>82.8</v>
      </c>
      <c r="I281" s="595" t="n">
        <v>165.6</v>
      </c>
      <c r="J281" s="595" t="n">
        <v>-49.68</v>
      </c>
      <c r="K281" s="600" t="n">
        <v>0.3</v>
      </c>
      <c r="L281" s="597" t="n">
        <v>3</v>
      </c>
      <c r="M281" s="595" t="n">
        <v>27.6</v>
      </c>
      <c r="N281" s="594" t="n">
        <v>0</v>
      </c>
      <c r="O281" s="598" t="n">
        <v>0.9989</v>
      </c>
      <c r="P281" s="594" t="n">
        <v>5</v>
      </c>
      <c r="Q281" s="595" t="n">
        <v>18</v>
      </c>
      <c r="R281" s="597" t="n">
        <v>4</v>
      </c>
      <c r="S281" s="597" t="n">
        <v>0</v>
      </c>
      <c r="T281" s="597" t="n">
        <v>9</v>
      </c>
      <c r="U281" s="597" t="n">
        <v>76</v>
      </c>
      <c r="V281" s="597">
        <f>S411+T411</f>
        <v/>
      </c>
      <c r="W281" s="597">
        <f>S411+T411+U411</f>
        <v/>
      </c>
      <c r="X281" s="597">
        <f>W411*Q411</f>
        <v/>
      </c>
      <c r="Y281" s="595" t="n">
        <v>69</v>
      </c>
      <c r="Z281" s="595" t="n">
        <v>41.4</v>
      </c>
      <c r="AA281" s="594">
        <f>IF(Y411=Z411,"No","Yes")</f>
        <v/>
      </c>
      <c r="AB281" s="594" t="inlineStr">
        <is>
          <t>NA221SS4201</t>
        </is>
      </c>
      <c r="AC281" s="593" t="inlineStr">
        <is>
          <t>低强度无缝运动紧身裤</t>
        </is>
      </c>
    </row>
    <row r="282" ht="18" customHeight="1" s="229">
      <c r="A282" s="361" t="inlineStr">
        <is>
          <t>Mousse Cool Medium Support Leggings</t>
        </is>
      </c>
      <c r="B282" s="362" t="inlineStr">
        <is>
          <t>Active</t>
        </is>
      </c>
      <c r="C282" s="589" t="inlineStr">
        <is>
          <t>REMOVE</t>
        </is>
      </c>
      <c r="D282" s="364" t="inlineStr">
        <is>
          <t>Negligible sales (&lt;$100 in 90 days)</t>
        </is>
      </c>
      <c r="E282" s="364" t="inlineStr">
        <is>
          <t>2 — HIGH (excess inventory vs demand)</t>
        </is>
      </c>
      <c r="F282" s="365" t="inlineStr">
        <is>
          <t>Remove</t>
        </is>
      </c>
      <c r="G282" s="364" t="n"/>
      <c r="H282" s="366" t="n">
        <v>80.09999999999999</v>
      </c>
      <c r="I282" s="366" t="n">
        <v>178</v>
      </c>
      <c r="J282" s="366" t="n">
        <v>-26.7</v>
      </c>
      <c r="K282" s="380" t="n">
        <v>0.15</v>
      </c>
      <c r="L282" s="368" t="n">
        <v>1</v>
      </c>
      <c r="M282" s="366" t="n">
        <v>80.09999999999999</v>
      </c>
      <c r="N282" s="365" t="n">
        <v>0</v>
      </c>
      <c r="O282" s="369" t="n">
        <v>0.9989</v>
      </c>
      <c r="P282" s="365" t="n">
        <v>3</v>
      </c>
      <c r="Q282" s="366" t="n">
        <v>18</v>
      </c>
      <c r="R282" s="368" t="n">
        <v>2</v>
      </c>
      <c r="S282" s="368" t="n">
        <v>0</v>
      </c>
      <c r="T282" s="368" t="n">
        <v>438</v>
      </c>
      <c r="U282" s="368" t="n">
        <v>0</v>
      </c>
      <c r="V282" s="368">
        <f>S412+T412</f>
        <v/>
      </c>
      <c r="W282" s="368">
        <f>S412+T412+U412</f>
        <v/>
      </c>
      <c r="X282" s="368">
        <f>W412*Q412</f>
        <v/>
      </c>
      <c r="Y282" s="366" t="n">
        <v>89</v>
      </c>
      <c r="Z282" s="366" t="n">
        <v>89</v>
      </c>
      <c r="AA282" s="365">
        <f>IF(Y412=Z412,"No","Yes")</f>
        <v/>
      </c>
      <c r="AB282" s="365" t="inlineStr">
        <is>
          <t>NA241SS4203</t>
        </is>
      </c>
      <c r="AC282" s="364" t="inlineStr">
        <is>
          <t>核心中高强度高弹口袋九分运动紧身裤</t>
        </is>
      </c>
    </row>
    <row r="283" ht="18" customHeight="1" s="229">
      <c r="A283" s="590" t="inlineStr">
        <is>
          <t>NEIWAI ACTIVE X NYCB Fleece Neck Warmer</t>
        </is>
      </c>
      <c r="B283" s="591" t="inlineStr">
        <is>
          <t>Active</t>
        </is>
      </c>
      <c r="C283" s="592" t="inlineStr">
        <is>
          <t>REMOVE</t>
        </is>
      </c>
      <c r="D283" s="593" t="inlineStr">
        <is>
          <t>NYCB collab — dead inventory, no velocity</t>
        </is>
      </c>
      <c r="E283" s="593" t="inlineStr">
        <is>
          <t>3 — MEDIUM (selldown or markdown)</t>
        </is>
      </c>
      <c r="F283" s="594" t="inlineStr">
        <is>
          <t>Remove</t>
        </is>
      </c>
      <c r="G283" s="593" t="n"/>
      <c r="H283" s="595" t="n">
        <v>77</v>
      </c>
      <c r="I283" s="595" t="n">
        <v>110</v>
      </c>
      <c r="J283" s="595" t="n">
        <v>-33</v>
      </c>
      <c r="K283" s="600" t="n">
        <v>0.3</v>
      </c>
      <c r="L283" s="597" t="n">
        <v>2</v>
      </c>
      <c r="M283" s="595" t="n">
        <v>38.5</v>
      </c>
      <c r="N283" s="594" t="n">
        <v>0</v>
      </c>
      <c r="O283" s="598" t="n">
        <v>0.9989</v>
      </c>
      <c r="P283" s="594" t="n">
        <v>2</v>
      </c>
      <c r="Q283" s="595" t="n">
        <v>18</v>
      </c>
      <c r="R283" s="597" t="n">
        <v>2</v>
      </c>
      <c r="S283" s="597" t="n">
        <v>0</v>
      </c>
      <c r="T283" s="597" t="n">
        <v>59</v>
      </c>
      <c r="U283" s="597" t="n">
        <v>0</v>
      </c>
      <c r="V283" s="597">
        <f>S413+T413</f>
        <v/>
      </c>
      <c r="W283" s="597">
        <f>S413+T413+U413</f>
        <v/>
      </c>
      <c r="X283" s="597">
        <f>W413*Q413</f>
        <v/>
      </c>
      <c r="Y283" s="595" t="n">
        <v>55</v>
      </c>
      <c r="Z283" s="595" t="n">
        <v>55</v>
      </c>
      <c r="AA283" s="594">
        <f>IF(Y413=Z413,"No","Yes")</f>
        <v/>
      </c>
      <c r="AB283" s="594" t="inlineStr">
        <is>
          <t>NA242SA6201</t>
        </is>
      </c>
      <c r="AC283" s="593" t="inlineStr">
        <is>
          <t>POLARTEC抓绒围脖</t>
        </is>
      </c>
    </row>
    <row r="284" ht="18" customHeight="1" s="229">
      <c r="A284" s="361" t="inlineStr">
        <is>
          <t>Dance Ruched Long Sleeve Top</t>
        </is>
      </c>
      <c r="B284" s="362" t="inlineStr">
        <is>
          <t>Active</t>
        </is>
      </c>
      <c r="C284" s="589" t="inlineStr">
        <is>
          <t>REMOVE</t>
        </is>
      </c>
      <c r="D284" s="364" t="inlineStr">
        <is>
          <t>Negligible sales (&lt;$100 in 90 days)</t>
        </is>
      </c>
      <c r="E284" s="364" t="inlineStr">
        <is>
          <t>2 — HIGH (excess inventory vs demand)</t>
        </is>
      </c>
      <c r="F284" s="365" t="inlineStr">
        <is>
          <t>Remove</t>
        </is>
      </c>
      <c r="G284" s="364" t="n"/>
      <c r="H284" s="366" t="n">
        <v>69.3</v>
      </c>
      <c r="I284" s="366" t="n">
        <v>990</v>
      </c>
      <c r="J284" s="366" t="n">
        <v>-920.7</v>
      </c>
      <c r="K284" s="367" t="n">
        <v>0.93</v>
      </c>
      <c r="L284" s="368" t="n">
        <v>10</v>
      </c>
      <c r="M284" s="366" t="n">
        <v>6.93</v>
      </c>
      <c r="N284" s="365" t="n">
        <v>0</v>
      </c>
      <c r="O284" s="369" t="n">
        <v>0.9989</v>
      </c>
      <c r="P284" s="365" t="n">
        <v>4</v>
      </c>
      <c r="Q284" s="366" t="n">
        <v>18</v>
      </c>
      <c r="R284" s="368" t="n">
        <v>10</v>
      </c>
      <c r="S284" s="368" t="n">
        <v>0</v>
      </c>
      <c r="T284" s="368" t="n">
        <v>174</v>
      </c>
      <c r="U284" s="368" t="n">
        <v>0</v>
      </c>
      <c r="V284" s="368">
        <f>S418+T418</f>
        <v/>
      </c>
      <c r="W284" s="368">
        <f>S418+T418+U418</f>
        <v/>
      </c>
      <c r="X284" s="368">
        <f>W418*Q418</f>
        <v/>
      </c>
      <c r="Y284" s="366" t="n">
        <v>99</v>
      </c>
      <c r="Z284" s="366" t="n">
        <v>99</v>
      </c>
      <c r="AA284" s="365">
        <f>IF(Y418=Z418,"No","Yes")</f>
        <v/>
      </c>
      <c r="AB284" s="365" t="inlineStr">
        <is>
          <t>NA251SD3301</t>
        </is>
      </c>
      <c r="AC284" s="364" t="inlineStr">
        <is>
          <t>罗纹抽褶长袖上衣</t>
        </is>
      </c>
    </row>
    <row r="285" ht="18" customHeight="1" s="229">
      <c r="A285" s="590" t="inlineStr">
        <is>
          <t>NEIWAI ACTIVE X NYCB Woven Training Skort</t>
        </is>
      </c>
      <c r="B285" s="591" t="inlineStr">
        <is>
          <t>Active</t>
        </is>
      </c>
      <c r="C285" s="592" t="inlineStr">
        <is>
          <t>REMOVE</t>
        </is>
      </c>
      <c r="D285" s="593" t="inlineStr">
        <is>
          <t>NYCB collab — dead inventory, no velocity</t>
        </is>
      </c>
      <c r="E285" s="593" t="inlineStr">
        <is>
          <t>4 — LOW (natural sellthrough)</t>
        </is>
      </c>
      <c r="F285" s="594" t="inlineStr">
        <is>
          <t>Remove</t>
        </is>
      </c>
      <c r="G285" s="593" t="n"/>
      <c r="H285" s="595" t="n">
        <v>66.37</v>
      </c>
      <c r="I285" s="595" t="n">
        <v>69</v>
      </c>
      <c r="J285" s="595" t="n">
        <v>-2.63</v>
      </c>
      <c r="K285" s="596" t="n">
        <v>0.038</v>
      </c>
      <c r="L285" s="597" t="n">
        <v>1</v>
      </c>
      <c r="M285" s="595" t="n">
        <v>66.37</v>
      </c>
      <c r="N285" s="594" t="n">
        <v>0</v>
      </c>
      <c r="O285" s="598" t="n">
        <v>0.9989</v>
      </c>
      <c r="P285" s="594" t="n">
        <v>2</v>
      </c>
      <c r="Q285" s="595" t="n">
        <v>18</v>
      </c>
      <c r="R285" s="597" t="n">
        <v>1</v>
      </c>
      <c r="S285" s="597" t="n">
        <v>0</v>
      </c>
      <c r="T285" s="597" t="n">
        <v>35</v>
      </c>
      <c r="U285" s="597" t="n">
        <v>0</v>
      </c>
      <c r="V285" s="597">
        <f>S421+T421</f>
        <v/>
      </c>
      <c r="W285" s="597">
        <f>S421+T421+U421</f>
        <v/>
      </c>
      <c r="X285" s="597">
        <f>W421*Q421</f>
        <v/>
      </c>
      <c r="Y285" s="595" t="n">
        <v>69</v>
      </c>
      <c r="Z285" s="595" t="n">
        <v>69</v>
      </c>
      <c r="AA285" s="594">
        <f>IF(Y421=Z421,"No","Yes")</f>
        <v/>
      </c>
      <c r="AB285" s="594" t="inlineStr">
        <is>
          <t>NA242SS4301</t>
        </is>
      </c>
      <c r="AC285" s="593" t="inlineStr">
        <is>
          <t>轻薄梭织训练开衩短款裙裤</t>
        </is>
      </c>
    </row>
    <row r="286" ht="18" customHeight="1" s="229">
      <c r="A286" s="361" t="inlineStr">
        <is>
          <t>Cross-back T-Shirt</t>
        </is>
      </c>
      <c r="B286" s="362" t="inlineStr">
        <is>
          <t>Active</t>
        </is>
      </c>
      <c r="C286" s="589" t="inlineStr">
        <is>
          <t>REMOVE</t>
        </is>
      </c>
      <c r="D286" s="364" t="inlineStr">
        <is>
          <t>Negligible sales (&lt;$100 in 90 days)</t>
        </is>
      </c>
      <c r="E286" s="364" t="inlineStr">
        <is>
          <t>3 — MEDIUM (selldown or markdown)</t>
        </is>
      </c>
      <c r="F286" s="365" t="inlineStr">
        <is>
          <t>Remove</t>
        </is>
      </c>
      <c r="G286" s="364" t="n"/>
      <c r="H286" s="366" t="n">
        <v>64.02</v>
      </c>
      <c r="I286" s="366" t="n">
        <v>82.59999999999999</v>
      </c>
      <c r="J286" s="366" t="n">
        <v>-18.58</v>
      </c>
      <c r="K286" s="380" t="n">
        <v>0.225</v>
      </c>
      <c r="L286" s="368" t="n">
        <v>2</v>
      </c>
      <c r="M286" s="366" t="n">
        <v>32.01</v>
      </c>
      <c r="N286" s="365" t="n">
        <v>0</v>
      </c>
      <c r="O286" s="369" t="n">
        <v>0.9989</v>
      </c>
      <c r="P286" s="365" t="n">
        <v>2</v>
      </c>
      <c r="Q286" s="366" t="n">
        <v>18</v>
      </c>
      <c r="R286" s="368" t="n">
        <v>2</v>
      </c>
      <c r="S286" s="368" t="n">
        <v>0</v>
      </c>
      <c r="T286" s="368" t="n">
        <v>214</v>
      </c>
      <c r="U286" s="368" t="n">
        <v>23</v>
      </c>
      <c r="V286" s="368">
        <f>S422+T422</f>
        <v/>
      </c>
      <c r="W286" s="368">
        <f>S422+T422+U422</f>
        <v/>
      </c>
      <c r="X286" s="368">
        <f>W422*Q422</f>
        <v/>
      </c>
      <c r="Y286" s="366" t="n">
        <v>59</v>
      </c>
      <c r="Z286" s="366" t="n">
        <v>41.3</v>
      </c>
      <c r="AA286" s="365">
        <f>IF(Y422=Z422,"No","Yes")</f>
        <v/>
      </c>
      <c r="AB286" s="365" t="inlineStr">
        <is>
          <t>NA241SS3304</t>
        </is>
      </c>
      <c r="AC286" s="364" t="inlineStr">
        <is>
          <t>肌理感速干后背交叠T恤</t>
        </is>
      </c>
    </row>
    <row r="287" ht="18" customHeight="1" s="229">
      <c r="A287" s="590" t="inlineStr">
        <is>
          <t>NEIWAI ACTIVE X NYCB Mid Waist Shorts</t>
        </is>
      </c>
      <c r="B287" s="591" t="inlineStr">
        <is>
          <t>Active</t>
        </is>
      </c>
      <c r="C287" s="592" t="inlineStr">
        <is>
          <t>REMOVE</t>
        </is>
      </c>
      <c r="D287" s="593" t="inlineStr">
        <is>
          <t>NYCB collab — dead inventory, no velocity</t>
        </is>
      </c>
      <c r="E287" s="593" t="inlineStr">
        <is>
          <t>4 — LOW (natural sellthrough)</t>
        </is>
      </c>
      <c r="F287" s="594" t="inlineStr">
        <is>
          <t>Remove</t>
        </is>
      </c>
      <c r="G287" s="593" t="n"/>
      <c r="H287" s="595" t="n">
        <v>62.3</v>
      </c>
      <c r="I287" s="595" t="n">
        <v>178</v>
      </c>
      <c r="J287" s="595" t="n">
        <v>-53.4</v>
      </c>
      <c r="K287" s="600" t="n">
        <v>0.3</v>
      </c>
      <c r="L287" s="597" t="n">
        <v>1</v>
      </c>
      <c r="M287" s="595" t="n">
        <v>62.3</v>
      </c>
      <c r="N287" s="594" t="n">
        <v>0</v>
      </c>
      <c r="O287" s="598" t="n">
        <v>0.9989</v>
      </c>
      <c r="P287" s="594" t="n">
        <v>3</v>
      </c>
      <c r="Q287" s="595" t="n">
        <v>18</v>
      </c>
      <c r="R287" s="597" t="n">
        <v>2</v>
      </c>
      <c r="S287" s="597" t="n">
        <v>5</v>
      </c>
      <c r="T287" s="597" t="n">
        <v>34</v>
      </c>
      <c r="U287" s="597" t="n">
        <v>0</v>
      </c>
      <c r="V287" s="597">
        <f>S423+T423</f>
        <v/>
      </c>
      <c r="W287" s="597">
        <f>S423+T423+U423</f>
        <v/>
      </c>
      <c r="X287" s="597">
        <f>W423*Q423</f>
        <v/>
      </c>
      <c r="Y287" s="595" t="n">
        <v>89</v>
      </c>
      <c r="Z287" s="595" t="n">
        <v>89</v>
      </c>
      <c r="AA287" s="594">
        <f>IF(Y423=Z423,"No","Yes")</f>
        <v/>
      </c>
      <c r="AB287" s="594" t="inlineStr">
        <is>
          <t>NA242SO4101</t>
        </is>
      </c>
      <c r="AC287" s="593" t="e">
        <v>#N/A</v>
      </c>
    </row>
    <row r="288" ht="18" customHeight="1" s="229">
      <c r="A288" s="361" t="inlineStr">
        <is>
          <t>Ballet Pleated Boatneck Bra Top</t>
        </is>
      </c>
      <c r="B288" s="362" t="inlineStr">
        <is>
          <t>Active</t>
        </is>
      </c>
      <c r="C288" s="589" t="inlineStr">
        <is>
          <t>REMOVE</t>
        </is>
      </c>
      <c r="D288" s="364" t="inlineStr">
        <is>
          <t>Negligible sales (&lt;$100 in 90 days)</t>
        </is>
      </c>
      <c r="E288" s="364" t="inlineStr">
        <is>
          <t>4 — LOW (natural sellthrough)</t>
        </is>
      </c>
      <c r="F288" s="365" t="inlineStr">
        <is>
          <t>Remove</t>
        </is>
      </c>
      <c r="G288" s="364" t="inlineStr">
        <is>
          <t>Almost OOS</t>
        </is>
      </c>
      <c r="H288" s="366" t="n">
        <v>59.5</v>
      </c>
      <c r="I288" s="366" t="n">
        <v>170</v>
      </c>
      <c r="J288" s="366" t="n">
        <v>-51</v>
      </c>
      <c r="K288" s="367" t="n">
        <v>0.3</v>
      </c>
      <c r="L288" s="368" t="n">
        <v>1</v>
      </c>
      <c r="M288" s="366" t="n">
        <v>59.5</v>
      </c>
      <c r="N288" s="365" t="n">
        <v>0</v>
      </c>
      <c r="O288" s="369" t="n">
        <v>0.9989</v>
      </c>
      <c r="P288" s="365" t="n">
        <v>1</v>
      </c>
      <c r="Q288" s="366" t="n">
        <v>18</v>
      </c>
      <c r="R288" s="368" t="n">
        <v>2</v>
      </c>
      <c r="S288" s="368" t="n">
        <v>1</v>
      </c>
      <c r="T288" s="368" t="n">
        <v>0</v>
      </c>
      <c r="U288" s="368" t="n">
        <v>0</v>
      </c>
      <c r="V288" s="368">
        <f>S425+T425</f>
        <v/>
      </c>
      <c r="W288" s="368">
        <f>S425+T425+U425</f>
        <v/>
      </c>
      <c r="X288" s="368">
        <f>W425*Q425</f>
        <v/>
      </c>
      <c r="Y288" s="366" t="n">
        <v>85</v>
      </c>
      <c r="Z288" s="366" t="n">
        <v>85</v>
      </c>
      <c r="AA288" s="365">
        <f>IF(Y425=Z425,"No","Yes")</f>
        <v/>
      </c>
      <c r="AB288" s="365" t="inlineStr">
        <is>
          <t>NA232SD1102</t>
        </is>
      </c>
      <c r="AC288" s="364" t="inlineStr">
        <is>
          <t>轻薄梭织中强度一字领胸下打褶运动文胸</t>
        </is>
      </c>
    </row>
    <row r="289" ht="18" customHeight="1" s="229">
      <c r="A289" s="590" t="inlineStr">
        <is>
          <t>Breeze Half Zip Crop Top</t>
        </is>
      </c>
      <c r="B289" s="591" t="inlineStr">
        <is>
          <t>Active</t>
        </is>
      </c>
      <c r="C289" s="592" t="inlineStr">
        <is>
          <t>REMOVE</t>
        </is>
      </c>
      <c r="D289" s="593" t="inlineStr">
        <is>
          <t>Negligible sales (&lt;$100 in 90 days)</t>
        </is>
      </c>
      <c r="E289" s="593" t="inlineStr">
        <is>
          <t>4 — LOW (natural sellthrough)</t>
        </is>
      </c>
      <c r="F289" s="594" t="inlineStr">
        <is>
          <t>Remove</t>
        </is>
      </c>
      <c r="G289" s="593" t="n"/>
      <c r="H289" s="595" t="n">
        <v>44.13</v>
      </c>
      <c r="I289" s="595" t="n">
        <v>69</v>
      </c>
      <c r="J289" s="595" t="n">
        <v>-24.87</v>
      </c>
      <c r="K289" s="600" t="n">
        <v>0.36</v>
      </c>
      <c r="L289" s="597" t="n">
        <v>1</v>
      </c>
      <c r="M289" s="595" t="n">
        <v>44.13</v>
      </c>
      <c r="N289" s="594" t="n">
        <v>0</v>
      </c>
      <c r="O289" s="598" t="n">
        <v>0.9989</v>
      </c>
      <c r="P289" s="594" t="n">
        <v>3</v>
      </c>
      <c r="Q289" s="595" t="n">
        <v>18</v>
      </c>
      <c r="R289" s="597" t="n">
        <v>1</v>
      </c>
      <c r="S289" s="597" t="n">
        <v>0</v>
      </c>
      <c r="T289" s="597" t="n">
        <v>39</v>
      </c>
      <c r="U289" s="597" t="n">
        <v>118</v>
      </c>
      <c r="V289" s="597">
        <f>S436+T436</f>
        <v/>
      </c>
      <c r="W289" s="597">
        <f>S436+T436+U436</f>
        <v/>
      </c>
      <c r="X289" s="597">
        <f>W436*Q436</f>
        <v/>
      </c>
      <c r="Y289" s="595" t="n">
        <v>69</v>
      </c>
      <c r="Z289" s="595" t="n">
        <v>48.3</v>
      </c>
      <c r="AA289" s="594">
        <f>IF(Y436=Z436,"No","Yes")</f>
        <v/>
      </c>
      <c r="AB289" s="594" t="inlineStr">
        <is>
          <t>NA232SO3201</t>
        </is>
      </c>
      <c r="AC289" s="593" t="inlineStr">
        <is>
          <t>横纹肌理针织拉链无袖短上衣</t>
        </is>
      </c>
    </row>
    <row r="290" ht="18" customHeight="1" s="229">
      <c r="A290" s="361" t="inlineStr">
        <is>
          <t>Breeze Shorts</t>
        </is>
      </c>
      <c r="B290" s="362" t="inlineStr">
        <is>
          <t>Active</t>
        </is>
      </c>
      <c r="C290" s="589" t="inlineStr">
        <is>
          <t>REMOVE</t>
        </is>
      </c>
      <c r="D290" s="364" t="inlineStr">
        <is>
          <t>Negligible sales (&lt;$100 in 90 days)</t>
        </is>
      </c>
      <c r="E290" s="364" t="inlineStr">
        <is>
          <t>4 — LOW (natural sellthrough)</t>
        </is>
      </c>
      <c r="F290" s="365" t="inlineStr">
        <is>
          <t>Remove</t>
        </is>
      </c>
      <c r="G290" s="364" t="n"/>
      <c r="H290" s="366" t="n">
        <v>31.69</v>
      </c>
      <c r="I290" s="366" t="n">
        <v>55.3</v>
      </c>
      <c r="J290" s="366" t="n">
        <v>-23.61</v>
      </c>
      <c r="K290" s="367" t="n">
        <v>0.427</v>
      </c>
      <c r="L290" s="368" t="n">
        <v>1</v>
      </c>
      <c r="M290" s="366" t="n">
        <v>31.69</v>
      </c>
      <c r="N290" s="365" t="n">
        <v>0</v>
      </c>
      <c r="O290" s="369" t="n">
        <v>0.9989</v>
      </c>
      <c r="P290" s="365" t="n">
        <v>1</v>
      </c>
      <c r="Q290" s="366" t="n">
        <v>18</v>
      </c>
      <c r="R290" s="368" t="n">
        <v>1</v>
      </c>
      <c r="S290" s="368" t="n">
        <v>0</v>
      </c>
      <c r="T290" s="368" t="n">
        <v>71</v>
      </c>
      <c r="U290" s="368" t="n">
        <v>0</v>
      </c>
      <c r="V290" s="368">
        <f>S443+T443</f>
        <v/>
      </c>
      <c r="W290" s="368">
        <f>S443+T443+U443</f>
        <v/>
      </c>
      <c r="X290" s="368">
        <f>W443*Q443</f>
        <v/>
      </c>
      <c r="Y290" s="366" t="n">
        <v>79</v>
      </c>
      <c r="Z290" s="366" t="n">
        <v>55.3</v>
      </c>
      <c r="AA290" s="365">
        <f>IF(Y443=Z443,"No","Yes")</f>
        <v/>
      </c>
      <c r="AB290" s="365" t="inlineStr">
        <is>
          <t>NA241SO4104</t>
        </is>
      </c>
      <c r="AC290" s="364" t="inlineStr">
        <is>
          <t>轻薄防泼水梭织A型短裤</t>
        </is>
      </c>
    </row>
    <row r="291" ht="18" customHeight="1" s="229">
      <c r="A291" s="590" t="inlineStr">
        <is>
          <t>Ballet Knotted Cardigan</t>
        </is>
      </c>
      <c r="B291" s="591" t="inlineStr">
        <is>
          <t>Active</t>
        </is>
      </c>
      <c r="C291" s="592" t="inlineStr">
        <is>
          <t>REMOVE</t>
        </is>
      </c>
      <c r="D291" s="593" t="inlineStr">
        <is>
          <t>Zero/negative sales</t>
        </is>
      </c>
      <c r="E291" s="593" t="inlineStr">
        <is>
          <t>2 — HIGH (dead product)</t>
        </is>
      </c>
      <c r="F291" s="594" t="inlineStr">
        <is>
          <t>Remove</t>
        </is>
      </c>
      <c r="G291" s="593" t="inlineStr">
        <is>
          <t>OOS</t>
        </is>
      </c>
      <c r="H291" s="595" t="n">
        <v>0</v>
      </c>
      <c r="I291" s="595" t="n">
        <v>0</v>
      </c>
      <c r="J291" s="595" t="n">
        <v>0</v>
      </c>
      <c r="K291" s="594" t="n"/>
      <c r="L291" s="597" t="n">
        <v>0</v>
      </c>
      <c r="M291" s="597" t="n"/>
      <c r="N291" s="594" t="n">
        <v>0</v>
      </c>
      <c r="O291" s="598" t="n">
        <v>0.9989</v>
      </c>
      <c r="P291" s="594" t="n">
        <v>1</v>
      </c>
      <c r="Q291" s="595" t="n">
        <v>18</v>
      </c>
      <c r="R291" s="597" t="n">
        <v>0</v>
      </c>
      <c r="S291" s="597" t="n">
        <v>0</v>
      </c>
      <c r="T291" s="597" t="n">
        <v>0</v>
      </c>
      <c r="U291" s="597" t="n">
        <v>0</v>
      </c>
      <c r="V291" s="597">
        <f>S451+T451</f>
        <v/>
      </c>
      <c r="W291" s="597">
        <f>S451+T451+U451</f>
        <v/>
      </c>
      <c r="X291" s="597">
        <f>W451*Q451</f>
        <v/>
      </c>
      <c r="Y291" s="595" t="n">
        <v>129</v>
      </c>
      <c r="Z291" s="595" t="n">
        <v>129</v>
      </c>
      <c r="AA291" s="594">
        <f>IF(Y451=Z451,"No","Yes")</f>
        <v/>
      </c>
      <c r="AB291" s="594" t="e">
        <v>#N/A</v>
      </c>
      <c r="AC291" s="593" t="e">
        <v>#N/A</v>
      </c>
    </row>
    <row r="292" ht="18" customHeight="1" s="229">
      <c r="A292" s="361" t="inlineStr">
        <is>
          <t>NEIWAI ACTIVE X Andrea Jiapei Li Cutout Long Sleeve T-shirt</t>
        </is>
      </c>
      <c r="B292" s="362" t="inlineStr">
        <is>
          <t>Active</t>
        </is>
      </c>
      <c r="C292" s="589" t="inlineStr">
        <is>
          <t>REMOVE</t>
        </is>
      </c>
      <c r="D292" s="364" t="inlineStr">
        <is>
          <t>Zero/negative sales</t>
        </is>
      </c>
      <c r="E292" s="364" t="inlineStr">
        <is>
          <t>2 — HIGH (dead product)</t>
        </is>
      </c>
      <c r="F292" s="365" t="inlineStr">
        <is>
          <t>Remove</t>
        </is>
      </c>
      <c r="G292" s="364" t="inlineStr">
        <is>
          <t>OOS</t>
        </is>
      </c>
      <c r="H292" s="366" t="n">
        <v>0</v>
      </c>
      <c r="I292" s="366" t="n">
        <v>0</v>
      </c>
      <c r="J292" s="366" t="n">
        <v>0</v>
      </c>
      <c r="K292" s="365" t="n"/>
      <c r="L292" s="368" t="n">
        <v>0</v>
      </c>
      <c r="M292" s="368" t="n"/>
      <c r="N292" s="365" t="n">
        <v>0</v>
      </c>
      <c r="O292" s="369" t="n">
        <v>0.9989</v>
      </c>
      <c r="P292" s="365" t="n">
        <v>1</v>
      </c>
      <c r="Q292" s="366" t="n">
        <v>18</v>
      </c>
      <c r="R292" s="368" t="n">
        <v>0</v>
      </c>
      <c r="S292" s="368" t="n">
        <v>0</v>
      </c>
      <c r="T292" s="368" t="n">
        <v>0</v>
      </c>
      <c r="U292" s="368" t="n">
        <v>0</v>
      </c>
      <c r="V292" s="368">
        <f>S453+T453</f>
        <v/>
      </c>
      <c r="W292" s="368">
        <f>S453+T453+U453</f>
        <v/>
      </c>
      <c r="X292" s="368">
        <f>W453*Q453</f>
        <v/>
      </c>
      <c r="Y292" s="366" t="n">
        <v>149</v>
      </c>
      <c r="Z292" s="366" t="n">
        <v>104.3</v>
      </c>
      <c r="AA292" s="365">
        <f>IF(Y453=Z453,"No","Yes")</f>
        <v/>
      </c>
      <c r="AB292" s="365" t="e">
        <v>#N/A</v>
      </c>
      <c r="AC292" s="364" t="e">
        <v>#N/A</v>
      </c>
    </row>
    <row r="293" ht="18" customHeight="1" s="229">
      <c r="A293" s="590" t="inlineStr">
        <is>
          <t>Urban Sport Casual Flared Pants</t>
        </is>
      </c>
      <c r="B293" s="591" t="inlineStr">
        <is>
          <t>Active</t>
        </is>
      </c>
      <c r="C293" s="592" t="inlineStr">
        <is>
          <t>REMOVE</t>
        </is>
      </c>
      <c r="D293" s="593" t="inlineStr">
        <is>
          <t>Zero/negative sales</t>
        </is>
      </c>
      <c r="E293" s="593" t="inlineStr">
        <is>
          <t>2 — HIGH (dead product)</t>
        </is>
      </c>
      <c r="F293" s="594" t="inlineStr">
        <is>
          <t>Remove</t>
        </is>
      </c>
      <c r="G293" s="593" t="inlineStr">
        <is>
          <t>OOS</t>
        </is>
      </c>
      <c r="H293" s="595" t="n">
        <v>0</v>
      </c>
      <c r="I293" s="595" t="n">
        <v>0</v>
      </c>
      <c r="J293" s="595" t="n">
        <v>0</v>
      </c>
      <c r="K293" s="594" t="n"/>
      <c r="L293" s="597" t="n">
        <v>0</v>
      </c>
      <c r="M293" s="597" t="n"/>
      <c r="N293" s="594" t="n">
        <v>0</v>
      </c>
      <c r="O293" s="598" t="n">
        <v>0.9989</v>
      </c>
      <c r="P293" s="594" t="n">
        <v>1</v>
      </c>
      <c r="Q293" s="595" t="n">
        <v>18</v>
      </c>
      <c r="R293" s="597" t="n">
        <v>0</v>
      </c>
      <c r="S293" s="597" t="n">
        <v>0</v>
      </c>
      <c r="T293" s="597" t="n">
        <v>0</v>
      </c>
      <c r="U293" s="597" t="n">
        <v>0</v>
      </c>
      <c r="V293" s="597">
        <f>S455+T455</f>
        <v/>
      </c>
      <c r="W293" s="597">
        <f>S455+T455+U455</f>
        <v/>
      </c>
      <c r="X293" s="597">
        <f>W455*Q455</f>
        <v/>
      </c>
      <c r="Y293" s="595" t="n">
        <v>108</v>
      </c>
      <c r="Z293" s="595" t="n">
        <v>54</v>
      </c>
      <c r="AA293" s="594">
        <f>IF(Y455=Z455,"No","Yes")</f>
        <v/>
      </c>
      <c r="AB293" s="594" t="e">
        <v>#N/A</v>
      </c>
      <c r="AC293" s="593" t="e">
        <v>#N/A</v>
      </c>
    </row>
    <row r="294" ht="18" customHeight="1" s="229">
      <c r="A294" s="361" t="inlineStr">
        <is>
          <t>NEIWAI X SAVISLOOK Bikini Bottom</t>
        </is>
      </c>
      <c r="B294" s="362" t="inlineStr">
        <is>
          <t>Active</t>
        </is>
      </c>
      <c r="C294" s="589" t="inlineStr">
        <is>
          <t>REMOVE</t>
        </is>
      </c>
      <c r="D294" s="364" t="inlineStr">
        <is>
          <t>Zero/negative sales</t>
        </is>
      </c>
      <c r="E294" s="364" t="inlineStr">
        <is>
          <t>2 — HIGH (excess inventory vs demand)</t>
        </is>
      </c>
      <c r="F294" s="365" t="inlineStr">
        <is>
          <t>Remove</t>
        </is>
      </c>
      <c r="G294" s="364" t="n"/>
      <c r="H294" s="366" t="n">
        <v>0</v>
      </c>
      <c r="I294" s="366" t="n">
        <v>0</v>
      </c>
      <c r="J294" s="366" t="n">
        <v>0</v>
      </c>
      <c r="K294" s="365" t="n"/>
      <c r="L294" s="368" t="n">
        <v>0</v>
      </c>
      <c r="M294" s="368" t="n"/>
      <c r="N294" s="365" t="n">
        <v>0</v>
      </c>
      <c r="O294" s="369" t="n">
        <v>0.9989</v>
      </c>
      <c r="P294" s="365" t="n">
        <v>1</v>
      </c>
      <c r="Q294" s="366" t="n">
        <v>18</v>
      </c>
      <c r="R294" s="368" t="n">
        <v>0</v>
      </c>
      <c r="S294" s="368" t="n">
        <v>0</v>
      </c>
      <c r="T294" s="368" t="n">
        <v>189</v>
      </c>
      <c r="U294" s="368" t="n">
        <v>0</v>
      </c>
      <c r="V294" s="368">
        <f>S460+T460</f>
        <v/>
      </c>
      <c r="W294" s="368">
        <f>S460+T460+U460</f>
        <v/>
      </c>
      <c r="X294" s="368">
        <f>W460*Q460</f>
        <v/>
      </c>
      <c r="Y294" s="366" t="n">
        <v>68</v>
      </c>
      <c r="Z294" s="366" t="n">
        <v>34</v>
      </c>
      <c r="AA294" s="365">
        <f>IF(Y460=Z460,"No","Yes")</f>
        <v/>
      </c>
      <c r="AB294" s="365" t="e">
        <v>#N/A</v>
      </c>
      <c r="AC294" s="364" t="e">
        <v>#N/A</v>
      </c>
    </row>
    <row r="295" ht="18" customHeight="1" s="229">
      <c r="A295" s="590" t="inlineStr">
        <is>
          <t>NEIWAI ACTIVE X NYCB Sandwashed Modal Crewneck Sweatshirt</t>
        </is>
      </c>
      <c r="B295" s="591" t="inlineStr">
        <is>
          <t>Active</t>
        </is>
      </c>
      <c r="C295" s="592" t="inlineStr">
        <is>
          <t>REMOVE</t>
        </is>
      </c>
      <c r="D295" s="593" t="inlineStr">
        <is>
          <t>NYCB collab — dead inventory, no velocity</t>
        </is>
      </c>
      <c r="E295" s="593" t="inlineStr">
        <is>
          <t>2 — HIGH (dead product)</t>
        </is>
      </c>
      <c r="F295" s="594" t="inlineStr">
        <is>
          <t>Remove</t>
        </is>
      </c>
      <c r="G295" s="593" t="n"/>
      <c r="H295" s="595" t="n">
        <v>0</v>
      </c>
      <c r="I295" s="595" t="n">
        <v>250</v>
      </c>
      <c r="J295" s="595" t="n">
        <v>-75</v>
      </c>
      <c r="K295" s="600" t="n">
        <v>0.3</v>
      </c>
      <c r="L295" s="597" t="n">
        <v>0</v>
      </c>
      <c r="M295" s="597" t="n"/>
      <c r="N295" s="594" t="n">
        <v>0</v>
      </c>
      <c r="O295" s="598" t="n">
        <v>0.9989</v>
      </c>
      <c r="P295" s="594" t="n">
        <v>5</v>
      </c>
      <c r="Q295" s="595" t="n">
        <v>18</v>
      </c>
      <c r="R295" s="597" t="n">
        <v>2</v>
      </c>
      <c r="S295" s="597" t="n">
        <v>0</v>
      </c>
      <c r="T295" s="597" t="n">
        <v>98</v>
      </c>
      <c r="U295" s="597" t="n">
        <v>0</v>
      </c>
      <c r="V295" s="597">
        <f>S461+T461</f>
        <v/>
      </c>
      <c r="W295" s="597">
        <f>S461+T461+U461</f>
        <v/>
      </c>
      <c r="X295" s="597">
        <f>W461*Q461</f>
        <v/>
      </c>
      <c r="Y295" s="595" t="n">
        <v>125</v>
      </c>
      <c r="Z295" s="595" t="n">
        <v>125</v>
      </c>
      <c r="AA295" s="594">
        <f>IF(Y461=Z461,"No","Yes")</f>
        <v/>
      </c>
      <c r="AB295" s="594" t="inlineStr">
        <is>
          <t>NA242SD3403</t>
        </is>
      </c>
      <c r="AC295" s="593" t="inlineStr">
        <is>
          <t>莫代尔砂洗圆领宽松卫衣</t>
        </is>
      </c>
    </row>
    <row r="296" ht="18" customHeight="1" s="229">
      <c r="A296" s="361" t="inlineStr">
        <is>
          <t>High Waist Bikini Bottom</t>
        </is>
      </c>
      <c r="B296" s="362" t="inlineStr">
        <is>
          <t>Active</t>
        </is>
      </c>
      <c r="C296" s="589" t="inlineStr">
        <is>
          <t>REMOVE</t>
        </is>
      </c>
      <c r="D296" s="364" t="inlineStr">
        <is>
          <t>Zero/negative sales</t>
        </is>
      </c>
      <c r="E296" s="364" t="inlineStr">
        <is>
          <t>2 — HIGH (dead product)</t>
        </is>
      </c>
      <c r="F296" s="365" t="inlineStr">
        <is>
          <t>Remove</t>
        </is>
      </c>
      <c r="G296" s="364" t="inlineStr">
        <is>
          <t>OOS</t>
        </is>
      </c>
      <c r="H296" s="366" t="n">
        <v>0</v>
      </c>
      <c r="I296" s="366" t="n">
        <v>0</v>
      </c>
      <c r="J296" s="366" t="n">
        <v>0</v>
      </c>
      <c r="K296" s="365" t="n"/>
      <c r="L296" s="368" t="n">
        <v>0</v>
      </c>
      <c r="M296" s="368" t="n"/>
      <c r="N296" s="365" t="n">
        <v>0</v>
      </c>
      <c r="O296" s="369" t="n">
        <v>0.9989</v>
      </c>
      <c r="P296" s="365" t="n">
        <v>1</v>
      </c>
      <c r="Q296" s="366" t="n">
        <v>18</v>
      </c>
      <c r="R296" s="368" t="n">
        <v>0</v>
      </c>
      <c r="S296" s="368" t="n">
        <v>0</v>
      </c>
      <c r="T296" s="368" t="n">
        <v>0</v>
      </c>
      <c r="U296" s="368" t="n">
        <v>0</v>
      </c>
      <c r="V296" s="368">
        <f>S464+T464</f>
        <v/>
      </c>
      <c r="W296" s="368">
        <f>S464+T464+U464</f>
        <v/>
      </c>
      <c r="X296" s="368">
        <f>W464*Q464</f>
        <v/>
      </c>
      <c r="Y296" s="366" t="n">
        <v>39</v>
      </c>
      <c r="Z296" s="366" t="n">
        <v>39</v>
      </c>
      <c r="AA296" s="365">
        <f>IF(Y464=Z464,"No","Yes")</f>
        <v/>
      </c>
      <c r="AB296" s="365" t="e">
        <v>#N/A</v>
      </c>
      <c r="AC296" s="364" t="e">
        <v>#N/A</v>
      </c>
    </row>
    <row r="297" ht="18" customHeight="1" s="229">
      <c r="A297" s="590" t="inlineStr">
        <is>
          <t>Retro Swimsuit</t>
        </is>
      </c>
      <c r="B297" s="591" t="inlineStr">
        <is>
          <t>Active</t>
        </is>
      </c>
      <c r="C297" s="592" t="inlineStr">
        <is>
          <t>REMOVE</t>
        </is>
      </c>
      <c r="D297" s="593" t="inlineStr">
        <is>
          <t>Zero/negative sales</t>
        </is>
      </c>
      <c r="E297" s="593" t="inlineStr">
        <is>
          <t>2 — HIGH (dead product)</t>
        </is>
      </c>
      <c r="F297" s="594" t="inlineStr">
        <is>
          <t>Remove</t>
        </is>
      </c>
      <c r="G297" s="593" t="inlineStr">
        <is>
          <t>OOS</t>
        </is>
      </c>
      <c r="H297" s="595" t="n">
        <v>0</v>
      </c>
      <c r="I297" s="595" t="n">
        <v>0</v>
      </c>
      <c r="J297" s="595" t="n">
        <v>0</v>
      </c>
      <c r="K297" s="594" t="n"/>
      <c r="L297" s="597" t="n">
        <v>0</v>
      </c>
      <c r="M297" s="597" t="n"/>
      <c r="N297" s="594" t="n">
        <v>0</v>
      </c>
      <c r="O297" s="598" t="n">
        <v>0.9989</v>
      </c>
      <c r="P297" s="594" t="n">
        <v>1</v>
      </c>
      <c r="Q297" s="595" t="n">
        <v>18</v>
      </c>
      <c r="R297" s="597" t="n">
        <v>0</v>
      </c>
      <c r="S297" s="597" t="n">
        <v>0</v>
      </c>
      <c r="T297" s="597" t="n">
        <v>0</v>
      </c>
      <c r="U297" s="597" t="n">
        <v>0</v>
      </c>
      <c r="V297" s="597">
        <f>S466+T466</f>
        <v/>
      </c>
      <c r="W297" s="597">
        <f>S466+T466+U466</f>
        <v/>
      </c>
      <c r="X297" s="597">
        <f>W466*Q466</f>
        <v/>
      </c>
      <c r="Y297" s="595" t="n">
        <v>109</v>
      </c>
      <c r="Z297" s="595" t="n">
        <v>109</v>
      </c>
      <c r="AA297" s="594">
        <f>IF(Y466=Z466,"No","Yes")</f>
        <v/>
      </c>
      <c r="AB297" s="594" t="e">
        <v>#N/A</v>
      </c>
      <c r="AC297" s="593" t="e">
        <v>#N/A</v>
      </c>
    </row>
    <row r="298" ht="18" customHeight="1" s="229">
      <c r="A298" s="361" t="inlineStr">
        <is>
          <t>Breeze High Waist Bermuda Shorts</t>
        </is>
      </c>
      <c r="B298" s="362" t="inlineStr">
        <is>
          <t>Active</t>
        </is>
      </c>
      <c r="C298" s="589" t="inlineStr">
        <is>
          <t>REMOVE</t>
        </is>
      </c>
      <c r="D298" s="364" t="inlineStr">
        <is>
          <t>Zero/negative sales</t>
        </is>
      </c>
      <c r="E298" s="364" t="inlineStr">
        <is>
          <t>2 — HIGH (dead product)</t>
        </is>
      </c>
      <c r="F298" s="365" t="inlineStr">
        <is>
          <t>Remove</t>
        </is>
      </c>
      <c r="G298" s="364" t="n"/>
      <c r="H298" s="366" t="n">
        <v>0</v>
      </c>
      <c r="I298" s="366" t="n">
        <v>0</v>
      </c>
      <c r="J298" s="366" t="n">
        <v>0</v>
      </c>
      <c r="K298" s="365" t="n"/>
      <c r="L298" s="368" t="n">
        <v>0</v>
      </c>
      <c r="M298" s="368" t="n"/>
      <c r="N298" s="365" t="n">
        <v>0</v>
      </c>
      <c r="O298" s="369" t="n">
        <v>0.9989</v>
      </c>
      <c r="P298" s="365" t="n">
        <v>3</v>
      </c>
      <c r="Q298" s="366" t="n">
        <v>18</v>
      </c>
      <c r="R298" s="368" t="n">
        <v>0</v>
      </c>
      <c r="S298" s="368" t="n">
        <v>1</v>
      </c>
      <c r="T298" s="368" t="n">
        <v>28</v>
      </c>
      <c r="U298" s="368" t="n">
        <v>68</v>
      </c>
      <c r="V298" s="368">
        <f>S474+T474</f>
        <v/>
      </c>
      <c r="W298" s="368">
        <f>S474+T474+U474</f>
        <v/>
      </c>
      <c r="X298" s="368">
        <f>W474*Q474</f>
        <v/>
      </c>
      <c r="Y298" s="366" t="n">
        <v>69</v>
      </c>
      <c r="Z298" s="366" t="n">
        <v>48.3</v>
      </c>
      <c r="AA298" s="365">
        <f>IF(Y474=Z474,"No","Yes")</f>
        <v/>
      </c>
      <c r="AB298" s="365" t="inlineStr">
        <is>
          <t>NA232SO4101</t>
        </is>
      </c>
      <c r="AC298" s="364" t="inlineStr">
        <is>
          <t>横纹肌理针织高腰直筒短裤</t>
        </is>
      </c>
    </row>
    <row r="299" ht="18" customHeight="1" s="229">
      <c r="A299" s="604" t="inlineStr">
        <is>
          <t>LOUNGEWEAR  —  136 products</t>
        </is>
      </c>
      <c r="B299" s="603" t="n"/>
      <c r="C299" s="603" t="n"/>
      <c r="D299" s="603" t="n"/>
      <c r="E299" s="603" t="n"/>
      <c r="F299" s="603" t="n"/>
      <c r="G299" s="603" t="n"/>
      <c r="H299" s="603" t="n"/>
      <c r="I299" s="603" t="n"/>
      <c r="J299" s="603" t="n"/>
      <c r="K299" s="603" t="n"/>
      <c r="L299" s="603" t="n"/>
      <c r="M299" s="603" t="n"/>
      <c r="N299" s="603" t="n"/>
      <c r="O299" s="603" t="n"/>
      <c r="P299" s="603" t="n"/>
      <c r="Q299" s="603" t="n"/>
      <c r="R299" s="603" t="n"/>
      <c r="S299" s="603" t="n"/>
      <c r="T299" s="603" t="n"/>
      <c r="U299" s="603" t="n"/>
      <c r="V299" s="603" t="n"/>
      <c r="W299" s="603" t="n"/>
      <c r="X299" s="603" t="n"/>
      <c r="Y299" s="603" t="n"/>
      <c r="Z299" s="603" t="n"/>
      <c r="AA299" s="603" t="n"/>
      <c r="AB299" s="603" t="n"/>
      <c r="AC299" s="603" t="n"/>
    </row>
    <row r="300" ht="18" customHeight="1" s="229">
      <c r="A300" s="578" t="inlineStr">
        <is>
          <t>Barely Zero Lycra Leggings</t>
        </is>
      </c>
      <c r="B300" s="579" t="inlineStr">
        <is>
          <t>Loungewear</t>
        </is>
      </c>
      <c r="C300" s="580" t="inlineStr">
        <is>
          <t>KEEP — Tier 1</t>
        </is>
      </c>
      <c r="D300" s="581" t="inlineStr">
        <is>
          <t>Core Barely Zero</t>
        </is>
      </c>
      <c r="E300" s="581" t="n"/>
      <c r="F300" s="582" t="inlineStr">
        <is>
          <t>Keep</t>
        </is>
      </c>
      <c r="G300" s="581" t="inlineStr">
        <is>
          <t>Keep</t>
        </is>
      </c>
      <c r="H300" s="583" t="n">
        <v>7425.190000000001</v>
      </c>
      <c r="I300" s="583" t="n">
        <v>10731</v>
      </c>
      <c r="J300" s="583" t="n">
        <v>-3034.53</v>
      </c>
      <c r="K300" s="584" t="n">
        <v>0.283</v>
      </c>
      <c r="L300" s="585" t="n">
        <v>211</v>
      </c>
      <c r="M300" s="583" t="n">
        <v>35.19</v>
      </c>
      <c r="N300" s="586" t="n">
        <v>0.004099999999999999</v>
      </c>
      <c r="O300" s="586" t="n">
        <v>0.7376999999999999</v>
      </c>
      <c r="P300" s="582" t="n">
        <v>2</v>
      </c>
      <c r="Q300" s="583" t="n">
        <v>15</v>
      </c>
      <c r="R300" s="585" t="n">
        <v>196</v>
      </c>
      <c r="S300" s="585" t="n">
        <v>0</v>
      </c>
      <c r="T300" s="585" t="n">
        <v>352</v>
      </c>
      <c r="U300" s="585" t="n">
        <v>0</v>
      </c>
      <c r="V300" s="585">
        <f>S23+T23</f>
        <v/>
      </c>
      <c r="W300" s="585">
        <f>S23+T23+U23</f>
        <v/>
      </c>
      <c r="X300" s="585">
        <f>W23*Q23</f>
        <v/>
      </c>
      <c r="Y300" s="583" t="n">
        <v>49</v>
      </c>
      <c r="Z300" s="583" t="n">
        <v>49</v>
      </c>
      <c r="AA300" s="582">
        <f>IF(Y23=Z23,"No","Yes")</f>
        <v/>
      </c>
      <c r="AB300" s="582" t="inlineStr">
        <is>
          <t>NW222WF4108</t>
        </is>
      </c>
      <c r="AC300" s="581" t="inlineStr">
        <is>
          <t>高腰打底长裤(来卡版）</t>
        </is>
      </c>
    </row>
    <row r="301" ht="18" customHeight="1" s="229">
      <c r="A301" s="569" t="inlineStr">
        <is>
          <t>Barely Zero Biker Shorts</t>
        </is>
      </c>
      <c r="B301" s="570" t="inlineStr">
        <is>
          <t>Loungewear</t>
        </is>
      </c>
      <c r="C301" s="571" t="inlineStr">
        <is>
          <t>KEEP — Tier 1</t>
        </is>
      </c>
      <c r="D301" s="572" t="inlineStr">
        <is>
          <t>Core Barely Zero</t>
        </is>
      </c>
      <c r="E301" s="572" t="n"/>
      <c r="F301" s="573" t="inlineStr">
        <is>
          <t>Keep</t>
        </is>
      </c>
      <c r="G301" s="572" t="inlineStr">
        <is>
          <t>Keep</t>
        </is>
      </c>
      <c r="H301" s="574" t="n">
        <v>7234.21</v>
      </c>
      <c r="I301" s="574" t="n">
        <v>10529</v>
      </c>
      <c r="J301" s="574" t="n">
        <v>-2799.3</v>
      </c>
      <c r="K301" s="575" t="n">
        <v>0.266</v>
      </c>
      <c r="L301" s="576" t="n">
        <v>282</v>
      </c>
      <c r="M301" s="574" t="n">
        <v>25.65</v>
      </c>
      <c r="N301" s="577" t="n">
        <v>0.004</v>
      </c>
      <c r="O301" s="577" t="n">
        <v>0.7458</v>
      </c>
      <c r="P301" s="573" t="n">
        <v>3</v>
      </c>
      <c r="Q301" s="574" t="n">
        <v>15</v>
      </c>
      <c r="R301" s="576" t="n">
        <v>287</v>
      </c>
      <c r="S301" s="576" t="n">
        <v>2814</v>
      </c>
      <c r="T301" s="576" t="n">
        <v>0</v>
      </c>
      <c r="U301" s="576" t="n">
        <v>0</v>
      </c>
      <c r="V301" s="576">
        <f>S25+T25</f>
        <v/>
      </c>
      <c r="W301" s="576">
        <f>S25+T25+U25</f>
        <v/>
      </c>
      <c r="X301" s="576">
        <f>W25*Q25</f>
        <v/>
      </c>
      <c r="Y301" s="574" t="n">
        <v>35</v>
      </c>
      <c r="Z301" s="574" t="n">
        <v>35</v>
      </c>
      <c r="AA301" s="573">
        <f>IF(Y25=Z25,"No","Yes")</f>
        <v/>
      </c>
      <c r="AB301" s="573" t="inlineStr">
        <is>
          <t>NW221WF4101</t>
        </is>
      </c>
      <c r="AC301" s="572" t="inlineStr">
        <is>
          <t>无尺码高腰打底短裤</t>
        </is>
      </c>
    </row>
    <row r="302" ht="18" customHeight="1" s="229">
      <c r="A302" s="578" t="inlineStr">
        <is>
          <t>Barely Zero Leggings</t>
        </is>
      </c>
      <c r="B302" s="579" t="inlineStr">
        <is>
          <t>Loungewear</t>
        </is>
      </c>
      <c r="C302" s="580" t="inlineStr">
        <is>
          <t>KEEP — Tier 1</t>
        </is>
      </c>
      <c r="D302" s="581" t="inlineStr">
        <is>
          <t>Core Barely Zero</t>
        </is>
      </c>
      <c r="E302" s="581" t="n"/>
      <c r="F302" s="582" t="inlineStr">
        <is>
          <t>Keep</t>
        </is>
      </c>
      <c r="G302" s="581" t="inlineStr">
        <is>
          <t>Keep</t>
        </is>
      </c>
      <c r="H302" s="583" t="n">
        <v>5291.65</v>
      </c>
      <c r="I302" s="583" t="n">
        <v>7554.3</v>
      </c>
      <c r="J302" s="583" t="n">
        <v>-1967.33</v>
      </c>
      <c r="K302" s="584" t="n">
        <v>0.26</v>
      </c>
      <c r="L302" s="585" t="n">
        <v>184</v>
      </c>
      <c r="M302" s="583" t="n">
        <v>28.76</v>
      </c>
      <c r="N302" s="586" t="n">
        <v>0.0029</v>
      </c>
      <c r="O302" s="586" t="n">
        <v>0.7729</v>
      </c>
      <c r="P302" s="582" t="n">
        <v>3</v>
      </c>
      <c r="Q302" s="583" t="n">
        <v>15</v>
      </c>
      <c r="R302" s="585" t="n">
        <v>178</v>
      </c>
      <c r="S302" s="585" t="n">
        <v>249</v>
      </c>
      <c r="T302" s="585" t="n">
        <v>0</v>
      </c>
      <c r="U302" s="585" t="n">
        <v>239</v>
      </c>
      <c r="V302" s="585">
        <f>S33+T33</f>
        <v/>
      </c>
      <c r="W302" s="585">
        <f>S33+T33+U33</f>
        <v/>
      </c>
      <c r="X302" s="585">
        <f>W33*Q33</f>
        <v/>
      </c>
      <c r="Y302" s="583" t="n">
        <v>39</v>
      </c>
      <c r="Z302" s="583" t="n">
        <v>39</v>
      </c>
      <c r="AA302" s="582">
        <f>IF(Y33=Z33,"No","Yes")</f>
        <v/>
      </c>
      <c r="AB302" s="582" t="inlineStr">
        <is>
          <t>NW221WF4102</t>
        </is>
      </c>
      <c r="AC302" s="581" t="inlineStr">
        <is>
          <t>高腰打底长裤</t>
        </is>
      </c>
    </row>
    <row r="303" ht="18" customHeight="1" s="229">
      <c r="A303" s="569" t="inlineStr">
        <is>
          <t>Washable Wool Mock Neck Sweater</t>
        </is>
      </c>
      <c r="B303" s="570" t="inlineStr">
        <is>
          <t>Loungewear</t>
        </is>
      </c>
      <c r="C303" s="588" t="inlineStr">
        <is>
          <t>KEEP — Tier 2</t>
        </is>
      </c>
      <c r="D303" s="572" t="inlineStr">
        <is>
          <t>Strategic non-BZ keeper</t>
        </is>
      </c>
      <c r="E303" s="572" t="n"/>
      <c r="F303" s="573" t="inlineStr">
        <is>
          <t>Remove</t>
        </is>
      </c>
      <c r="G303" s="572" t="inlineStr">
        <is>
          <t>Do we want to keep wool/cashmere category?</t>
        </is>
      </c>
      <c r="H303" s="574" t="n">
        <v>4750.27</v>
      </c>
      <c r="I303" s="574" t="n">
        <v>6979.7</v>
      </c>
      <c r="J303" s="574" t="n">
        <v>-2146.62</v>
      </c>
      <c r="K303" s="575" t="n">
        <v>0.308</v>
      </c>
      <c r="L303" s="576" t="n">
        <v>58</v>
      </c>
      <c r="M303" s="574" t="n">
        <v>81.90000000000001</v>
      </c>
      <c r="N303" s="577" t="n">
        <v>0.0026</v>
      </c>
      <c r="O303" s="577" t="n">
        <v>0.7755</v>
      </c>
      <c r="P303" s="573" t="n">
        <v>8</v>
      </c>
      <c r="Q303" s="574" t="n">
        <v>15</v>
      </c>
      <c r="R303" s="576" t="n">
        <v>59</v>
      </c>
      <c r="S303" s="576" t="n">
        <v>0</v>
      </c>
      <c r="T303" s="576" t="n">
        <v>9</v>
      </c>
      <c r="U303" s="576" t="n">
        <v>68</v>
      </c>
      <c r="V303" s="576">
        <f>S34+T34</f>
        <v/>
      </c>
      <c r="W303" s="576">
        <f>S34+T34+U34</f>
        <v/>
      </c>
      <c r="X303" s="576">
        <f>W34*Q34</f>
        <v/>
      </c>
      <c r="Y303" s="574" t="n">
        <v>169</v>
      </c>
      <c r="Z303" s="574" t="n">
        <v>118.3</v>
      </c>
      <c r="AA303" s="573">
        <f>IF(Y34=Z34,"No","Yes")</f>
        <v/>
      </c>
      <c r="AB303" s="573" t="inlineStr">
        <is>
          <t>NW232WB3427</t>
        </is>
      </c>
      <c r="AC303" s="572" t="inlineStr">
        <is>
          <t>半高领套头衫</t>
        </is>
      </c>
    </row>
    <row r="304" ht="18" customHeight="1" s="229">
      <c r="A304" s="578" t="inlineStr">
        <is>
          <t>Silk Modal Pajama Pants</t>
        </is>
      </c>
      <c r="B304" s="579" t="inlineStr">
        <is>
          <t>Loungewear</t>
        </is>
      </c>
      <c r="C304" s="587" t="inlineStr">
        <is>
          <t>KEEP — Tier 2</t>
        </is>
      </c>
      <c r="D304" s="581" t="inlineStr">
        <is>
          <t>Strategic non-BZ keeper</t>
        </is>
      </c>
      <c r="E304" s="581" t="n"/>
      <c r="F304" s="582" t="inlineStr">
        <is>
          <t>Keep</t>
        </is>
      </c>
      <c r="G304" s="581" t="inlineStr">
        <is>
          <t>Keep Partial, Silk Modal PJ set</t>
        </is>
      </c>
      <c r="H304" s="583" t="n">
        <v>4593.51</v>
      </c>
      <c r="I304" s="583" t="n">
        <v>6609.86</v>
      </c>
      <c r="J304" s="583" t="n">
        <v>-1760.94</v>
      </c>
      <c r="K304" s="584" t="n">
        <v>0.266</v>
      </c>
      <c r="L304" s="585" t="n">
        <v>130</v>
      </c>
      <c r="M304" s="583" t="n">
        <v>35.33</v>
      </c>
      <c r="N304" s="586" t="n">
        <v>0.0025</v>
      </c>
      <c r="O304" s="586" t="n">
        <v>0.778</v>
      </c>
      <c r="P304" s="582" t="n">
        <v>11</v>
      </c>
      <c r="Q304" s="583" t="n">
        <v>15</v>
      </c>
      <c r="R304" s="585" t="n">
        <v>137</v>
      </c>
      <c r="S304" s="585" t="n">
        <v>0</v>
      </c>
      <c r="T304" s="585" t="n">
        <v>33</v>
      </c>
      <c r="U304" s="585" t="n">
        <v>572</v>
      </c>
      <c r="V304" s="585">
        <f>S35+T35</f>
        <v/>
      </c>
      <c r="W304" s="585">
        <f>S35+T35+U35</f>
        <v/>
      </c>
      <c r="X304" s="585">
        <f>W35*Q35</f>
        <v/>
      </c>
      <c r="Y304" s="583" t="n">
        <v>69</v>
      </c>
      <c r="Z304" s="583" t="n">
        <v>48.3</v>
      </c>
      <c r="AA304" s="582">
        <f>IF(Y35=Z35,"No","Yes")</f>
        <v/>
      </c>
      <c r="AB304" s="582" t="inlineStr">
        <is>
          <t>NW231WL4004</t>
        </is>
      </c>
      <c r="AC304" s="581" t="inlineStr">
        <is>
          <t>针梭拼睡裤</t>
        </is>
      </c>
    </row>
    <row r="305" ht="18" customHeight="1" s="229">
      <c r="A305" s="569" t="inlineStr">
        <is>
          <t>Half Sleeve Merino Wool Sweater</t>
        </is>
      </c>
      <c r="B305" s="570" t="inlineStr">
        <is>
          <t>Loungewear</t>
        </is>
      </c>
      <c r="C305" s="588" t="inlineStr">
        <is>
          <t>KEEP — Tier 2</t>
        </is>
      </c>
      <c r="D305" s="572" t="inlineStr">
        <is>
          <t>Strategic non-BZ keeper</t>
        </is>
      </c>
      <c r="E305" s="572" t="n"/>
      <c r="F305" s="573" t="inlineStr">
        <is>
          <t>Remove</t>
        </is>
      </c>
      <c r="G305" s="572" t="inlineStr">
        <is>
          <t>Do we want to keep wool/cashmere category?</t>
        </is>
      </c>
      <c r="H305" s="574" t="n">
        <v>4353.62</v>
      </c>
      <c r="I305" s="574" t="n">
        <v>6140.4</v>
      </c>
      <c r="J305" s="574" t="n">
        <v>-1786.78</v>
      </c>
      <c r="K305" s="575" t="n">
        <v>0.291</v>
      </c>
      <c r="L305" s="576" t="n">
        <v>68</v>
      </c>
      <c r="M305" s="574" t="n">
        <v>64.02</v>
      </c>
      <c r="N305" s="577" t="n">
        <v>0.0024</v>
      </c>
      <c r="O305" s="577" t="n">
        <v>0.7853</v>
      </c>
      <c r="P305" s="573" t="n">
        <v>9</v>
      </c>
      <c r="Q305" s="574" t="n">
        <v>15</v>
      </c>
      <c r="R305" s="576" t="n">
        <v>67</v>
      </c>
      <c r="S305" s="576" t="n">
        <v>0</v>
      </c>
      <c r="T305" s="576" t="n">
        <v>29</v>
      </c>
      <c r="U305" s="576" t="n">
        <v>425</v>
      </c>
      <c r="V305" s="576">
        <f>S38+T38</f>
        <v/>
      </c>
      <c r="W305" s="576">
        <f>S38+T38+U38</f>
        <v/>
      </c>
      <c r="X305" s="576">
        <f>W38*Q38</f>
        <v/>
      </c>
      <c r="Y305" s="574" t="n">
        <v>129</v>
      </c>
      <c r="Z305" s="574" t="n">
        <v>90.3</v>
      </c>
      <c r="AA305" s="573">
        <f>IF(Y38=Z38,"No","Yes")</f>
        <v/>
      </c>
      <c r="AB305" s="573" t="inlineStr">
        <is>
          <t>NW222WB3403</t>
        </is>
      </c>
      <c r="AC305" s="572" t="inlineStr">
        <is>
          <t>五分袖毛织套衫</t>
        </is>
      </c>
    </row>
    <row r="306" ht="18" customHeight="1" s="229">
      <c r="A306" s="578" t="inlineStr">
        <is>
          <t>Washable Wool V-Neck Sweater</t>
        </is>
      </c>
      <c r="B306" s="579" t="inlineStr">
        <is>
          <t>Loungewear</t>
        </is>
      </c>
      <c r="C306" s="587" t="inlineStr">
        <is>
          <t>KEEP — Tier 2</t>
        </is>
      </c>
      <c r="D306" s="581" t="inlineStr">
        <is>
          <t>Strategic non-BZ keeper</t>
        </is>
      </c>
      <c r="E306" s="581" t="n"/>
      <c r="F306" s="582" t="inlineStr">
        <is>
          <t>Remove</t>
        </is>
      </c>
      <c r="G306" s="581" t="inlineStr">
        <is>
          <t>Do we want to keep wool/cashmere category?</t>
        </is>
      </c>
      <c r="H306" s="583" t="n">
        <v>4305.62</v>
      </c>
      <c r="I306" s="583" t="n">
        <v>5945.099999999999</v>
      </c>
      <c r="J306" s="583" t="n">
        <v>-1493.46</v>
      </c>
      <c r="K306" s="584" t="n">
        <v>0.251</v>
      </c>
      <c r="L306" s="585" t="n">
        <v>55</v>
      </c>
      <c r="M306" s="583" t="n">
        <v>78.28</v>
      </c>
      <c r="N306" s="586" t="n">
        <v>0.0024</v>
      </c>
      <c r="O306" s="586" t="n">
        <v>0.7877</v>
      </c>
      <c r="P306" s="582" t="n">
        <v>8</v>
      </c>
      <c r="Q306" s="583" t="n">
        <v>15</v>
      </c>
      <c r="R306" s="585" t="n">
        <v>57</v>
      </c>
      <c r="S306" s="585" t="n">
        <v>15</v>
      </c>
      <c r="T306" s="585" t="n">
        <v>18</v>
      </c>
      <c r="U306" s="585" t="n">
        <v>28</v>
      </c>
      <c r="V306" s="585">
        <f>S39+T39</f>
        <v/>
      </c>
      <c r="W306" s="585">
        <f>S39+T39+U39</f>
        <v/>
      </c>
      <c r="X306" s="585">
        <f>W39*Q39</f>
        <v/>
      </c>
      <c r="Y306" s="583" t="n">
        <v>149</v>
      </c>
      <c r="Z306" s="583" t="n">
        <v>104.3</v>
      </c>
      <c r="AA306" s="582">
        <f>IF(Y39=Z39,"No","Yes")</f>
        <v/>
      </c>
      <c r="AB306" s="582" t="inlineStr">
        <is>
          <t>NW232WB3423</t>
        </is>
      </c>
      <c r="AC306" s="581" t="inlineStr">
        <is>
          <t>心形领套衫</t>
        </is>
      </c>
    </row>
    <row r="307" ht="18" customHeight="1" s="229">
      <c r="A307" s="590" t="inlineStr">
        <is>
          <t>Mid-Rise Bootcut Jeans</t>
        </is>
      </c>
      <c r="B307" s="591" t="inlineStr">
        <is>
          <t>Loungewear</t>
        </is>
      </c>
      <c r="C307" s="592" t="inlineStr">
        <is>
          <t>REMOVE</t>
        </is>
      </c>
      <c r="D307" s="593" t="inlineStr">
        <is>
          <t>Below threshold — long tail</t>
        </is>
      </c>
      <c r="E307" s="593" t="inlineStr">
        <is>
          <t>3 — MEDIUM (selldown or markdown)</t>
        </is>
      </c>
      <c r="F307" s="594" t="inlineStr">
        <is>
          <t>Remove</t>
        </is>
      </c>
      <c r="G307" s="593" t="n"/>
      <c r="H307" s="595" t="n">
        <v>3833.93</v>
      </c>
      <c r="I307" s="595" t="n">
        <v>8244.299999999999</v>
      </c>
      <c r="J307" s="595" t="n">
        <v>-2261.87</v>
      </c>
      <c r="K307" s="600" t="n">
        <v>0.274</v>
      </c>
      <c r="L307" s="597" t="n">
        <v>28</v>
      </c>
      <c r="M307" s="595" t="n">
        <v>136.93</v>
      </c>
      <c r="N307" s="598" t="n">
        <v>0.0021</v>
      </c>
      <c r="O307" s="598" t="n">
        <v>0.7968000000000001</v>
      </c>
      <c r="P307" s="594" t="n">
        <v>8</v>
      </c>
      <c r="Q307" s="595" t="n">
        <v>15</v>
      </c>
      <c r="R307" s="597" t="n">
        <v>44</v>
      </c>
      <c r="S307" s="597" t="n">
        <v>0</v>
      </c>
      <c r="T307" s="597" t="n">
        <v>26</v>
      </c>
      <c r="U307" s="597" t="n">
        <v>0</v>
      </c>
      <c r="V307" s="597">
        <f>S43+T43</f>
        <v/>
      </c>
      <c r="W307" s="597">
        <f>S43+T43+U43</f>
        <v/>
      </c>
      <c r="X307" s="597">
        <f>W43*Q43</f>
        <v/>
      </c>
      <c r="Y307" s="595" t="n">
        <v>189</v>
      </c>
      <c r="Z307" s="595" t="n">
        <v>189</v>
      </c>
      <c r="AA307" s="594">
        <f>IF(Y43=Z43,"No","Yes")</f>
        <v/>
      </c>
      <c r="AB307" s="594" t="inlineStr">
        <is>
          <t>NW252WB4101</t>
        </is>
      </c>
      <c r="AC307" s="593" t="inlineStr">
        <is>
          <t>意大利环保弹力中腰微喇牛仔裤</t>
        </is>
      </c>
    </row>
    <row r="308" ht="18" customHeight="1" s="229">
      <c r="A308" s="361" t="inlineStr">
        <is>
          <t>Classic Cozy Pajama Pants 3.0</t>
        </is>
      </c>
      <c r="B308" s="362" t="inlineStr">
        <is>
          <t>Loungewear</t>
        </is>
      </c>
      <c r="C308" s="589" t="inlineStr">
        <is>
          <t>REMOVE</t>
        </is>
      </c>
      <c r="D308" s="364" t="inlineStr">
        <is>
          <t>Below threshold — long tail</t>
        </is>
      </c>
      <c r="E308" s="364" t="inlineStr">
        <is>
          <t>3 — MEDIUM (selldown or markdown)</t>
        </is>
      </c>
      <c r="F308" s="365" t="inlineStr">
        <is>
          <t>Remove</t>
        </is>
      </c>
      <c r="G308" s="364" t="n"/>
      <c r="H308" s="366" t="n">
        <v>3692.59</v>
      </c>
      <c r="I308" s="366" t="n">
        <v>5134.5</v>
      </c>
      <c r="J308" s="366" t="n">
        <v>-1245.03</v>
      </c>
      <c r="K308" s="380" t="n">
        <v>0.242</v>
      </c>
      <c r="L308" s="368" t="n">
        <v>93</v>
      </c>
      <c r="M308" s="366" t="n">
        <v>39.71</v>
      </c>
      <c r="N308" s="369" t="n">
        <v>0.002</v>
      </c>
      <c r="O308" s="369" t="n">
        <v>0.8009000000000001</v>
      </c>
      <c r="P308" s="365" t="n">
        <v>15</v>
      </c>
      <c r="Q308" s="366" t="n">
        <v>15</v>
      </c>
      <c r="R308" s="368" t="n">
        <v>98</v>
      </c>
      <c r="S308" s="368" t="n">
        <v>0</v>
      </c>
      <c r="T308" s="368" t="n">
        <v>43</v>
      </c>
      <c r="U308" s="368" t="n">
        <v>1009</v>
      </c>
      <c r="V308" s="368">
        <f>S45+T45</f>
        <v/>
      </c>
      <c r="W308" s="368">
        <f>S45+T45+U45</f>
        <v/>
      </c>
      <c r="X308" s="368">
        <f>W45*Q45</f>
        <v/>
      </c>
      <c r="Y308" s="366" t="n">
        <v>75</v>
      </c>
      <c r="Z308" s="366" t="n">
        <v>52.5</v>
      </c>
      <c r="AA308" s="365">
        <f>IF(Y45=Z45,"No","Yes")</f>
        <v/>
      </c>
      <c r="AB308" s="365" t="inlineStr">
        <is>
          <t>NW222WL4003</t>
        </is>
      </c>
      <c r="AC308" s="364" t="inlineStr">
        <is>
          <t>针梭拼睡裤</t>
        </is>
      </c>
    </row>
    <row r="309" ht="18" customHeight="1" s="229">
      <c r="A309" s="590" t="inlineStr">
        <is>
          <t>Cotton Cozy Pajama Set</t>
        </is>
      </c>
      <c r="B309" s="591" t="inlineStr">
        <is>
          <t>Loungewear</t>
        </is>
      </c>
      <c r="C309" s="592" t="inlineStr">
        <is>
          <t>REMOVE</t>
        </is>
      </c>
      <c r="D309" s="593" t="inlineStr">
        <is>
          <t>Below threshold — long tail</t>
        </is>
      </c>
      <c r="E309" s="593" t="inlineStr">
        <is>
          <t>4 — LOW (natural sellthrough)</t>
        </is>
      </c>
      <c r="F309" s="594" t="inlineStr">
        <is>
          <t>Remove</t>
        </is>
      </c>
      <c r="G309" s="593" t="n"/>
      <c r="H309" s="595" t="n">
        <v>3595.11</v>
      </c>
      <c r="I309" s="595" t="n">
        <v>4910.5</v>
      </c>
      <c r="J309" s="595" t="n">
        <v>-1259.04</v>
      </c>
      <c r="K309" s="600" t="n">
        <v>0.256</v>
      </c>
      <c r="L309" s="597" t="n">
        <v>60</v>
      </c>
      <c r="M309" s="595" t="n">
        <v>59.92</v>
      </c>
      <c r="N309" s="598" t="n">
        <v>0.002</v>
      </c>
      <c r="O309" s="598" t="n">
        <v>0.8029000000000001</v>
      </c>
      <c r="P309" s="594" t="n">
        <v>7</v>
      </c>
      <c r="Q309" s="595" t="n">
        <v>15</v>
      </c>
      <c r="R309" s="597" t="n">
        <v>61</v>
      </c>
      <c r="S309" s="597" t="n">
        <v>0</v>
      </c>
      <c r="T309" s="597" t="n">
        <v>10</v>
      </c>
      <c r="U309" s="597" t="n">
        <v>200</v>
      </c>
      <c r="V309" s="597">
        <f>S46+T46</f>
        <v/>
      </c>
      <c r="W309" s="597">
        <f>S46+T46+U46</f>
        <v/>
      </c>
      <c r="X309" s="597">
        <f>W46*Q46</f>
        <v/>
      </c>
      <c r="Y309" s="595" t="n">
        <v>115</v>
      </c>
      <c r="Z309" s="595" t="n">
        <v>80.5</v>
      </c>
      <c r="AA309" s="594">
        <f>IF(Y46=Z46,"No","Yes")</f>
        <v/>
      </c>
      <c r="AB309" s="594" t="inlineStr">
        <is>
          <t>NW232WL5708</t>
        </is>
      </c>
      <c r="AC309" s="593" t="inlineStr">
        <is>
          <t>舒舒棉经典长袖家居服套装</t>
        </is>
      </c>
    </row>
    <row r="310" ht="18" customHeight="1" s="229">
      <c r="A310" s="361" t="inlineStr">
        <is>
          <t>Classic Cozy Padded Pajama Dress</t>
        </is>
      </c>
      <c r="B310" s="362" t="inlineStr">
        <is>
          <t>Loungewear</t>
        </is>
      </c>
      <c r="C310" s="589" t="inlineStr">
        <is>
          <t>REMOVE</t>
        </is>
      </c>
      <c r="D310" s="364" t="inlineStr">
        <is>
          <t>Below threshold — long tail</t>
        </is>
      </c>
      <c r="E310" s="364" t="inlineStr">
        <is>
          <t>3 — MEDIUM (selldown or markdown)</t>
        </is>
      </c>
      <c r="F310" s="365" t="inlineStr">
        <is>
          <t>Keep</t>
        </is>
      </c>
      <c r="G310" s="364" t="inlineStr">
        <is>
          <t>Keep, Classic Cozy PJ</t>
        </is>
      </c>
      <c r="H310" s="366" t="n">
        <v>3435.55</v>
      </c>
      <c r="I310" s="366" t="n">
        <v>5066.32</v>
      </c>
      <c r="J310" s="366" t="n">
        <v>-1306.49</v>
      </c>
      <c r="K310" s="367" t="n">
        <v>0.258</v>
      </c>
      <c r="L310" s="368" t="n">
        <v>61</v>
      </c>
      <c r="M310" s="366" t="n">
        <v>56.32</v>
      </c>
      <c r="N310" s="369" t="n">
        <v>0.0019</v>
      </c>
      <c r="O310" s="369" t="n">
        <v>0.8067</v>
      </c>
      <c r="P310" s="365" t="n">
        <v>8</v>
      </c>
      <c r="Q310" s="366" t="n">
        <v>15</v>
      </c>
      <c r="R310" s="368" t="n">
        <v>67</v>
      </c>
      <c r="S310" s="368" t="n">
        <v>0</v>
      </c>
      <c r="T310" s="368" t="n">
        <v>19</v>
      </c>
      <c r="U310" s="368" t="n">
        <v>66</v>
      </c>
      <c r="V310" s="368">
        <f>S48+T48</f>
        <v/>
      </c>
      <c r="W310" s="368">
        <f>S48+T48+U48</f>
        <v/>
      </c>
      <c r="X310" s="368">
        <f>W48*Q48</f>
        <v/>
      </c>
      <c r="Y310" s="366" t="n">
        <v>109</v>
      </c>
      <c r="Z310" s="366" t="n">
        <v>76.3</v>
      </c>
      <c r="AA310" s="365">
        <f>IF(Y48=Z48,"No","Yes")</f>
        <v/>
      </c>
      <c r="AB310" s="365" t="inlineStr">
        <is>
          <t>NW232WL5003</t>
        </is>
      </c>
      <c r="AC310" s="364" t="inlineStr">
        <is>
          <t>带胸垫睡裙</t>
        </is>
      </c>
    </row>
    <row r="311" ht="18" customHeight="1" s="229">
      <c r="A311" s="569" t="inlineStr">
        <is>
          <t>Essential Cashmere U-Neck Thermal Underwear Top</t>
        </is>
      </c>
      <c r="B311" s="570" t="inlineStr">
        <is>
          <t>Loungewear</t>
        </is>
      </c>
      <c r="C311" s="588" t="inlineStr">
        <is>
          <t>KEEP — Tier 2</t>
        </is>
      </c>
      <c r="D311" s="572" t="inlineStr">
        <is>
          <t>Strategic non-BZ keeper</t>
        </is>
      </c>
      <c r="E311" s="572" t="n"/>
      <c r="F311" s="573" t="inlineStr">
        <is>
          <t>Remove</t>
        </is>
      </c>
      <c r="G311" s="572" t="inlineStr">
        <is>
          <t>Do we want to keep thermal category?</t>
        </is>
      </c>
      <c r="H311" s="574" t="n">
        <v>3345.49</v>
      </c>
      <c r="I311" s="574" t="n">
        <v>4508</v>
      </c>
      <c r="J311" s="574" t="n">
        <v>-1162.51</v>
      </c>
      <c r="K311" s="575" t="n">
        <v>0.258</v>
      </c>
      <c r="L311" s="576" t="n">
        <v>92</v>
      </c>
      <c r="M311" s="574" t="n">
        <v>36.36</v>
      </c>
      <c r="N311" s="577" t="n">
        <v>0.0018</v>
      </c>
      <c r="O311" s="577" t="n">
        <v>0.8104</v>
      </c>
      <c r="P311" s="573" t="n">
        <v>5</v>
      </c>
      <c r="Q311" s="574" t="n">
        <v>15</v>
      </c>
      <c r="R311" s="576" t="n">
        <v>79</v>
      </c>
      <c r="S311" s="576" t="n">
        <v>0</v>
      </c>
      <c r="T311" s="576" t="n">
        <v>65</v>
      </c>
      <c r="U311" s="576" t="n">
        <v>314</v>
      </c>
      <c r="V311" s="576">
        <f>S50+T50</f>
        <v/>
      </c>
      <c r="W311" s="576">
        <f>S50+T50+U50</f>
        <v/>
      </c>
      <c r="X311" s="576">
        <f>W50*Q50</f>
        <v/>
      </c>
      <c r="Y311" s="574" t="n">
        <v>98</v>
      </c>
      <c r="Z311" s="574" t="n">
        <v>49</v>
      </c>
      <c r="AA311" s="573">
        <f>IF(Y50=Z50,"No","Yes")</f>
        <v/>
      </c>
      <c r="AB311" s="573" t="inlineStr">
        <is>
          <t>N212WL3109</t>
        </is>
      </c>
      <c r="AC311" s="572" t="inlineStr">
        <is>
          <t>V领七分袖上衣</t>
        </is>
      </c>
    </row>
    <row r="312" ht="18" customHeight="1" s="229">
      <c r="A312" s="361" t="inlineStr">
        <is>
          <t>Cotton Cozy Lounge Pants</t>
        </is>
      </c>
      <c r="B312" s="362" t="inlineStr">
        <is>
          <t>Loungewear</t>
        </is>
      </c>
      <c r="C312" s="589" t="inlineStr">
        <is>
          <t>REMOVE</t>
        </is>
      </c>
      <c r="D312" s="364" t="inlineStr">
        <is>
          <t>Below threshold — long tail</t>
        </is>
      </c>
      <c r="E312" s="364" t="inlineStr">
        <is>
          <t>3 — MEDIUM (selldown or markdown)</t>
        </is>
      </c>
      <c r="F312" s="365" t="inlineStr">
        <is>
          <t>Remove</t>
        </is>
      </c>
      <c r="G312" s="364" t="n"/>
      <c r="H312" s="366" t="n">
        <v>3316.59</v>
      </c>
      <c r="I312" s="366" t="n">
        <v>4735.5</v>
      </c>
      <c r="J312" s="366" t="n">
        <v>-1291.86</v>
      </c>
      <c r="K312" s="367" t="n">
        <v>0.273</v>
      </c>
      <c r="L312" s="368" t="n">
        <v>118</v>
      </c>
      <c r="M312" s="366" t="n">
        <v>28.11</v>
      </c>
      <c r="N312" s="369" t="n">
        <v>0.0018</v>
      </c>
      <c r="O312" s="369" t="n">
        <v>0.8140000000000001</v>
      </c>
      <c r="P312" s="365" t="n">
        <v>13</v>
      </c>
      <c r="Q312" s="366" t="n">
        <v>15</v>
      </c>
      <c r="R312" s="368" t="n">
        <v>122</v>
      </c>
      <c r="S312" s="368" t="n">
        <v>10</v>
      </c>
      <c r="T312" s="368" t="n">
        <v>23</v>
      </c>
      <c r="U312" s="368" t="n">
        <v>392</v>
      </c>
      <c r="V312" s="368">
        <f>S52+T52</f>
        <v/>
      </c>
      <c r="W312" s="368">
        <f>S52+T52+U52</f>
        <v/>
      </c>
      <c r="X312" s="368">
        <f>W52*Q52</f>
        <v/>
      </c>
      <c r="Y312" s="366" t="n">
        <v>55</v>
      </c>
      <c r="Z312" s="366" t="n">
        <v>38.5</v>
      </c>
      <c r="AA312" s="365">
        <f>IF(Y52=Z52,"No","Yes")</f>
        <v/>
      </c>
      <c r="AB312" s="365" t="inlineStr">
        <is>
          <t>NW232WL4104</t>
        </is>
      </c>
      <c r="AC312" s="364" t="inlineStr">
        <is>
          <t>舒舒棉九分直筒家居长裤</t>
        </is>
      </c>
    </row>
    <row r="313" ht="18" customHeight="1" s="229">
      <c r="A313" s="590" t="inlineStr">
        <is>
          <t>Flare Knitted Pants</t>
        </is>
      </c>
      <c r="B313" s="591" t="inlineStr">
        <is>
          <t>Loungewear</t>
        </is>
      </c>
      <c r="C313" s="592" t="inlineStr">
        <is>
          <t>REMOVE</t>
        </is>
      </c>
      <c r="D313" s="593" t="inlineStr">
        <is>
          <t>Below threshold — long tail</t>
        </is>
      </c>
      <c r="E313" s="593" t="inlineStr">
        <is>
          <t>4 — LOW (natural sellthrough)</t>
        </is>
      </c>
      <c r="F313" s="594" t="inlineStr">
        <is>
          <t>Remove</t>
        </is>
      </c>
      <c r="G313" s="593" t="n"/>
      <c r="H313" s="595" t="n">
        <v>3253.58</v>
      </c>
      <c r="I313" s="595" t="n">
        <v>4351.2</v>
      </c>
      <c r="J313" s="595" t="n">
        <v>-1097.62</v>
      </c>
      <c r="K313" s="600" t="n">
        <v>0.252</v>
      </c>
      <c r="L313" s="597" t="n">
        <v>25</v>
      </c>
      <c r="M313" s="595" t="n">
        <v>130.14</v>
      </c>
      <c r="N313" s="598" t="n">
        <v>0.0018</v>
      </c>
      <c r="O313" s="598" t="n">
        <v>0.8176000000000001</v>
      </c>
      <c r="P313" s="594" t="n">
        <v>7</v>
      </c>
      <c r="Q313" s="595" t="n">
        <v>15</v>
      </c>
      <c r="R313" s="597" t="n">
        <v>25</v>
      </c>
      <c r="S313" s="597" t="n">
        <v>0</v>
      </c>
      <c r="T313" s="597" t="n">
        <v>16</v>
      </c>
      <c r="U313" s="597" t="n">
        <v>348</v>
      </c>
      <c r="V313" s="597">
        <f>S54+T54</f>
        <v/>
      </c>
      <c r="W313" s="597">
        <f>S54+T54+U54</f>
        <v/>
      </c>
      <c r="X313" s="597">
        <f>W54*Q54</f>
        <v/>
      </c>
      <c r="Y313" s="595" t="n">
        <v>259</v>
      </c>
      <c r="Z313" s="595" t="n">
        <v>155.4</v>
      </c>
      <c r="AA313" s="594">
        <f>IF(Y54=Z54,"No","Yes")</f>
        <v/>
      </c>
      <c r="AB313" s="594" t="inlineStr">
        <is>
          <t>NW222WL4103</t>
        </is>
      </c>
      <c r="AC313" s="593" t="inlineStr">
        <is>
          <t>微喇毛织裤</t>
        </is>
      </c>
    </row>
    <row r="314" ht="18" customHeight="1" s="229">
      <c r="A314" s="361" t="inlineStr">
        <is>
          <t>Classic Cozy Fleece Pajama Top 2.0</t>
        </is>
      </c>
      <c r="B314" s="362" t="inlineStr">
        <is>
          <t>Loungewear</t>
        </is>
      </c>
      <c r="C314" s="589" t="inlineStr">
        <is>
          <t>REMOVE</t>
        </is>
      </c>
      <c r="D314" s="364" t="inlineStr">
        <is>
          <t>Below threshold — long tail</t>
        </is>
      </c>
      <c r="E314" s="364" t="inlineStr">
        <is>
          <t>3 — MEDIUM (selldown or markdown)</t>
        </is>
      </c>
      <c r="F314" s="365" t="inlineStr">
        <is>
          <t>Remove</t>
        </is>
      </c>
      <c r="G314" s="364" t="n"/>
      <c r="H314" s="366" t="n">
        <v>3181.83</v>
      </c>
      <c r="I314" s="366" t="n">
        <v>4616.78</v>
      </c>
      <c r="J314" s="366" t="n">
        <v>-1210.27</v>
      </c>
      <c r="K314" s="367" t="n">
        <v>0.262</v>
      </c>
      <c r="L314" s="368" t="n">
        <v>126</v>
      </c>
      <c r="M314" s="366" t="n">
        <v>25.25</v>
      </c>
      <c r="N314" s="369" t="n">
        <v>0.0017</v>
      </c>
      <c r="O314" s="369" t="n">
        <v>0.8229000000000001</v>
      </c>
      <c r="P314" s="365" t="n">
        <v>10</v>
      </c>
      <c r="Q314" s="366" t="n">
        <v>15</v>
      </c>
      <c r="R314" s="368" t="n">
        <v>135</v>
      </c>
      <c r="S314" s="368" t="n">
        <v>0</v>
      </c>
      <c r="T314" s="368" t="n">
        <v>20</v>
      </c>
      <c r="U314" s="368" t="n">
        <v>366</v>
      </c>
      <c r="V314" s="368">
        <f>S57+T57</f>
        <v/>
      </c>
      <c r="W314" s="368">
        <f>S57+T57+U57</f>
        <v/>
      </c>
      <c r="X314" s="368">
        <f>W57*Q57</f>
        <v/>
      </c>
      <c r="Y314" s="366" t="n">
        <v>49</v>
      </c>
      <c r="Z314" s="366" t="n">
        <v>34.3</v>
      </c>
      <c r="AA314" s="365">
        <f>IF(Y57=Z57,"No","Yes")</f>
        <v/>
      </c>
      <c r="AB314" s="365" t="inlineStr">
        <is>
          <t>NW222PL3004</t>
        </is>
      </c>
      <c r="AC314" s="364" t="inlineStr">
        <is>
          <t>法兰绒睡衣上装</t>
        </is>
      </c>
    </row>
    <row r="315" ht="18" customHeight="1" s="229">
      <c r="A315" s="590" t="inlineStr">
        <is>
          <t>Wool Seamless Turtleneck Top</t>
        </is>
      </c>
      <c r="B315" s="591" t="inlineStr">
        <is>
          <t>Loungewear</t>
        </is>
      </c>
      <c r="C315" s="592" t="inlineStr">
        <is>
          <t>REMOVE</t>
        </is>
      </c>
      <c r="D315" s="593" t="inlineStr">
        <is>
          <t>Below threshold — long tail</t>
        </is>
      </c>
      <c r="E315" s="593" t="inlineStr">
        <is>
          <t>3 — MEDIUM (selldown or markdown)</t>
        </is>
      </c>
      <c r="F315" s="594" t="inlineStr">
        <is>
          <t>Remove</t>
        </is>
      </c>
      <c r="G315" s="593" t="n"/>
      <c r="H315" s="595" t="n">
        <v>2943.21</v>
      </c>
      <c r="I315" s="595" t="n">
        <v>4297.3</v>
      </c>
      <c r="J315" s="595" t="n">
        <v>-970.53</v>
      </c>
      <c r="K315" s="596" t="n">
        <v>0.226</v>
      </c>
      <c r="L315" s="597" t="n">
        <v>78</v>
      </c>
      <c r="M315" s="595" t="n">
        <v>37.73</v>
      </c>
      <c r="N315" s="598" t="n">
        <v>0.0016</v>
      </c>
      <c r="O315" s="598" t="n">
        <v>0.8295</v>
      </c>
      <c r="P315" s="594" t="n">
        <v>9</v>
      </c>
      <c r="Q315" s="595" t="n">
        <v>15</v>
      </c>
      <c r="R315" s="597" t="n">
        <v>84</v>
      </c>
      <c r="S315" s="597" t="n">
        <v>0</v>
      </c>
      <c r="T315" s="597" t="n">
        <v>272</v>
      </c>
      <c r="U315" s="597" t="n">
        <v>0</v>
      </c>
      <c r="V315" s="597">
        <f>S61+T61</f>
        <v/>
      </c>
      <c r="W315" s="597">
        <f>S61+T61+U61</f>
        <v/>
      </c>
      <c r="X315" s="597">
        <f>W61*Q61</f>
        <v/>
      </c>
      <c r="Y315" s="595" t="n">
        <v>49</v>
      </c>
      <c r="Z315" s="595" t="n">
        <v>49</v>
      </c>
      <c r="AA315" s="594">
        <f>IF(Y61=Z61,"No","Yes")</f>
        <v/>
      </c>
      <c r="AB315" s="594" t="inlineStr">
        <is>
          <t>NW242WF3412</t>
        </is>
      </c>
      <c r="AC315" s="593" t="inlineStr">
        <is>
          <t>羊毛无缝高领打底</t>
        </is>
      </c>
    </row>
    <row r="316" ht="18" customHeight="1" s="229">
      <c r="A316" s="361" t="inlineStr">
        <is>
          <t>Classic Cozy Fleece Pajama Pants 2.0</t>
        </is>
      </c>
      <c r="B316" s="362" t="inlineStr">
        <is>
          <t>Loungewear</t>
        </is>
      </c>
      <c r="C316" s="589" t="inlineStr">
        <is>
          <t>REMOVE</t>
        </is>
      </c>
      <c r="D316" s="364" t="inlineStr">
        <is>
          <t>Below threshold — long tail</t>
        </is>
      </c>
      <c r="E316" s="364" t="inlineStr">
        <is>
          <t>3 — MEDIUM (selldown or markdown)</t>
        </is>
      </c>
      <c r="F316" s="365" t="inlineStr">
        <is>
          <t>Remove</t>
        </is>
      </c>
      <c r="G316" s="364" t="n"/>
      <c r="H316" s="366" t="n">
        <v>2876.32</v>
      </c>
      <c r="I316" s="366" t="n">
        <v>4114.11</v>
      </c>
      <c r="J316" s="366" t="n">
        <v>-1056.23</v>
      </c>
      <c r="K316" s="367" t="n">
        <v>0.257</v>
      </c>
      <c r="L316" s="368" t="n">
        <v>142</v>
      </c>
      <c r="M316" s="366" t="n">
        <v>20.26</v>
      </c>
      <c r="N316" s="369" t="n">
        <v>0.0016</v>
      </c>
      <c r="O316" s="369" t="n">
        <v>0.8327</v>
      </c>
      <c r="P316" s="365" t="n">
        <v>10</v>
      </c>
      <c r="Q316" s="366" t="n">
        <v>15</v>
      </c>
      <c r="R316" s="368" t="n">
        <v>150</v>
      </c>
      <c r="S316" s="368" t="n">
        <v>18</v>
      </c>
      <c r="T316" s="368" t="n">
        <v>21</v>
      </c>
      <c r="U316" s="368" t="n">
        <v>198</v>
      </c>
      <c r="V316" s="368">
        <f>S63+T63</f>
        <v/>
      </c>
      <c r="W316" s="368">
        <f>S63+T63+U63</f>
        <v/>
      </c>
      <c r="X316" s="368">
        <f>W63*Q63</f>
        <v/>
      </c>
      <c r="Y316" s="366" t="n">
        <v>39</v>
      </c>
      <c r="Z316" s="366" t="n">
        <v>27.3</v>
      </c>
      <c r="AA316" s="365">
        <f>IF(Y63=Z63,"No","Yes")</f>
        <v/>
      </c>
      <c r="AB316" s="365" t="inlineStr">
        <is>
          <t>NW222PL4004</t>
        </is>
      </c>
      <c r="AC316" s="364" t="inlineStr">
        <is>
          <t>法兰绒睡裤</t>
        </is>
      </c>
    </row>
    <row r="317" ht="18" customHeight="1" s="229">
      <c r="A317" s="569" t="inlineStr">
        <is>
          <t>Silk Pajama Set</t>
        </is>
      </c>
      <c r="B317" s="570" t="inlineStr">
        <is>
          <t>Loungewear</t>
        </is>
      </c>
      <c r="C317" s="588" t="inlineStr">
        <is>
          <t>KEEP — Tier 2</t>
        </is>
      </c>
      <c r="D317" s="572" t="inlineStr">
        <is>
          <t>Strategic non-BZ keeper</t>
        </is>
      </c>
      <c r="E317" s="572" t="n"/>
      <c r="F317" s="573" t="inlineStr">
        <is>
          <t>Keep</t>
        </is>
      </c>
      <c r="G317" s="572" t="inlineStr">
        <is>
          <t>Keep</t>
        </is>
      </c>
      <c r="H317" s="574" t="n">
        <v>2809.37</v>
      </c>
      <c r="I317" s="574" t="n">
        <v>3656.7</v>
      </c>
      <c r="J317" s="574" t="n">
        <v>-847.33</v>
      </c>
      <c r="K317" s="601" t="n">
        <v>0.232</v>
      </c>
      <c r="L317" s="576" t="n">
        <v>18</v>
      </c>
      <c r="M317" s="574" t="n">
        <v>156.08</v>
      </c>
      <c r="N317" s="577" t="n">
        <v>0.0015</v>
      </c>
      <c r="O317" s="577" t="n">
        <v>0.8358</v>
      </c>
      <c r="P317" s="573" t="n">
        <v>7</v>
      </c>
      <c r="Q317" s="574" t="n">
        <v>15</v>
      </c>
      <c r="R317" s="576" t="n">
        <v>18</v>
      </c>
      <c r="S317" s="576" t="n">
        <v>0</v>
      </c>
      <c r="T317" s="576" t="n">
        <v>26</v>
      </c>
      <c r="U317" s="576" t="n">
        <v>80</v>
      </c>
      <c r="V317" s="576">
        <f>S65+T65</f>
        <v/>
      </c>
      <c r="W317" s="576">
        <f>S65+T65+U65</f>
        <v/>
      </c>
      <c r="X317" s="576">
        <f>W65*Q65</f>
        <v/>
      </c>
      <c r="Y317" s="574" t="n">
        <v>239</v>
      </c>
      <c r="Z317" s="574" t="n">
        <v>167.3</v>
      </c>
      <c r="AA317" s="573">
        <f>IF(Y65=Z65,"No","Yes")</f>
        <v/>
      </c>
      <c r="AB317" s="573" t="inlineStr">
        <is>
          <t>NW232WL5705</t>
        </is>
      </c>
      <c r="AC317" s="572" t="inlineStr">
        <is>
          <t>暗襟睡衣套</t>
        </is>
      </c>
    </row>
    <row r="318" ht="18" customHeight="1" s="229">
      <c r="A318" s="361" t="inlineStr">
        <is>
          <t>Silky Wool Mock Neck Sweater</t>
        </is>
      </c>
      <c r="B318" s="362" t="inlineStr">
        <is>
          <t>Loungewear</t>
        </is>
      </c>
      <c r="C318" s="589" t="inlineStr">
        <is>
          <t>REMOVE</t>
        </is>
      </c>
      <c r="D318" s="364" t="inlineStr">
        <is>
          <t>Below threshold — long tail</t>
        </is>
      </c>
      <c r="E318" s="364" t="inlineStr">
        <is>
          <t>3 — MEDIUM (selldown or markdown)</t>
        </is>
      </c>
      <c r="F318" s="365" t="inlineStr">
        <is>
          <t>Remove</t>
        </is>
      </c>
      <c r="G318" s="364" t="n"/>
      <c r="H318" s="366" t="n">
        <v>2796.18</v>
      </c>
      <c r="I318" s="366" t="n">
        <v>3843.7</v>
      </c>
      <c r="J318" s="366" t="n">
        <v>-1047.52</v>
      </c>
      <c r="K318" s="367" t="n">
        <v>0.273</v>
      </c>
      <c r="L318" s="368" t="n">
        <v>19</v>
      </c>
      <c r="M318" s="366" t="n">
        <v>147.17</v>
      </c>
      <c r="N318" s="369" t="n">
        <v>0.0015</v>
      </c>
      <c r="O318" s="369" t="n">
        <v>0.8373</v>
      </c>
      <c r="P318" s="365" t="n">
        <v>8</v>
      </c>
      <c r="Q318" s="366" t="n">
        <v>15</v>
      </c>
      <c r="R318" s="368" t="n">
        <v>19</v>
      </c>
      <c r="S318" s="368" t="n">
        <v>0</v>
      </c>
      <c r="T318" s="368" t="n">
        <v>45</v>
      </c>
      <c r="U318" s="368" t="n">
        <v>161</v>
      </c>
      <c r="V318" s="368">
        <f>S66+T66</f>
        <v/>
      </c>
      <c r="W318" s="368">
        <f>S66+T66+U66</f>
        <v/>
      </c>
      <c r="X318" s="368">
        <f>W66*Q66</f>
        <v/>
      </c>
      <c r="Y318" s="366" t="n">
        <v>289</v>
      </c>
      <c r="Z318" s="366" t="n">
        <v>202.3</v>
      </c>
      <c r="AA318" s="365">
        <f>IF(Y66=Z66,"No","Yes")</f>
        <v/>
      </c>
      <c r="AB318" s="365" t="inlineStr">
        <is>
          <t>NW222WB3421</t>
        </is>
      </c>
      <c r="AC318" s="364" t="inlineStr">
        <is>
          <t>烟囱领打底衫</t>
        </is>
      </c>
    </row>
    <row r="319" ht="18" customHeight="1" s="229">
      <c r="A319" s="590" t="inlineStr">
        <is>
          <t>Silky Wool Zip Up Cardigan</t>
        </is>
      </c>
      <c r="B319" s="591" t="inlineStr">
        <is>
          <t>Loungewear</t>
        </is>
      </c>
      <c r="C319" s="592" t="inlineStr">
        <is>
          <t>REMOVE</t>
        </is>
      </c>
      <c r="D319" s="593" t="inlineStr">
        <is>
          <t>Below threshold — long tail</t>
        </is>
      </c>
      <c r="E319" s="593" t="inlineStr">
        <is>
          <t>4 — LOW (natural sellthrough)</t>
        </is>
      </c>
      <c r="F319" s="594" t="inlineStr">
        <is>
          <t>Remove</t>
        </is>
      </c>
      <c r="G319" s="593" t="n"/>
      <c r="H319" s="595" t="n">
        <v>2626.73</v>
      </c>
      <c r="I319" s="595" t="n">
        <v>3976.7</v>
      </c>
      <c r="J319" s="595" t="n">
        <v>-1349.97</v>
      </c>
      <c r="K319" s="600" t="n">
        <v>0.339</v>
      </c>
      <c r="L319" s="597" t="n">
        <v>19</v>
      </c>
      <c r="M319" s="595" t="n">
        <v>138.25</v>
      </c>
      <c r="N319" s="598" t="n">
        <v>0.0014</v>
      </c>
      <c r="O319" s="598" t="n">
        <v>0.8431999999999999</v>
      </c>
      <c r="P319" s="594" t="n">
        <v>8</v>
      </c>
      <c r="Q319" s="595" t="n">
        <v>15</v>
      </c>
      <c r="R319" s="597" t="n">
        <v>19</v>
      </c>
      <c r="S319" s="597" t="n">
        <v>5</v>
      </c>
      <c r="T319" s="597" t="n">
        <v>21</v>
      </c>
      <c r="U319" s="597" t="n">
        <v>65</v>
      </c>
      <c r="V319" s="597">
        <f>S70+T70</f>
        <v/>
      </c>
      <c r="W319" s="597">
        <f>S70+T70+U70</f>
        <v/>
      </c>
      <c r="X319" s="597">
        <f>W70*Q70</f>
        <v/>
      </c>
      <c r="Y319" s="595" t="n">
        <v>299</v>
      </c>
      <c r="Z319" s="595" t="n">
        <v>209.3</v>
      </c>
      <c r="AA319" s="594">
        <f>IF(Y70=Z70,"No","Yes")</f>
        <v/>
      </c>
      <c r="AB319" s="594" t="inlineStr">
        <is>
          <t>NW222WB2705</t>
        </is>
      </c>
      <c r="AC319" s="593" t="inlineStr">
        <is>
          <t>拉链开衫</t>
        </is>
      </c>
    </row>
    <row r="320" ht="18" customHeight="1" s="229">
      <c r="A320" s="361" t="inlineStr">
        <is>
          <t>Boundless Fleece Jacket 2.0</t>
        </is>
      </c>
      <c r="B320" s="362" t="inlineStr">
        <is>
          <t>Loungewear</t>
        </is>
      </c>
      <c r="C320" s="589" t="inlineStr">
        <is>
          <t>REMOVE</t>
        </is>
      </c>
      <c r="D320" s="364" t="inlineStr">
        <is>
          <t>Below threshold — long tail</t>
        </is>
      </c>
      <c r="E320" s="364" t="inlineStr">
        <is>
          <t>3 — MEDIUM (selldown or markdown)</t>
        </is>
      </c>
      <c r="F320" s="365" t="inlineStr">
        <is>
          <t>Remove</t>
        </is>
      </c>
      <c r="G320" s="364" t="n"/>
      <c r="H320" s="366" t="n">
        <v>2582.86</v>
      </c>
      <c r="I320" s="366" t="n">
        <v>4787.690000000001</v>
      </c>
      <c r="J320" s="366" t="n">
        <v>-1399.37</v>
      </c>
      <c r="K320" s="367" t="n">
        <v>0.292</v>
      </c>
      <c r="L320" s="368" t="n">
        <v>41</v>
      </c>
      <c r="M320" s="366" t="n">
        <v>63</v>
      </c>
      <c r="N320" s="369" t="n">
        <v>0.0014</v>
      </c>
      <c r="O320" s="369" t="n">
        <v>0.8445999999999999</v>
      </c>
      <c r="P320" s="365" t="n">
        <v>9</v>
      </c>
      <c r="Q320" s="366" t="n">
        <v>15</v>
      </c>
      <c r="R320" s="368" t="n">
        <v>54</v>
      </c>
      <c r="S320" s="368" t="n">
        <v>0</v>
      </c>
      <c r="T320" s="368" t="n">
        <v>27</v>
      </c>
      <c r="U320" s="368" t="n">
        <v>348</v>
      </c>
      <c r="V320" s="368">
        <f>S71+T71</f>
        <v/>
      </c>
      <c r="W320" s="368">
        <f>S71+T71+U71</f>
        <v/>
      </c>
      <c r="X320" s="368">
        <f>W71*Q71</f>
        <v/>
      </c>
      <c r="Y320" s="366" t="n">
        <v>129</v>
      </c>
      <c r="Z320" s="366" t="n">
        <v>90.3</v>
      </c>
      <c r="AA320" s="365">
        <f>IF(Y71=Z71,"No","Yes")</f>
        <v/>
      </c>
      <c r="AB320" s="365" t="inlineStr">
        <is>
          <t>NW222WL2501</t>
        </is>
      </c>
      <c r="AC320" s="364" t="inlineStr">
        <is>
          <t>柔感双开外套</t>
        </is>
      </c>
    </row>
    <row r="321" ht="18" customHeight="1" s="229">
      <c r="A321" s="590" t="inlineStr">
        <is>
          <t>Nude Skin Padded Camisole</t>
        </is>
      </c>
      <c r="B321" s="591" t="inlineStr">
        <is>
          <t>Loungewear</t>
        </is>
      </c>
      <c r="C321" s="592" t="inlineStr">
        <is>
          <t>REMOVE</t>
        </is>
      </c>
      <c r="D321" s="593" t="inlineStr">
        <is>
          <t>Below threshold — long tail</t>
        </is>
      </c>
      <c r="E321" s="593" t="inlineStr">
        <is>
          <t>4 — LOW (natural sellthrough)</t>
        </is>
      </c>
      <c r="F321" s="594" t="inlineStr">
        <is>
          <t>Remove</t>
        </is>
      </c>
      <c r="G321" s="593" t="n"/>
      <c r="H321" s="595" t="n">
        <v>2513.78</v>
      </c>
      <c r="I321" s="595" t="n">
        <v>3987.2</v>
      </c>
      <c r="J321" s="595" t="n">
        <v>-1120.49</v>
      </c>
      <c r="K321" s="600" t="n">
        <v>0.281</v>
      </c>
      <c r="L321" s="597" t="n">
        <v>56</v>
      </c>
      <c r="M321" s="595" t="n">
        <v>44.89</v>
      </c>
      <c r="N321" s="598" t="n">
        <v>0.0014</v>
      </c>
      <c r="O321" s="598" t="n">
        <v>0.8473999999999999</v>
      </c>
      <c r="P321" s="594" t="n">
        <v>8</v>
      </c>
      <c r="Q321" s="595" t="n">
        <v>15</v>
      </c>
      <c r="R321" s="597" t="n">
        <v>60</v>
      </c>
      <c r="S321" s="597" t="n">
        <v>8</v>
      </c>
      <c r="T321" s="597" t="n">
        <v>10</v>
      </c>
      <c r="U321" s="597" t="n">
        <v>155</v>
      </c>
      <c r="V321" s="597">
        <f>S73+T73</f>
        <v/>
      </c>
      <c r="W321" s="597">
        <f>S73+T73+U73</f>
        <v/>
      </c>
      <c r="X321" s="597">
        <f>W73*Q73</f>
        <v/>
      </c>
      <c r="Y321" s="595" t="n">
        <v>89</v>
      </c>
      <c r="Z321" s="595" t="n">
        <v>62.3</v>
      </c>
      <c r="AA321" s="594">
        <f>IF(Y73=Z73,"No","Yes")</f>
        <v/>
      </c>
      <c r="AB321" s="594" t="inlineStr">
        <is>
          <t>NW222WF3103</t>
        </is>
      </c>
      <c r="AC321" s="593" t="inlineStr">
        <is>
          <t>带胸垫吊带上衣</t>
        </is>
      </c>
    </row>
    <row r="322" ht="18" customHeight="1" s="229">
      <c r="A322" s="361" t="inlineStr">
        <is>
          <t>Silk Modal Pajama Top</t>
        </is>
      </c>
      <c r="B322" s="362" t="inlineStr">
        <is>
          <t>Loungewear</t>
        </is>
      </c>
      <c r="C322" s="589" t="inlineStr">
        <is>
          <t>REMOVE</t>
        </is>
      </c>
      <c r="D322" s="364" t="inlineStr">
        <is>
          <t>Below threshold — long tail</t>
        </is>
      </c>
      <c r="E322" s="364" t="inlineStr">
        <is>
          <t>3 — MEDIUM (selldown or markdown)</t>
        </is>
      </c>
      <c r="F322" s="365" t="inlineStr">
        <is>
          <t>Keep</t>
        </is>
      </c>
      <c r="G322" s="364" t="inlineStr">
        <is>
          <t>Keep Partial, Silk Modal PJ set</t>
        </is>
      </c>
      <c r="H322" s="366" t="n">
        <v>2510.33</v>
      </c>
      <c r="I322" s="366" t="n">
        <v>3871</v>
      </c>
      <c r="J322" s="366" t="n">
        <v>-1153.96</v>
      </c>
      <c r="K322" s="367" t="n">
        <v>0.298</v>
      </c>
      <c r="L322" s="368" t="n">
        <v>65</v>
      </c>
      <c r="M322" s="366" t="n">
        <v>38.62</v>
      </c>
      <c r="N322" s="369" t="n">
        <v>0.0014</v>
      </c>
      <c r="O322" s="369" t="n">
        <v>0.8488</v>
      </c>
      <c r="P322" s="365" t="n">
        <v>8</v>
      </c>
      <c r="Q322" s="366" t="n">
        <v>15</v>
      </c>
      <c r="R322" s="368" t="n">
        <v>69</v>
      </c>
      <c r="S322" s="368" t="n">
        <v>0</v>
      </c>
      <c r="T322" s="368" t="n">
        <v>31</v>
      </c>
      <c r="U322" s="368" t="n">
        <v>177</v>
      </c>
      <c r="V322" s="368">
        <f>S74+T74</f>
        <v/>
      </c>
      <c r="W322" s="368">
        <f>S74+T74+U74</f>
        <v/>
      </c>
      <c r="X322" s="368">
        <f>W74*Q74</f>
        <v/>
      </c>
      <c r="Y322" s="366" t="n">
        <v>79</v>
      </c>
      <c r="Z322" s="366" t="n">
        <v>55.3</v>
      </c>
      <c r="AA322" s="365">
        <f>IF(Y74=Z74,"No","Yes")</f>
        <v/>
      </c>
      <c r="AB322" s="365" t="inlineStr">
        <is>
          <t>NW231WL3006</t>
        </is>
      </c>
      <c r="AC322" s="364" t="inlineStr">
        <is>
          <t>针梭拼睡衣</t>
        </is>
      </c>
    </row>
    <row r="323" ht="18" customHeight="1" s="229">
      <c r="A323" s="590" t="inlineStr">
        <is>
          <t>Silk Modal Short Sleeve T-Shirt</t>
        </is>
      </c>
      <c r="B323" s="591" t="inlineStr">
        <is>
          <t>Loungewear</t>
        </is>
      </c>
      <c r="C323" s="592" t="inlineStr">
        <is>
          <t>REMOVE</t>
        </is>
      </c>
      <c r="D323" s="593" t="inlineStr">
        <is>
          <t>Below threshold — long tail</t>
        </is>
      </c>
      <c r="E323" s="593" t="inlineStr">
        <is>
          <t>3 — MEDIUM (selldown or markdown)</t>
        </is>
      </c>
      <c r="F323" s="594" t="inlineStr">
        <is>
          <t>Remove</t>
        </is>
      </c>
      <c r="G323" s="593" t="n"/>
      <c r="H323" s="595" t="n">
        <v>2290.15</v>
      </c>
      <c r="I323" s="595" t="n">
        <v>3311</v>
      </c>
      <c r="J323" s="595" t="n">
        <v>-884.17</v>
      </c>
      <c r="K323" s="600" t="n">
        <v>0.267</v>
      </c>
      <c r="L323" s="597" t="n">
        <v>81</v>
      </c>
      <c r="M323" s="595" t="n">
        <v>28.27</v>
      </c>
      <c r="N323" s="598" t="n">
        <v>0.0013</v>
      </c>
      <c r="O323" s="598" t="n">
        <v>0.8554</v>
      </c>
      <c r="P323" s="594" t="n">
        <v>12</v>
      </c>
      <c r="Q323" s="595" t="n">
        <v>15</v>
      </c>
      <c r="R323" s="597" t="n">
        <v>86</v>
      </c>
      <c r="S323" s="597" t="n">
        <v>0</v>
      </c>
      <c r="T323" s="597" t="n">
        <v>31</v>
      </c>
      <c r="U323" s="597" t="n">
        <v>446</v>
      </c>
      <c r="V323" s="597">
        <f>S79+T79</f>
        <v/>
      </c>
      <c r="W323" s="597">
        <f>S79+T79+U79</f>
        <v/>
      </c>
      <c r="X323" s="597">
        <f>W79*Q79</f>
        <v/>
      </c>
      <c r="Y323" s="595" t="n">
        <v>55</v>
      </c>
      <c r="Z323" s="595" t="n">
        <v>38.5</v>
      </c>
      <c r="AA323" s="594">
        <f>IF(Y79=Z79,"No","Yes")</f>
        <v/>
      </c>
      <c r="AB323" s="594" t="inlineStr">
        <is>
          <t>NW231WL3005</t>
        </is>
      </c>
      <c r="AC323" s="593" t="inlineStr">
        <is>
          <t>针梭拼短袖</t>
        </is>
      </c>
    </row>
    <row r="324" ht="18" customHeight="1" s="229">
      <c r="A324" s="361" t="inlineStr">
        <is>
          <t>Washable Wool Cardigan</t>
        </is>
      </c>
      <c r="B324" s="362" t="inlineStr">
        <is>
          <t>Loungewear</t>
        </is>
      </c>
      <c r="C324" s="589" t="inlineStr">
        <is>
          <t>REMOVE</t>
        </is>
      </c>
      <c r="D324" s="364" t="inlineStr">
        <is>
          <t>Below threshold — long tail</t>
        </is>
      </c>
      <c r="E324" s="364" t="inlineStr">
        <is>
          <t>4 — LOW (natural sellthrough)</t>
        </is>
      </c>
      <c r="F324" s="365" t="inlineStr">
        <is>
          <t>Remove</t>
        </is>
      </c>
      <c r="G324" s="364" t="inlineStr">
        <is>
          <t>?</t>
        </is>
      </c>
      <c r="H324" s="366" t="n">
        <v>2209.7</v>
      </c>
      <c r="I324" s="366" t="n">
        <v>3450.3</v>
      </c>
      <c r="J324" s="366" t="n">
        <v>-1164.04</v>
      </c>
      <c r="K324" s="367" t="n">
        <v>0.337</v>
      </c>
      <c r="L324" s="368" t="n">
        <v>30</v>
      </c>
      <c r="M324" s="366" t="n">
        <v>73.66</v>
      </c>
      <c r="N324" s="369" t="n">
        <v>0.0012</v>
      </c>
      <c r="O324" s="369" t="n">
        <v>0.8615</v>
      </c>
      <c r="P324" s="365" t="n">
        <v>8</v>
      </c>
      <c r="Q324" s="366" t="n">
        <v>15</v>
      </c>
      <c r="R324" s="368" t="n">
        <v>31</v>
      </c>
      <c r="S324" s="368" t="n">
        <v>0</v>
      </c>
      <c r="T324" s="368" t="n">
        <v>32</v>
      </c>
      <c r="U324" s="368" t="n">
        <v>65</v>
      </c>
      <c r="V324" s="368">
        <f>S82+T82</f>
        <v/>
      </c>
      <c r="W324" s="368">
        <f>S82+T82+U82</f>
        <v/>
      </c>
      <c r="X324" s="368">
        <f>W82*Q82</f>
        <v/>
      </c>
      <c r="Y324" s="366" t="n">
        <v>159</v>
      </c>
      <c r="Z324" s="366" t="n">
        <v>111.3</v>
      </c>
      <c r="AA324" s="365">
        <f>IF(Y82=Z82,"No","Yes")</f>
        <v/>
      </c>
      <c r="AB324" s="365" t="inlineStr">
        <is>
          <t>NW232WB2702</t>
        </is>
      </c>
      <c r="AC324" s="364" t="inlineStr">
        <is>
          <t>圆领开衫</t>
        </is>
      </c>
    </row>
    <row r="325" ht="18" customHeight="1" s="229">
      <c r="A325" s="590" t="inlineStr">
        <is>
          <t>Cotton Cozy Long Sleeve Shirt</t>
        </is>
      </c>
      <c r="B325" s="591" t="inlineStr">
        <is>
          <t>Loungewear</t>
        </is>
      </c>
      <c r="C325" s="592" t="inlineStr">
        <is>
          <t>REMOVE</t>
        </is>
      </c>
      <c r="D325" s="593" t="inlineStr">
        <is>
          <t>Below threshold — long tail</t>
        </is>
      </c>
      <c r="E325" s="593" t="inlineStr">
        <is>
          <t>4 — LOW (natural sellthrough)</t>
        </is>
      </c>
      <c r="F325" s="594" t="inlineStr">
        <is>
          <t>Remove</t>
        </is>
      </c>
      <c r="G325" s="593" t="n"/>
      <c r="H325" s="595" t="n">
        <v>2074.51</v>
      </c>
      <c r="I325" s="595" t="n">
        <v>2996</v>
      </c>
      <c r="J325" s="595" t="n">
        <v>-845.89</v>
      </c>
      <c r="K325" s="600" t="n">
        <v>0.282</v>
      </c>
      <c r="L325" s="597" t="n">
        <v>103</v>
      </c>
      <c r="M325" s="595" t="n">
        <v>20.14</v>
      </c>
      <c r="N325" s="598" t="n">
        <v>0.0011</v>
      </c>
      <c r="O325" s="598" t="n">
        <v>0.8686</v>
      </c>
      <c r="P325" s="594" t="n">
        <v>12</v>
      </c>
      <c r="Q325" s="595" t="n">
        <v>15</v>
      </c>
      <c r="R325" s="597" t="n">
        <v>100</v>
      </c>
      <c r="S325" s="597" t="n">
        <v>8</v>
      </c>
      <c r="T325" s="597" t="n">
        <v>8</v>
      </c>
      <c r="U325" s="597" t="n">
        <v>147</v>
      </c>
      <c r="V325" s="597">
        <f>S88+T88</f>
        <v/>
      </c>
      <c r="W325" s="597">
        <f>S88+T88+U88</f>
        <v/>
      </c>
      <c r="X325" s="597">
        <f>W88*Q88</f>
        <v/>
      </c>
      <c r="Y325" s="595" t="n">
        <v>40</v>
      </c>
      <c r="Z325" s="595" t="n">
        <v>28</v>
      </c>
      <c r="AA325" s="594">
        <f>IF(Y88=Z88,"No","Yes")</f>
        <v/>
      </c>
      <c r="AB325" s="594" t="inlineStr">
        <is>
          <t>NW232WL3303</t>
        </is>
      </c>
      <c r="AC325" s="593" t="inlineStr">
        <is>
          <t>舒舒棉圆领落肩长袖T恤</t>
        </is>
      </c>
    </row>
    <row r="326" ht="18" customHeight="1" s="229">
      <c r="A326" s="361" t="inlineStr">
        <is>
          <t>Classic Cozy Fleece Robe 2.0</t>
        </is>
      </c>
      <c r="B326" s="362" t="inlineStr">
        <is>
          <t>Loungewear</t>
        </is>
      </c>
      <c r="C326" s="589" t="inlineStr">
        <is>
          <t>REMOVE</t>
        </is>
      </c>
      <c r="D326" s="364" t="inlineStr">
        <is>
          <t>Below threshold — long tail</t>
        </is>
      </c>
      <c r="E326" s="364" t="inlineStr">
        <is>
          <t>4 — LOW (natural sellthrough)</t>
        </is>
      </c>
      <c r="F326" s="365" t="inlineStr">
        <is>
          <t>Remove</t>
        </is>
      </c>
      <c r="G326" s="364" t="n"/>
      <c r="H326" s="366" t="n">
        <v>1942.89</v>
      </c>
      <c r="I326" s="366" t="n">
        <v>3118.5</v>
      </c>
      <c r="J326" s="366" t="n">
        <v>-991.96</v>
      </c>
      <c r="K326" s="367" t="n">
        <v>0.318</v>
      </c>
      <c r="L326" s="368" t="n">
        <v>41</v>
      </c>
      <c r="M326" s="366" t="n">
        <v>47.39</v>
      </c>
      <c r="N326" s="369" t="n">
        <v>0.0011</v>
      </c>
      <c r="O326" s="369" t="n">
        <v>0.8741</v>
      </c>
      <c r="P326" s="365" t="n">
        <v>8</v>
      </c>
      <c r="Q326" s="366" t="n">
        <v>15</v>
      </c>
      <c r="R326" s="368" t="n">
        <v>45</v>
      </c>
      <c r="S326" s="368" t="n">
        <v>2</v>
      </c>
      <c r="T326" s="368" t="n">
        <v>5</v>
      </c>
      <c r="U326" s="368" t="n">
        <v>122</v>
      </c>
      <c r="V326" s="368">
        <f>S93+T93</f>
        <v/>
      </c>
      <c r="W326" s="368">
        <f>S93+T93+U93</f>
        <v/>
      </c>
      <c r="X326" s="368">
        <f>W93*Q93</f>
        <v/>
      </c>
      <c r="Y326" s="366" t="n">
        <v>99</v>
      </c>
      <c r="Z326" s="366" t="n">
        <v>69.3</v>
      </c>
      <c r="AA326" s="365">
        <f>IF(Y93=Z93,"No","Yes")</f>
        <v/>
      </c>
      <c r="AB326" s="365" t="inlineStr">
        <is>
          <t>NW222PL2001</t>
        </is>
      </c>
      <c r="AC326" s="364" t="inlineStr">
        <is>
          <t>法兰绒睡袍</t>
        </is>
      </c>
    </row>
    <row r="327" ht="18" customHeight="1" s="229">
      <c r="A327" s="590" t="inlineStr">
        <is>
          <t>Classic Cozy Pajama Pants</t>
        </is>
      </c>
      <c r="B327" s="591" t="inlineStr">
        <is>
          <t>Loungewear</t>
        </is>
      </c>
      <c r="C327" s="592" t="inlineStr">
        <is>
          <t>REMOVE</t>
        </is>
      </c>
      <c r="D327" s="593" t="inlineStr">
        <is>
          <t>Below threshold — long tail</t>
        </is>
      </c>
      <c r="E327" s="593" t="inlineStr">
        <is>
          <t>3 — MEDIUM (selldown or markdown)</t>
        </is>
      </c>
      <c r="F327" s="594" t="inlineStr">
        <is>
          <t>Keep</t>
        </is>
      </c>
      <c r="G327" s="593" t="inlineStr">
        <is>
          <t>Keep, Classic Cozy PJ</t>
        </is>
      </c>
      <c r="H327" s="595" t="n">
        <v>1909.05</v>
      </c>
      <c r="I327" s="595" t="n">
        <v>3026</v>
      </c>
      <c r="J327" s="595" t="n">
        <v>-594.41</v>
      </c>
      <c r="K327" s="596" t="n">
        <v>0.196</v>
      </c>
      <c r="L327" s="597" t="n">
        <v>26</v>
      </c>
      <c r="M327" s="595" t="n">
        <v>73.42</v>
      </c>
      <c r="N327" s="598" t="n">
        <v>0.001</v>
      </c>
      <c r="O327" s="598" t="n">
        <v>0.8751000000000001</v>
      </c>
      <c r="P327" s="594" t="n">
        <v>10</v>
      </c>
      <c r="Q327" s="595" t="n">
        <v>15</v>
      </c>
      <c r="R327" s="597" t="n">
        <v>33</v>
      </c>
      <c r="S327" s="597" t="n">
        <v>6</v>
      </c>
      <c r="T327" s="597" t="n">
        <v>68</v>
      </c>
      <c r="U327" s="597" t="n">
        <v>286</v>
      </c>
      <c r="V327" s="597">
        <f>S94+T94</f>
        <v/>
      </c>
      <c r="W327" s="597">
        <f>S94+T94+U94</f>
        <v/>
      </c>
      <c r="X327" s="597">
        <f>W94*Q94</f>
        <v/>
      </c>
      <c r="Y327" s="595" t="n">
        <v>89</v>
      </c>
      <c r="Z327" s="595" t="n">
        <v>89</v>
      </c>
      <c r="AA327" s="594">
        <f>IF(Y94=Z94,"No","Yes")</f>
        <v/>
      </c>
      <c r="AB327" s="594" t="inlineStr">
        <is>
          <t>NW232WL4002</t>
        </is>
      </c>
      <c r="AC327" s="593" t="inlineStr">
        <is>
          <t>双层腰睡裤</t>
        </is>
      </c>
    </row>
    <row r="328" ht="18" customHeight="1" s="229">
      <c r="A328" s="361" t="inlineStr">
        <is>
          <t>Light Lift Shaping Leggings</t>
        </is>
      </c>
      <c r="B328" s="362" t="inlineStr">
        <is>
          <t>Loungewear</t>
        </is>
      </c>
      <c r="C328" s="589" t="inlineStr">
        <is>
          <t>REMOVE</t>
        </is>
      </c>
      <c r="D328" s="364" t="inlineStr">
        <is>
          <t>Below threshold — long tail</t>
        </is>
      </c>
      <c r="E328" s="364" t="inlineStr">
        <is>
          <t>3 — MEDIUM (selldown or markdown)</t>
        </is>
      </c>
      <c r="F328" s="365" t="inlineStr">
        <is>
          <t>Remove</t>
        </is>
      </c>
      <c r="G328" s="364" t="n"/>
      <c r="H328" s="366" t="n">
        <v>1877.25</v>
      </c>
      <c r="I328" s="366" t="n">
        <v>3064.71</v>
      </c>
      <c r="J328" s="366" t="n">
        <v>-778.36</v>
      </c>
      <c r="K328" s="367" t="n">
        <v>0.254</v>
      </c>
      <c r="L328" s="368" t="n">
        <v>75</v>
      </c>
      <c r="M328" s="366" t="n">
        <v>25.03</v>
      </c>
      <c r="N328" s="369" t="n">
        <v>0.001</v>
      </c>
      <c r="O328" s="369" t="n">
        <v>0.8771</v>
      </c>
      <c r="P328" s="365" t="n">
        <v>10</v>
      </c>
      <c r="Q328" s="366" t="n">
        <v>15</v>
      </c>
      <c r="R328" s="368" t="n">
        <v>85</v>
      </c>
      <c r="S328" s="368" t="n">
        <v>4</v>
      </c>
      <c r="T328" s="368" t="n">
        <v>23</v>
      </c>
      <c r="U328" s="368" t="n">
        <v>246</v>
      </c>
      <c r="V328" s="368">
        <f>S96+T96</f>
        <v/>
      </c>
      <c r="W328" s="368">
        <f>S96+T96+U96</f>
        <v/>
      </c>
      <c r="X328" s="368">
        <f>W96*Q96</f>
        <v/>
      </c>
      <c r="Y328" s="366" t="n">
        <v>49</v>
      </c>
      <c r="Z328" s="366" t="n">
        <v>34.3</v>
      </c>
      <c r="AA328" s="365">
        <f>IF(Y96=Z96,"No","Yes")</f>
        <v/>
      </c>
      <c r="AB328" s="365" t="inlineStr">
        <is>
          <t>NW232WF4102</t>
        </is>
      </c>
      <c r="AC328" s="364" t="inlineStr">
        <is>
          <t>轻塑提臀打底九分裤（鲨鱼裤）</t>
        </is>
      </c>
    </row>
    <row r="329" ht="18" customHeight="1" s="229">
      <c r="A329" s="590" t="inlineStr">
        <is>
          <t>Essential Cashmere Thermal Underwear Top</t>
        </is>
      </c>
      <c r="B329" s="591" t="inlineStr">
        <is>
          <t>Loungewear</t>
        </is>
      </c>
      <c r="C329" s="592" t="inlineStr">
        <is>
          <t>REMOVE</t>
        </is>
      </c>
      <c r="D329" s="593" t="inlineStr">
        <is>
          <t>Below threshold — long tail</t>
        </is>
      </c>
      <c r="E329" s="593" t="inlineStr">
        <is>
          <t>3 — MEDIUM (selldown or markdown)</t>
        </is>
      </c>
      <c r="F329" s="594" t="inlineStr">
        <is>
          <t>Remove</t>
        </is>
      </c>
      <c r="G329" s="593" t="n"/>
      <c r="H329" s="595" t="n">
        <v>1847.37</v>
      </c>
      <c r="I329" s="595" t="n">
        <v>2623.5</v>
      </c>
      <c r="J329" s="595" t="n">
        <v>-776.13</v>
      </c>
      <c r="K329" s="600" t="n">
        <v>0.296</v>
      </c>
      <c r="L329" s="597" t="n">
        <v>53</v>
      </c>
      <c r="M329" s="595" t="n">
        <v>34.86</v>
      </c>
      <c r="N329" s="598" t="n">
        <v>0.001</v>
      </c>
      <c r="O329" s="598" t="n">
        <v>0.8801000000000001</v>
      </c>
      <c r="P329" s="594" t="n">
        <v>5</v>
      </c>
      <c r="Q329" s="595" t="n">
        <v>15</v>
      </c>
      <c r="R329" s="597" t="n">
        <v>43</v>
      </c>
      <c r="S329" s="597" t="n">
        <v>0</v>
      </c>
      <c r="T329" s="597" t="n">
        <v>49</v>
      </c>
      <c r="U329" s="597" t="n">
        <v>0</v>
      </c>
      <c r="V329" s="597">
        <f>S99+T99</f>
        <v/>
      </c>
      <c r="W329" s="597">
        <f>S99+T99+U99</f>
        <v/>
      </c>
      <c r="X329" s="597">
        <f>W99*Q99</f>
        <v/>
      </c>
      <c r="Y329" s="595" t="n">
        <v>99</v>
      </c>
      <c r="Z329" s="595" t="n">
        <v>49.5</v>
      </c>
      <c r="AA329" s="594">
        <f>IF(Y99=Z99,"No","Yes")</f>
        <v/>
      </c>
      <c r="AB329" s="594" t="inlineStr">
        <is>
          <t>N212WL3110</t>
        </is>
      </c>
      <c r="AC329" s="593" t="inlineStr">
        <is>
          <t>一字领上衣</t>
        </is>
      </c>
    </row>
    <row r="330" ht="18" customHeight="1" s="229">
      <c r="A330" s="361" t="inlineStr">
        <is>
          <t>Knot Cardigan</t>
        </is>
      </c>
      <c r="B330" s="362" t="inlineStr">
        <is>
          <t>Loungewear</t>
        </is>
      </c>
      <c r="C330" s="589" t="inlineStr">
        <is>
          <t>REMOVE</t>
        </is>
      </c>
      <c r="D330" s="364" t="inlineStr">
        <is>
          <t>Below threshold — long tail</t>
        </is>
      </c>
      <c r="E330" s="364" t="inlineStr">
        <is>
          <t>4 — LOW (natural sellthrough)</t>
        </is>
      </c>
      <c r="F330" s="365" t="inlineStr">
        <is>
          <t>Remove</t>
        </is>
      </c>
      <c r="G330" s="364" t="n"/>
      <c r="H330" s="366" t="n">
        <v>1831.1</v>
      </c>
      <c r="I330" s="366" t="n">
        <v>2421</v>
      </c>
      <c r="J330" s="366" t="n">
        <v>-401.6</v>
      </c>
      <c r="K330" s="380" t="n">
        <v>0.166</v>
      </c>
      <c r="L330" s="368" t="n">
        <v>8</v>
      </c>
      <c r="M330" s="366" t="n">
        <v>228.89</v>
      </c>
      <c r="N330" s="369" t="n">
        <v>0.001</v>
      </c>
      <c r="O330" s="369" t="n">
        <v>0.8820999999999999</v>
      </c>
      <c r="P330" s="365" t="n">
        <v>4</v>
      </c>
      <c r="Q330" s="366" t="n">
        <v>15</v>
      </c>
      <c r="R330" s="368" t="n">
        <v>9</v>
      </c>
      <c r="S330" s="368" t="n">
        <v>0</v>
      </c>
      <c r="T330" s="368" t="n">
        <v>34</v>
      </c>
      <c r="U330" s="368" t="n">
        <v>98</v>
      </c>
      <c r="V330" s="368">
        <f>S101+T101</f>
        <v/>
      </c>
      <c r="W330" s="368">
        <f>S101+T101+U101</f>
        <v/>
      </c>
      <c r="X330" s="368">
        <f>W101*Q101</f>
        <v/>
      </c>
      <c r="Y330" s="366" t="n">
        <v>269</v>
      </c>
      <c r="Z330" s="366" t="n">
        <v>269</v>
      </c>
      <c r="AA330" s="365">
        <f>IF(Y101=Z101,"No","Yes")</f>
        <v/>
      </c>
      <c r="AB330" s="365" t="inlineStr">
        <is>
          <t>NW241WB2702</t>
        </is>
      </c>
      <c r="AC330" s="364" t="inlineStr">
        <is>
          <t>新中式短开衫</t>
        </is>
      </c>
    </row>
    <row r="331" ht="18" customHeight="1" s="229">
      <c r="A331" s="590" t="inlineStr">
        <is>
          <t>Boundless Soft Tapered Pants</t>
        </is>
      </c>
      <c r="B331" s="591" t="inlineStr">
        <is>
          <t>Loungewear</t>
        </is>
      </c>
      <c r="C331" s="592" t="inlineStr">
        <is>
          <t>REMOVE</t>
        </is>
      </c>
      <c r="D331" s="593" t="inlineStr">
        <is>
          <t>Below threshold — long tail</t>
        </is>
      </c>
      <c r="E331" s="593" t="inlineStr">
        <is>
          <t>4 — LOW (natural sellthrough)</t>
        </is>
      </c>
      <c r="F331" s="594" t="inlineStr">
        <is>
          <t>Remove</t>
        </is>
      </c>
      <c r="G331" s="593" t="n"/>
      <c r="H331" s="595" t="n">
        <v>1669.41</v>
      </c>
      <c r="I331" s="595" t="n">
        <v>2463.3</v>
      </c>
      <c r="J331" s="595" t="n">
        <v>-687.86</v>
      </c>
      <c r="K331" s="600" t="n">
        <v>0.279</v>
      </c>
      <c r="L331" s="597" t="n">
        <v>48</v>
      </c>
      <c r="M331" s="595" t="n">
        <v>34.78</v>
      </c>
      <c r="N331" s="598" t="n">
        <v>0.0009</v>
      </c>
      <c r="O331" s="598" t="n">
        <v>0.8898</v>
      </c>
      <c r="P331" s="594" t="n">
        <v>9</v>
      </c>
      <c r="Q331" s="595" t="n">
        <v>15</v>
      </c>
      <c r="R331" s="597" t="n">
        <v>51</v>
      </c>
      <c r="S331" s="597" t="n">
        <v>13</v>
      </c>
      <c r="T331" s="597" t="n">
        <v>8</v>
      </c>
      <c r="U331" s="597" t="n">
        <v>96</v>
      </c>
      <c r="V331" s="597">
        <f>S109+T109</f>
        <v/>
      </c>
      <c r="W331" s="597">
        <f>S109+T109+U109</f>
        <v/>
      </c>
      <c r="X331" s="597">
        <f>W109*Q109</f>
        <v/>
      </c>
      <c r="Y331" s="595" t="n">
        <v>69</v>
      </c>
      <c r="Z331" s="595" t="n">
        <v>48.3</v>
      </c>
      <c r="AA331" s="594">
        <f>IF(Y109=Z109,"No","Yes")</f>
        <v/>
      </c>
      <c r="AB331" s="594" t="inlineStr">
        <is>
          <t>NW222WL4102</t>
        </is>
      </c>
      <c r="AC331" s="593" t="inlineStr">
        <is>
          <t>柔感束脚裤</t>
        </is>
      </c>
    </row>
    <row r="332" ht="18" customHeight="1" s="229">
      <c r="A332" s="361" t="inlineStr">
        <is>
          <t>Knitted Ribbed Cardigan</t>
        </is>
      </c>
      <c r="B332" s="362" t="inlineStr">
        <is>
          <t>Loungewear</t>
        </is>
      </c>
      <c r="C332" s="589" t="inlineStr">
        <is>
          <t>REMOVE</t>
        </is>
      </c>
      <c r="D332" s="364" t="inlineStr">
        <is>
          <t>Below threshold — long tail</t>
        </is>
      </c>
      <c r="E332" s="364" t="inlineStr">
        <is>
          <t>3 — MEDIUM (selldown or markdown)</t>
        </is>
      </c>
      <c r="F332" s="365" t="inlineStr">
        <is>
          <t>Remove</t>
        </is>
      </c>
      <c r="G332" s="364" t="n"/>
      <c r="H332" s="366" t="n">
        <v>1611.85</v>
      </c>
      <c r="I332" s="366" t="n">
        <v>2100</v>
      </c>
      <c r="J332" s="366" t="n">
        <v>-488.15</v>
      </c>
      <c r="K332" s="380" t="n">
        <v>0.232</v>
      </c>
      <c r="L332" s="368" t="n">
        <v>35</v>
      </c>
      <c r="M332" s="366" t="n">
        <v>46.05</v>
      </c>
      <c r="N332" s="369" t="n">
        <v>0.0009</v>
      </c>
      <c r="O332" s="369" t="n">
        <v>0.8943000000000001</v>
      </c>
      <c r="P332" s="365" t="n">
        <v>9</v>
      </c>
      <c r="Q332" s="366" t="n">
        <v>15</v>
      </c>
      <c r="R332" s="368" t="n">
        <v>35</v>
      </c>
      <c r="S332" s="368" t="n">
        <v>0</v>
      </c>
      <c r="T332" s="368" t="n">
        <v>295</v>
      </c>
      <c r="U332" s="368" t="n">
        <v>0</v>
      </c>
      <c r="V332" s="368">
        <f>S114+T114</f>
        <v/>
      </c>
      <c r="W332" s="368">
        <f>S114+T114+U114</f>
        <v/>
      </c>
      <c r="X332" s="368">
        <f>W114*Q114</f>
        <v/>
      </c>
      <c r="Y332" s="366" t="n">
        <v>105</v>
      </c>
      <c r="Z332" s="366" t="n">
        <v>52.5</v>
      </c>
      <c r="AA332" s="365">
        <f>IF(Y114=Z114,"No","Yes")</f>
        <v/>
      </c>
      <c r="AB332" s="365" t="inlineStr">
        <is>
          <t>N212PL2410</t>
        </is>
      </c>
      <c r="AC332" s="364" t="inlineStr">
        <is>
          <t>短款罗纹毛衫</t>
        </is>
      </c>
    </row>
    <row r="333" ht="18" customHeight="1" s="229">
      <c r="A333" s="590" t="inlineStr">
        <is>
          <t>Knitted Ribbed Sweater</t>
        </is>
      </c>
      <c r="B333" s="591" t="inlineStr">
        <is>
          <t>Loungewear</t>
        </is>
      </c>
      <c r="C333" s="592" t="inlineStr">
        <is>
          <t>REMOVE</t>
        </is>
      </c>
      <c r="D333" s="593" t="inlineStr">
        <is>
          <t>Below threshold — long tail</t>
        </is>
      </c>
      <c r="E333" s="593" t="inlineStr">
        <is>
          <t>3 — MEDIUM (selldown or markdown)</t>
        </is>
      </c>
      <c r="F333" s="594" t="inlineStr">
        <is>
          <t>Remove</t>
        </is>
      </c>
      <c r="G333" s="593" t="n"/>
      <c r="H333" s="595" t="n">
        <v>1545.15</v>
      </c>
      <c r="I333" s="595" t="n">
        <v>2205</v>
      </c>
      <c r="J333" s="595" t="n">
        <v>-562.2</v>
      </c>
      <c r="K333" s="600" t="n">
        <v>0.255</v>
      </c>
      <c r="L333" s="597" t="n">
        <v>35</v>
      </c>
      <c r="M333" s="595" t="n">
        <v>44.15</v>
      </c>
      <c r="N333" s="598" t="n">
        <v>0.0008</v>
      </c>
      <c r="O333" s="598" t="n">
        <v>0.8996</v>
      </c>
      <c r="P333" s="594" t="n">
        <v>6</v>
      </c>
      <c r="Q333" s="595" t="n">
        <v>15</v>
      </c>
      <c r="R333" s="597" t="n">
        <v>37</v>
      </c>
      <c r="S333" s="597" t="n">
        <v>0</v>
      </c>
      <c r="T333" s="597" t="n">
        <v>152</v>
      </c>
      <c r="U333" s="597" t="n">
        <v>169</v>
      </c>
      <c r="V333" s="597">
        <f>S120+T120</f>
        <v/>
      </c>
      <c r="W333" s="597">
        <f>S120+T120+U120</f>
        <v/>
      </c>
      <c r="X333" s="597">
        <f>W120*Q120</f>
        <v/>
      </c>
      <c r="Y333" s="595" t="n">
        <v>105</v>
      </c>
      <c r="Z333" s="595" t="n">
        <v>52.5</v>
      </c>
      <c r="AA333" s="594">
        <f>IF(Y120=Z120,"No","Yes")</f>
        <v/>
      </c>
      <c r="AB333" s="594" t="inlineStr">
        <is>
          <t>N212PL2409</t>
        </is>
      </c>
      <c r="AC333" s="593" t="inlineStr">
        <is>
          <t>修身罗纹毛衫</t>
        </is>
      </c>
    </row>
    <row r="334" ht="18" customHeight="1" s="229">
      <c r="A334" s="361" t="inlineStr">
        <is>
          <t>Ribbed Drawstring Waist Top</t>
        </is>
      </c>
      <c r="B334" s="362" t="inlineStr">
        <is>
          <t>Loungewear</t>
        </is>
      </c>
      <c r="C334" s="589" t="inlineStr">
        <is>
          <t>REMOVE</t>
        </is>
      </c>
      <c r="D334" s="364" t="inlineStr">
        <is>
          <t>Below threshold — long tail</t>
        </is>
      </c>
      <c r="E334" s="364" t="inlineStr">
        <is>
          <t>3 — MEDIUM (selldown or markdown)</t>
        </is>
      </c>
      <c r="F334" s="365" t="inlineStr">
        <is>
          <t>Remove</t>
        </is>
      </c>
      <c r="G334" s="364" t="n"/>
      <c r="H334" s="366" t="n">
        <v>1542.86</v>
      </c>
      <c r="I334" s="366" t="n">
        <v>2405</v>
      </c>
      <c r="J334" s="366" t="n">
        <v>-760.41</v>
      </c>
      <c r="K334" s="367" t="n">
        <v>0.316</v>
      </c>
      <c r="L334" s="368" t="n">
        <v>52</v>
      </c>
      <c r="M334" s="366" t="n">
        <v>29.67</v>
      </c>
      <c r="N334" s="369" t="n">
        <v>0.0008</v>
      </c>
      <c r="O334" s="369" t="n">
        <v>0.9004000000000001</v>
      </c>
      <c r="P334" s="365" t="n">
        <v>9</v>
      </c>
      <c r="Q334" s="366" t="n">
        <v>15</v>
      </c>
      <c r="R334" s="368" t="n">
        <v>55</v>
      </c>
      <c r="S334" s="368" t="n">
        <v>0</v>
      </c>
      <c r="T334" s="368" t="n">
        <v>39</v>
      </c>
      <c r="U334" s="368" t="n">
        <v>434</v>
      </c>
      <c r="V334" s="368">
        <f>S121+T121</f>
        <v/>
      </c>
      <c r="W334" s="368">
        <f>S121+T121+U121</f>
        <v/>
      </c>
      <c r="X334" s="368">
        <f>W121*Q121</f>
        <v/>
      </c>
      <c r="Y334" s="366" t="n">
        <v>65</v>
      </c>
      <c r="Z334" s="366" t="n">
        <v>39</v>
      </c>
      <c r="AA334" s="365">
        <f>IF(Y121=Z121,"No","Yes")</f>
        <v/>
      </c>
      <c r="AB334" s="365" t="inlineStr">
        <is>
          <t>NW222PL3001</t>
        </is>
      </c>
      <c r="AC334" s="364" t="inlineStr">
        <is>
          <t>罗纹套头衫</t>
        </is>
      </c>
    </row>
    <row r="335" ht="18" customHeight="1" s="229">
      <c r="A335" s="590" t="inlineStr">
        <is>
          <t>Dreamy Cotton Modal Lounge Set</t>
        </is>
      </c>
      <c r="B335" s="591" t="inlineStr">
        <is>
          <t>Loungewear</t>
        </is>
      </c>
      <c r="C335" s="592" t="inlineStr">
        <is>
          <t>REMOVE</t>
        </is>
      </c>
      <c r="D335" s="593" t="inlineStr">
        <is>
          <t>Below threshold — long tail</t>
        </is>
      </c>
      <c r="E335" s="593" t="inlineStr">
        <is>
          <t>3 — MEDIUM (selldown or markdown)</t>
        </is>
      </c>
      <c r="F335" s="594" t="inlineStr">
        <is>
          <t>Remove</t>
        </is>
      </c>
      <c r="G335" s="593" t="n"/>
      <c r="H335" s="595" t="n">
        <v>1526.95</v>
      </c>
      <c r="I335" s="595" t="n">
        <v>2180.5</v>
      </c>
      <c r="J335" s="595" t="n">
        <v>-609.9400000000001</v>
      </c>
      <c r="K335" s="600" t="n">
        <v>0.28</v>
      </c>
      <c r="L335" s="597" t="n">
        <v>34</v>
      </c>
      <c r="M335" s="595" t="n">
        <v>44.91</v>
      </c>
      <c r="N335" s="598" t="n">
        <v>0.0008</v>
      </c>
      <c r="O335" s="598" t="n">
        <v>0.902</v>
      </c>
      <c r="P335" s="594" t="n">
        <v>7</v>
      </c>
      <c r="Q335" s="595" t="n">
        <v>15</v>
      </c>
      <c r="R335" s="597" t="n">
        <v>35</v>
      </c>
      <c r="S335" s="597" t="n">
        <v>0</v>
      </c>
      <c r="T335" s="597" t="n">
        <v>21</v>
      </c>
      <c r="U335" s="597" t="n">
        <v>136</v>
      </c>
      <c r="V335" s="597">
        <f>S123+T123</f>
        <v/>
      </c>
      <c r="W335" s="597">
        <f>S123+T123+U123</f>
        <v/>
      </c>
      <c r="X335" s="597">
        <f>W123*Q123</f>
        <v/>
      </c>
      <c r="Y335" s="595" t="n">
        <v>89</v>
      </c>
      <c r="Z335" s="595" t="n">
        <v>62.3</v>
      </c>
      <c r="AA335" s="594">
        <f>IF(Y123=Z123,"No","Yes")</f>
        <v/>
      </c>
      <c r="AB335" s="594" t="inlineStr">
        <is>
          <t>NW231PL5602</t>
        </is>
      </c>
      <c r="AC335" s="593" t="inlineStr">
        <is>
          <t>前开叉皱皱短袖+皱皱八分裤</t>
        </is>
      </c>
    </row>
    <row r="336" ht="18" customHeight="1" s="229">
      <c r="A336" s="361" t="inlineStr">
        <is>
          <t>Crewneck Thermal Set</t>
        </is>
      </c>
      <c r="B336" s="362" t="inlineStr">
        <is>
          <t>Loungewear</t>
        </is>
      </c>
      <c r="C336" s="589" t="inlineStr">
        <is>
          <t>REMOVE</t>
        </is>
      </c>
      <c r="D336" s="364" t="inlineStr">
        <is>
          <t>Below threshold — long tail</t>
        </is>
      </c>
      <c r="E336" s="364" t="inlineStr">
        <is>
          <t>3 — MEDIUM (selldown or markdown)</t>
        </is>
      </c>
      <c r="F336" s="365" t="inlineStr">
        <is>
          <t>Remove</t>
        </is>
      </c>
      <c r="G336" s="364" t="n"/>
      <c r="H336" s="366" t="n">
        <v>1524.43</v>
      </c>
      <c r="I336" s="366" t="n">
        <v>2145</v>
      </c>
      <c r="J336" s="366" t="n">
        <v>-448.32</v>
      </c>
      <c r="K336" s="380" t="n">
        <v>0.209</v>
      </c>
      <c r="L336" s="368" t="n">
        <v>30</v>
      </c>
      <c r="M336" s="366" t="n">
        <v>50.81</v>
      </c>
      <c r="N336" s="369" t="n">
        <v>0.0008</v>
      </c>
      <c r="O336" s="369" t="n">
        <v>0.9028</v>
      </c>
      <c r="P336" s="365" t="n">
        <v>10</v>
      </c>
      <c r="Q336" s="366" t="n">
        <v>15</v>
      </c>
      <c r="R336" s="368" t="n">
        <v>33</v>
      </c>
      <c r="S336" s="368" t="n">
        <v>0</v>
      </c>
      <c r="T336" s="368" t="n">
        <v>52</v>
      </c>
      <c r="U336" s="368" t="n">
        <v>248</v>
      </c>
      <c r="V336" s="368">
        <f>S124+T124</f>
        <v/>
      </c>
      <c r="W336" s="368">
        <f>S124+T124+U124</f>
        <v/>
      </c>
      <c r="X336" s="368">
        <f>W124*Q124</f>
        <v/>
      </c>
      <c r="Y336" s="366" t="n">
        <v>65</v>
      </c>
      <c r="Z336" s="366" t="n">
        <v>65</v>
      </c>
      <c r="AA336" s="365">
        <f>IF(Y124=Z124,"No","Yes")</f>
        <v/>
      </c>
      <c r="AB336" s="365" t="inlineStr">
        <is>
          <t>NW232WF5504</t>
        </is>
      </c>
      <c r="AC336" s="364" t="inlineStr">
        <is>
          <t>暖暖圆领长袖打底套装</t>
        </is>
      </c>
    </row>
    <row r="337" ht="18" customHeight="1" s="229">
      <c r="A337" s="590" t="inlineStr">
        <is>
          <t>Classic Cozy Pajama Tee</t>
        </is>
      </c>
      <c r="B337" s="591" t="inlineStr">
        <is>
          <t>Loungewear</t>
        </is>
      </c>
      <c r="C337" s="592" t="inlineStr">
        <is>
          <t>REMOVE</t>
        </is>
      </c>
      <c r="D337" s="593" t="inlineStr">
        <is>
          <t>Below threshold — long tail</t>
        </is>
      </c>
      <c r="E337" s="593" t="inlineStr">
        <is>
          <t>3 — MEDIUM (selldown or markdown)</t>
        </is>
      </c>
      <c r="F337" s="594" t="inlineStr">
        <is>
          <t>Keep</t>
        </is>
      </c>
      <c r="G337" s="593" t="inlineStr">
        <is>
          <t>Keep, Classic Cozy PJ</t>
        </is>
      </c>
      <c r="H337" s="595" t="n">
        <v>1519.07</v>
      </c>
      <c r="I337" s="595" t="n">
        <v>2184</v>
      </c>
      <c r="J337" s="595" t="n">
        <v>-428.33</v>
      </c>
      <c r="K337" s="596" t="n">
        <v>0.196</v>
      </c>
      <c r="L337" s="597" t="n">
        <v>42</v>
      </c>
      <c r="M337" s="595" t="n">
        <v>36.17</v>
      </c>
      <c r="N337" s="598" t="n">
        <v>0.0008</v>
      </c>
      <c r="O337" s="598" t="n">
        <v>0.9036</v>
      </c>
      <c r="P337" s="594" t="n">
        <v>14</v>
      </c>
      <c r="Q337" s="595" t="n">
        <v>15</v>
      </c>
      <c r="R337" s="597" t="n">
        <v>46</v>
      </c>
      <c r="S337" s="597" t="n">
        <v>0</v>
      </c>
      <c r="T337" s="597" t="n">
        <v>50</v>
      </c>
      <c r="U337" s="597" t="n">
        <v>698</v>
      </c>
      <c r="V337" s="597">
        <f>S125+T125</f>
        <v/>
      </c>
      <c r="W337" s="597">
        <f>S125+T125+U125</f>
        <v/>
      </c>
      <c r="X337" s="597">
        <f>W125*Q125</f>
        <v/>
      </c>
      <c r="Y337" s="595" t="n">
        <v>65</v>
      </c>
      <c r="Z337" s="595" t="n">
        <v>45.5</v>
      </c>
      <c r="AA337" s="594">
        <f>IF(Y125=Z125,"No","Yes")</f>
        <v/>
      </c>
      <c r="AB337" s="594" t="inlineStr">
        <is>
          <t>NW222WL3004</t>
        </is>
      </c>
      <c r="AC337" s="593" t="inlineStr">
        <is>
          <t>针梭拼Tee</t>
        </is>
      </c>
    </row>
    <row r="338" ht="18" customHeight="1" s="229">
      <c r="A338" s="361" t="inlineStr">
        <is>
          <t>Classic Cozy Belted Pajama Shirt</t>
        </is>
      </c>
      <c r="B338" s="362" t="inlineStr">
        <is>
          <t>Loungewear</t>
        </is>
      </c>
      <c r="C338" s="589" t="inlineStr">
        <is>
          <t>REMOVE</t>
        </is>
      </c>
      <c r="D338" s="364" t="inlineStr">
        <is>
          <t>Below threshold — long tail</t>
        </is>
      </c>
      <c r="E338" s="364" t="inlineStr">
        <is>
          <t>3 — MEDIUM (selldown or markdown)</t>
        </is>
      </c>
      <c r="F338" s="365" t="inlineStr">
        <is>
          <t>Remove</t>
        </is>
      </c>
      <c r="G338" s="364" t="n"/>
      <c r="H338" s="366" t="n">
        <v>1513.04</v>
      </c>
      <c r="I338" s="366" t="n">
        <v>2118.2</v>
      </c>
      <c r="J338" s="366" t="n">
        <v>-605.16</v>
      </c>
      <c r="K338" s="367" t="n">
        <v>0.286</v>
      </c>
      <c r="L338" s="368" t="n">
        <v>34</v>
      </c>
      <c r="M338" s="366" t="n">
        <v>44.5</v>
      </c>
      <c r="N338" s="369" t="n">
        <v>0.0008</v>
      </c>
      <c r="O338" s="369" t="n">
        <v>0.9052</v>
      </c>
      <c r="P338" s="365" t="n">
        <v>13</v>
      </c>
      <c r="Q338" s="366" t="n">
        <v>15</v>
      </c>
      <c r="R338" s="368" t="n">
        <v>32</v>
      </c>
      <c r="S338" s="368" t="n">
        <v>0</v>
      </c>
      <c r="T338" s="368" t="n">
        <v>128</v>
      </c>
      <c r="U338" s="368" t="n">
        <v>466</v>
      </c>
      <c r="V338" s="368">
        <f>S127+T127</f>
        <v/>
      </c>
      <c r="W338" s="368">
        <f>S127+T127+U127</f>
        <v/>
      </c>
      <c r="X338" s="368">
        <f>W127*Q127</f>
        <v/>
      </c>
      <c r="Y338" s="366" t="n">
        <v>89</v>
      </c>
      <c r="Z338" s="366" t="n">
        <v>62.3</v>
      </c>
      <c r="AA338" s="365">
        <f>IF(Y127=Z127,"No","Yes")</f>
        <v/>
      </c>
      <c r="AB338" s="365" t="inlineStr">
        <is>
          <t>NW222WL3003</t>
        </is>
      </c>
      <c r="AC338" s="364" t="inlineStr">
        <is>
          <t>针梭拼半领睡衣</t>
        </is>
      </c>
    </row>
    <row r="339" ht="18" customHeight="1" s="229">
      <c r="A339" s="590" t="inlineStr">
        <is>
          <t>UltraFlex Cotton Basic Tee</t>
        </is>
      </c>
      <c r="B339" s="591" t="inlineStr">
        <is>
          <t>Loungewear</t>
        </is>
      </c>
      <c r="C339" s="592" t="inlineStr">
        <is>
          <t>REMOVE</t>
        </is>
      </c>
      <c r="D339" s="593" t="inlineStr">
        <is>
          <t>Below threshold — long tail</t>
        </is>
      </c>
      <c r="E339" s="593" t="inlineStr">
        <is>
          <t>3 — MEDIUM (selldown or markdown)</t>
        </is>
      </c>
      <c r="F339" s="594" t="inlineStr">
        <is>
          <t>Keep</t>
        </is>
      </c>
      <c r="G339" s="593" t="inlineStr">
        <is>
          <t>Keep Partial, UltraFlex Collection</t>
        </is>
      </c>
      <c r="H339" s="595" t="n">
        <v>1493.7</v>
      </c>
      <c r="I339" s="595" t="n">
        <v>2730</v>
      </c>
      <c r="J339" s="595" t="n">
        <v>-643.5</v>
      </c>
      <c r="K339" s="596" t="n">
        <v>0.236</v>
      </c>
      <c r="L339" s="597" t="n">
        <v>50</v>
      </c>
      <c r="M339" s="595" t="n">
        <v>29.87</v>
      </c>
      <c r="N339" s="598" t="n">
        <v>0.0008</v>
      </c>
      <c r="O339" s="598" t="n">
        <v>0.9068000000000001</v>
      </c>
      <c r="P339" s="594" t="n">
        <v>18</v>
      </c>
      <c r="Q339" s="595" t="n">
        <v>15</v>
      </c>
      <c r="R339" s="597" t="n">
        <v>68</v>
      </c>
      <c r="S339" s="597" t="n">
        <v>0</v>
      </c>
      <c r="T339" s="597" t="n">
        <v>487</v>
      </c>
      <c r="U339" s="597" t="n">
        <v>0</v>
      </c>
      <c r="V339" s="597">
        <f>S129+T129</f>
        <v/>
      </c>
      <c r="W339" s="597">
        <f>S129+T129+U129</f>
        <v/>
      </c>
      <c r="X339" s="597">
        <f>W129*Q129</f>
        <v/>
      </c>
      <c r="Y339" s="595" t="n">
        <v>39</v>
      </c>
      <c r="Z339" s="595" t="n">
        <v>39</v>
      </c>
      <c r="AA339" s="594">
        <f>IF(Y129=Z129,"No","Yes")</f>
        <v/>
      </c>
      <c r="AB339" s="594" t="inlineStr">
        <is>
          <t>NO251WF3308</t>
        </is>
      </c>
      <c r="AC339" s="593" t="inlineStr">
        <is>
          <t xml:space="preserve">好弹棉质基础打底短袖 </t>
        </is>
      </c>
    </row>
    <row r="340" ht="18" customHeight="1" s="229">
      <c r="A340" s="361" t="inlineStr">
        <is>
          <t>Ribbed Wide Leg Pants</t>
        </is>
      </c>
      <c r="B340" s="362" t="inlineStr">
        <is>
          <t>Loungewear</t>
        </is>
      </c>
      <c r="C340" s="589" t="inlineStr">
        <is>
          <t>REMOVE</t>
        </is>
      </c>
      <c r="D340" s="364" t="inlineStr">
        <is>
          <t>Below threshold — long tail</t>
        </is>
      </c>
      <c r="E340" s="364" t="inlineStr">
        <is>
          <t>3 — MEDIUM (selldown or markdown)</t>
        </is>
      </c>
      <c r="F340" s="365" t="inlineStr">
        <is>
          <t>Remove</t>
        </is>
      </c>
      <c r="G340" s="364" t="n"/>
      <c r="H340" s="366" t="n">
        <v>1399.76</v>
      </c>
      <c r="I340" s="366" t="n">
        <v>2167.5</v>
      </c>
      <c r="J340" s="366" t="n">
        <v>-686.36</v>
      </c>
      <c r="K340" s="367" t="n">
        <v>0.317</v>
      </c>
      <c r="L340" s="368" t="n">
        <v>41</v>
      </c>
      <c r="M340" s="366" t="n">
        <v>34.14</v>
      </c>
      <c r="N340" s="369" t="n">
        <v>0.0008</v>
      </c>
      <c r="O340" s="369" t="n">
        <v>0.91</v>
      </c>
      <c r="P340" s="365" t="n">
        <v>9</v>
      </c>
      <c r="Q340" s="366" t="n">
        <v>15</v>
      </c>
      <c r="R340" s="368" t="n">
        <v>42</v>
      </c>
      <c r="S340" s="368" t="n">
        <v>0</v>
      </c>
      <c r="T340" s="368" t="n">
        <v>39</v>
      </c>
      <c r="U340" s="368" t="n">
        <v>429</v>
      </c>
      <c r="V340" s="368">
        <f>S133+T133</f>
        <v/>
      </c>
      <c r="W340" s="368">
        <f>S133+T133+U133</f>
        <v/>
      </c>
      <c r="X340" s="368">
        <f>W133*Q133</f>
        <v/>
      </c>
      <c r="Y340" s="366" t="n">
        <v>75</v>
      </c>
      <c r="Z340" s="366" t="n">
        <v>45</v>
      </c>
      <c r="AA340" s="365">
        <f>IF(Y133=Z133,"No","Yes")</f>
        <v/>
      </c>
      <c r="AB340" s="365" t="inlineStr">
        <is>
          <t>NW222PL4001</t>
        </is>
      </c>
      <c r="AC340" s="364" t="inlineStr">
        <is>
          <t>罗纹阔腿裤</t>
        </is>
      </c>
    </row>
    <row r="341" ht="18" customHeight="1" s="229">
      <c r="A341" s="590" t="inlineStr">
        <is>
          <t>UltraFlex Cotton Padded Camisole</t>
        </is>
      </c>
      <c r="B341" s="591" t="inlineStr">
        <is>
          <t>Loungewear</t>
        </is>
      </c>
      <c r="C341" s="592" t="inlineStr">
        <is>
          <t>REMOVE</t>
        </is>
      </c>
      <c r="D341" s="593" t="inlineStr">
        <is>
          <t>Below threshold — long tail</t>
        </is>
      </c>
      <c r="E341" s="593" t="inlineStr">
        <is>
          <t>4 — LOW (natural sellthrough)</t>
        </is>
      </c>
      <c r="F341" s="594" t="inlineStr">
        <is>
          <t>Keep</t>
        </is>
      </c>
      <c r="G341" s="593" t="inlineStr">
        <is>
          <t>Keep, UltraFlex Collection is popular</t>
        </is>
      </c>
      <c r="H341" s="595" t="n">
        <v>1394.25</v>
      </c>
      <c r="I341" s="595" t="n">
        <v>2184</v>
      </c>
      <c r="J341" s="595" t="n">
        <v>-547.95</v>
      </c>
      <c r="K341" s="600" t="n">
        <v>0.251</v>
      </c>
      <c r="L341" s="597" t="n">
        <v>48</v>
      </c>
      <c r="M341" s="595" t="n">
        <v>29.05</v>
      </c>
      <c r="N341" s="598" t="n">
        <v>0.0008</v>
      </c>
      <c r="O341" s="598" t="n">
        <v>0.9107999999999999</v>
      </c>
      <c r="P341" s="594" t="n">
        <v>11</v>
      </c>
      <c r="Q341" s="595" t="n">
        <v>15</v>
      </c>
      <c r="R341" s="597" t="n">
        <v>55</v>
      </c>
      <c r="S341" s="597" t="n">
        <v>26</v>
      </c>
      <c r="T341" s="597" t="n">
        <v>5</v>
      </c>
      <c r="U341" s="597" t="n">
        <v>0</v>
      </c>
      <c r="V341" s="597">
        <f>S134+T134</f>
        <v/>
      </c>
      <c r="W341" s="597">
        <f>S134+T134+U134</f>
        <v/>
      </c>
      <c r="X341" s="597">
        <f>W134*Q134</f>
        <v/>
      </c>
      <c r="Y341" s="595" t="n">
        <v>39</v>
      </c>
      <c r="Z341" s="595" t="n">
        <v>39</v>
      </c>
      <c r="AA341" s="594">
        <f>IF(Y134=Z134,"No","Yes")</f>
        <v/>
      </c>
      <c r="AB341" s="594" t="inlineStr">
        <is>
          <t>NO251WF3109</t>
        </is>
      </c>
      <c r="AC341" s="593" t="inlineStr">
        <is>
          <t>好弹棉质带胸垫吊带背心</t>
        </is>
      </c>
    </row>
    <row r="342" ht="18" customHeight="1" s="229">
      <c r="A342" s="361" t="inlineStr">
        <is>
          <t>Plush Fleece Pajama Set</t>
        </is>
      </c>
      <c r="B342" s="362" t="inlineStr">
        <is>
          <t>Loungewear</t>
        </is>
      </c>
      <c r="C342" s="589" t="inlineStr">
        <is>
          <t>REMOVE</t>
        </is>
      </c>
      <c r="D342" s="364" t="inlineStr">
        <is>
          <t>Below threshold — long tail</t>
        </is>
      </c>
      <c r="E342" s="364" t="inlineStr">
        <is>
          <t>4 — LOW (natural sellthrough)</t>
        </is>
      </c>
      <c r="F342" s="365" t="inlineStr">
        <is>
          <t>Remove</t>
        </is>
      </c>
      <c r="G342" s="364" t="n"/>
      <c r="H342" s="366" t="n">
        <v>1325.5</v>
      </c>
      <c r="I342" s="366" t="n">
        <v>1705</v>
      </c>
      <c r="J342" s="366" t="n">
        <v>-324.5</v>
      </c>
      <c r="K342" s="380" t="n">
        <v>0.19</v>
      </c>
      <c r="L342" s="368" t="n">
        <v>30</v>
      </c>
      <c r="M342" s="366" t="n">
        <v>44.18</v>
      </c>
      <c r="N342" s="369" t="n">
        <v>0.0007000000000000001</v>
      </c>
      <c r="O342" s="369" t="n">
        <v>0.9151</v>
      </c>
      <c r="P342" s="365" t="n">
        <v>5</v>
      </c>
      <c r="Q342" s="366" t="n">
        <v>15</v>
      </c>
      <c r="R342" s="368" t="n">
        <v>31</v>
      </c>
      <c r="S342" s="368" t="n">
        <v>10</v>
      </c>
      <c r="T342" s="368" t="n">
        <v>5</v>
      </c>
      <c r="U342" s="368" t="n">
        <v>6</v>
      </c>
      <c r="V342" s="368">
        <f>S140+T140</f>
        <v/>
      </c>
      <c r="W342" s="368">
        <f>S140+T140+U140</f>
        <v/>
      </c>
      <c r="X342" s="368">
        <f>W140*Q140</f>
        <v/>
      </c>
      <c r="Y342" s="366" t="n">
        <v>55</v>
      </c>
      <c r="Z342" s="366" t="n">
        <v>55</v>
      </c>
      <c r="AA342" s="365">
        <f>IF(Y140=Z140,"No","Yes")</f>
        <v/>
      </c>
      <c r="AB342" s="365" t="inlineStr">
        <is>
          <t>NW232PL5708</t>
        </is>
      </c>
      <c r="AC342" s="364" t="inlineStr">
        <is>
          <t>半边绒套头衫+裤子套装</t>
        </is>
      </c>
    </row>
    <row r="343" ht="18" customHeight="1" s="229">
      <c r="A343" s="590" t="inlineStr">
        <is>
          <t>Teddy Fleece Jacket</t>
        </is>
      </c>
      <c r="B343" s="591" t="inlineStr">
        <is>
          <t>Loungewear</t>
        </is>
      </c>
      <c r="C343" s="592" t="inlineStr">
        <is>
          <t>REMOVE</t>
        </is>
      </c>
      <c r="D343" s="593" t="inlineStr">
        <is>
          <t>Below threshold — long tail</t>
        </is>
      </c>
      <c r="E343" s="593" t="inlineStr">
        <is>
          <t>4 — LOW (natural sellthrough)</t>
        </is>
      </c>
      <c r="F343" s="594" t="inlineStr">
        <is>
          <t>Remove</t>
        </is>
      </c>
      <c r="G343" s="593" t="n"/>
      <c r="H343" s="595" t="n">
        <v>1322.63</v>
      </c>
      <c r="I343" s="595" t="n">
        <v>2194.5</v>
      </c>
      <c r="J343" s="595" t="n">
        <v>-625.45</v>
      </c>
      <c r="K343" s="600" t="n">
        <v>0.285</v>
      </c>
      <c r="L343" s="597" t="n">
        <v>28</v>
      </c>
      <c r="M343" s="595" t="n">
        <v>47.24</v>
      </c>
      <c r="N343" s="598" t="n">
        <v>0.0007000000000000001</v>
      </c>
      <c r="O343" s="598" t="n">
        <v>0.9157999999999999</v>
      </c>
      <c r="P343" s="594" t="n">
        <v>5</v>
      </c>
      <c r="Q343" s="595" t="n">
        <v>15</v>
      </c>
      <c r="R343" s="597" t="n">
        <v>33</v>
      </c>
      <c r="S343" s="597" t="n">
        <v>0</v>
      </c>
      <c r="T343" s="597" t="n">
        <v>5</v>
      </c>
      <c r="U343" s="597" t="n">
        <v>111</v>
      </c>
      <c r="V343" s="597">
        <f>S141+T141</f>
        <v/>
      </c>
      <c r="W343" s="597">
        <f>S141+T141+U141</f>
        <v/>
      </c>
      <c r="X343" s="597">
        <f>W141*Q141</f>
        <v/>
      </c>
      <c r="Y343" s="595" t="n">
        <v>95</v>
      </c>
      <c r="Z343" s="595" t="n">
        <v>66.5</v>
      </c>
      <c r="AA343" s="594">
        <f>IF(Y141=Z141,"No","Yes")</f>
        <v/>
      </c>
      <c r="AB343" s="594" t="inlineStr">
        <is>
          <t>NW232WL3004</t>
        </is>
      </c>
      <c r="AC343" s="593" t="inlineStr">
        <is>
          <t>Teddy开衫</t>
        </is>
      </c>
    </row>
    <row r="344" ht="18" customHeight="1" s="229">
      <c r="A344" s="361" t="inlineStr">
        <is>
          <t>Maternity Leggings</t>
        </is>
      </c>
      <c r="B344" s="362" t="inlineStr">
        <is>
          <t>Loungewear</t>
        </is>
      </c>
      <c r="C344" s="589" t="inlineStr">
        <is>
          <t>REMOVE</t>
        </is>
      </c>
      <c r="D344" s="364" t="inlineStr">
        <is>
          <t>Below threshold — long tail</t>
        </is>
      </c>
      <c r="E344" s="364" t="inlineStr">
        <is>
          <t>3 — MEDIUM (selldown or markdown)</t>
        </is>
      </c>
      <c r="F344" s="365" t="inlineStr">
        <is>
          <t>Remove</t>
        </is>
      </c>
      <c r="G344" s="364" t="n"/>
      <c r="H344" s="366" t="n">
        <v>1280.63</v>
      </c>
      <c r="I344" s="366" t="n">
        <v>1896</v>
      </c>
      <c r="J344" s="366" t="n">
        <v>-504.77</v>
      </c>
      <c r="K344" s="367" t="n">
        <v>0.266</v>
      </c>
      <c r="L344" s="368" t="n">
        <v>22</v>
      </c>
      <c r="M344" s="366" t="n">
        <v>58.21</v>
      </c>
      <c r="N344" s="369" t="n">
        <v>0.0007000000000000001</v>
      </c>
      <c r="O344" s="369" t="n">
        <v>0.9172</v>
      </c>
      <c r="P344" s="365" t="n">
        <v>3</v>
      </c>
      <c r="Q344" s="366" t="n">
        <v>15</v>
      </c>
      <c r="R344" s="368" t="n">
        <v>23</v>
      </c>
      <c r="S344" s="368" t="n">
        <v>0</v>
      </c>
      <c r="T344" s="368" t="n">
        <v>24</v>
      </c>
      <c r="U344" s="368" t="n">
        <v>81</v>
      </c>
      <c r="V344" s="368">
        <f>S143+T143</f>
        <v/>
      </c>
      <c r="W344" s="368">
        <f>S143+T143+U143</f>
        <v/>
      </c>
      <c r="X344" s="368">
        <f>W143*Q143</f>
        <v/>
      </c>
      <c r="Y344" s="366" t="n">
        <v>79</v>
      </c>
      <c r="Z344" s="366" t="n">
        <v>79</v>
      </c>
      <c r="AA344" s="365">
        <f>IF(Y143=Z143,"No","Yes")</f>
        <v/>
      </c>
      <c r="AB344" s="365" t="inlineStr">
        <is>
          <t>NW231WF4103</t>
        </is>
      </c>
      <c r="AC344" s="364" t="inlineStr">
        <is>
          <t>孕期打底裤</t>
        </is>
      </c>
    </row>
    <row r="345" ht="18" customHeight="1" s="229">
      <c r="A345" s="590" t="inlineStr">
        <is>
          <t>Silk Modal Pajama Dress</t>
        </is>
      </c>
      <c r="B345" s="591" t="inlineStr">
        <is>
          <t>Loungewear</t>
        </is>
      </c>
      <c r="C345" s="592" t="inlineStr">
        <is>
          <t>REMOVE</t>
        </is>
      </c>
      <c r="D345" s="593" t="inlineStr">
        <is>
          <t>Below threshold — long tail</t>
        </is>
      </c>
      <c r="E345" s="593" t="inlineStr">
        <is>
          <t>4 — LOW (natural sellthrough)</t>
        </is>
      </c>
      <c r="F345" s="594" t="inlineStr">
        <is>
          <t>Remove</t>
        </is>
      </c>
      <c r="G345" s="593" t="n"/>
      <c r="H345" s="595" t="n">
        <v>1244.12</v>
      </c>
      <c r="I345" s="595" t="n">
        <v>1835.4</v>
      </c>
      <c r="J345" s="595" t="n">
        <v>-489.85</v>
      </c>
      <c r="K345" s="600" t="n">
        <v>0.267</v>
      </c>
      <c r="L345" s="597" t="n">
        <v>35</v>
      </c>
      <c r="M345" s="595" t="n">
        <v>35.55</v>
      </c>
      <c r="N345" s="598" t="n">
        <v>0.0007000000000000001</v>
      </c>
      <c r="O345" s="598" t="n">
        <v>0.9214</v>
      </c>
      <c r="P345" s="594" t="n">
        <v>6</v>
      </c>
      <c r="Q345" s="595" t="n">
        <v>15</v>
      </c>
      <c r="R345" s="597" t="n">
        <v>38</v>
      </c>
      <c r="S345" s="597" t="n">
        <v>0</v>
      </c>
      <c r="T345" s="597" t="n">
        <v>18</v>
      </c>
      <c r="U345" s="597" t="n">
        <v>352</v>
      </c>
      <c r="V345" s="597">
        <f>S149+T149</f>
        <v/>
      </c>
      <c r="W345" s="597">
        <f>S149+T149+U149</f>
        <v/>
      </c>
      <c r="X345" s="597">
        <f>W149*Q149</f>
        <v/>
      </c>
      <c r="Y345" s="595" t="n">
        <v>69</v>
      </c>
      <c r="Z345" s="595" t="n">
        <v>48.3</v>
      </c>
      <c r="AA345" s="594">
        <f>IF(Y149=Z149,"No","Yes")</f>
        <v/>
      </c>
      <c r="AB345" s="594" t="inlineStr">
        <is>
          <t>NW231WL5002</t>
        </is>
      </c>
      <c r="AC345" s="593" t="inlineStr">
        <is>
          <t>修身睡裙</t>
        </is>
      </c>
    </row>
    <row r="346" ht="18" customHeight="1" s="229">
      <c r="A346" s="361" t="inlineStr">
        <is>
          <t>Classic Cozy Pajama Shirt</t>
        </is>
      </c>
      <c r="B346" s="362" t="inlineStr">
        <is>
          <t>Loungewear</t>
        </is>
      </c>
      <c r="C346" s="589" t="inlineStr">
        <is>
          <t>REMOVE</t>
        </is>
      </c>
      <c r="D346" s="364" t="inlineStr">
        <is>
          <t>Below threshold — long tail</t>
        </is>
      </c>
      <c r="E346" s="364" t="inlineStr">
        <is>
          <t>3 — MEDIUM (selldown or markdown)</t>
        </is>
      </c>
      <c r="F346" s="365" t="inlineStr">
        <is>
          <t>Keep</t>
        </is>
      </c>
      <c r="G346" s="364" t="inlineStr">
        <is>
          <t>Keep, Classic Cozy PJ</t>
        </is>
      </c>
      <c r="H346" s="366" t="n">
        <v>1238.9</v>
      </c>
      <c r="I346" s="366" t="n">
        <v>1958</v>
      </c>
      <c r="J346" s="366" t="n">
        <v>-407.6</v>
      </c>
      <c r="K346" s="380" t="n">
        <v>0.208</v>
      </c>
      <c r="L346" s="368" t="n">
        <v>17</v>
      </c>
      <c r="M346" s="366" t="n">
        <v>72.88</v>
      </c>
      <c r="N346" s="369" t="n">
        <v>0.0007000000000000001</v>
      </c>
      <c r="O346" s="369" t="n">
        <v>0.9228000000000001</v>
      </c>
      <c r="P346" s="365" t="n">
        <v>10</v>
      </c>
      <c r="Q346" s="366" t="n">
        <v>15</v>
      </c>
      <c r="R346" s="368" t="n">
        <v>21</v>
      </c>
      <c r="S346" s="368" t="n">
        <v>6</v>
      </c>
      <c r="T346" s="368" t="n">
        <v>57</v>
      </c>
      <c r="U346" s="368" t="n">
        <v>265</v>
      </c>
      <c r="V346" s="368">
        <f>S151+T151</f>
        <v/>
      </c>
      <c r="W346" s="368">
        <f>S151+T151+U151</f>
        <v/>
      </c>
      <c r="X346" s="368">
        <f>W151*Q151</f>
        <v/>
      </c>
      <c r="Y346" s="366" t="n">
        <v>89</v>
      </c>
      <c r="Z346" s="366" t="n">
        <v>89</v>
      </c>
      <c r="AA346" s="365">
        <f>IF(Y151=Z151,"No","Yes")</f>
        <v/>
      </c>
      <c r="AB346" s="365" t="inlineStr">
        <is>
          <t>NW232WL3002</t>
        </is>
      </c>
      <c r="AC346" s="364" t="inlineStr">
        <is>
          <t>针梭拼睡衣</t>
        </is>
      </c>
    </row>
    <row r="347" ht="18" customHeight="1" s="229">
      <c r="A347" s="590" t="inlineStr">
        <is>
          <t>Wool Fleece Cocoon Jacket</t>
        </is>
      </c>
      <c r="B347" s="591" t="inlineStr">
        <is>
          <t>Loungewear</t>
        </is>
      </c>
      <c r="C347" s="592" t="inlineStr">
        <is>
          <t>REMOVE</t>
        </is>
      </c>
      <c r="D347" s="593" t="inlineStr">
        <is>
          <t>Below threshold — long tail</t>
        </is>
      </c>
      <c r="E347" s="593" t="inlineStr">
        <is>
          <t>3 — MEDIUM (selldown or markdown)</t>
        </is>
      </c>
      <c r="F347" s="594" t="inlineStr">
        <is>
          <t>Keep</t>
        </is>
      </c>
      <c r="G347" s="593" t="inlineStr">
        <is>
          <t>Keep, strategic PJ set</t>
        </is>
      </c>
      <c r="H347" s="595" t="n">
        <v>1236.38</v>
      </c>
      <c r="I347" s="595" t="n">
        <v>1980</v>
      </c>
      <c r="J347" s="595" t="n">
        <v>-496.12</v>
      </c>
      <c r="K347" s="600" t="n">
        <v>0.251</v>
      </c>
      <c r="L347" s="597" t="n">
        <v>10</v>
      </c>
      <c r="M347" s="595" t="n">
        <v>123.64</v>
      </c>
      <c r="N347" s="598" t="n">
        <v>0.0007000000000000001</v>
      </c>
      <c r="O347" s="598" t="n">
        <v>0.9235</v>
      </c>
      <c r="P347" s="594" t="n">
        <v>3</v>
      </c>
      <c r="Q347" s="595" t="n">
        <v>15</v>
      </c>
      <c r="R347" s="597" t="n">
        <v>12</v>
      </c>
      <c r="S347" s="597" t="n">
        <v>0</v>
      </c>
      <c r="T347" s="597" t="n">
        <v>136</v>
      </c>
      <c r="U347" s="597" t="n">
        <v>0</v>
      </c>
      <c r="V347" s="597">
        <f>S152+T152</f>
        <v/>
      </c>
      <c r="W347" s="597">
        <f>S152+T152+U152</f>
        <v/>
      </c>
      <c r="X347" s="597">
        <f>W152*Q152</f>
        <v/>
      </c>
      <c r="Y347" s="595" t="n">
        <v>165</v>
      </c>
      <c r="Z347" s="595" t="n">
        <v>165</v>
      </c>
      <c r="AA347" s="594">
        <f>IF(Y152=Z152,"No","Yes")</f>
        <v/>
      </c>
      <c r="AB347" s="594" t="inlineStr">
        <is>
          <t>NW242WL2706</t>
        </is>
      </c>
      <c r="AC347" s="593" t="inlineStr">
        <is>
          <t>肌理茧型短开衫</t>
        </is>
      </c>
    </row>
    <row r="348" ht="18" customHeight="1" s="229">
      <c r="A348" s="361" t="inlineStr">
        <is>
          <t>V-Neck Loose Fit Wool Cardigan</t>
        </is>
      </c>
      <c r="B348" s="362" t="inlineStr">
        <is>
          <t>Loungewear</t>
        </is>
      </c>
      <c r="C348" s="589" t="inlineStr">
        <is>
          <t>REMOVE</t>
        </is>
      </c>
      <c r="D348" s="364" t="inlineStr">
        <is>
          <t>Below threshold — long tail</t>
        </is>
      </c>
      <c r="E348" s="364" t="inlineStr">
        <is>
          <t>4 — LOW (natural sellthrough)</t>
        </is>
      </c>
      <c r="F348" s="365" t="inlineStr">
        <is>
          <t>Remove</t>
        </is>
      </c>
      <c r="G348" s="364" t="n"/>
      <c r="H348" s="366" t="n">
        <v>1204.14</v>
      </c>
      <c r="I348" s="366" t="n">
        <v>1734</v>
      </c>
      <c r="J348" s="366" t="n">
        <v>-529.86</v>
      </c>
      <c r="K348" s="367" t="n">
        <v>0.306</v>
      </c>
      <c r="L348" s="368" t="n">
        <v>9</v>
      </c>
      <c r="M348" s="366" t="n">
        <v>133.79</v>
      </c>
      <c r="N348" s="369" t="n">
        <v>0.0007000000000000001</v>
      </c>
      <c r="O348" s="369" t="n">
        <v>0.9242</v>
      </c>
      <c r="P348" s="365" t="n">
        <v>6</v>
      </c>
      <c r="Q348" s="366" t="n">
        <v>15</v>
      </c>
      <c r="R348" s="368" t="n">
        <v>9</v>
      </c>
      <c r="S348" s="368" t="n">
        <v>0</v>
      </c>
      <c r="T348" s="368" t="n">
        <v>28</v>
      </c>
      <c r="U348" s="368" t="n">
        <v>200</v>
      </c>
      <c r="V348" s="368">
        <f>S153+T153</f>
        <v/>
      </c>
      <c r="W348" s="368">
        <f>S153+T153+U153</f>
        <v/>
      </c>
      <c r="X348" s="368">
        <f>W153*Q153</f>
        <v/>
      </c>
      <c r="Y348" s="366" t="n">
        <v>289</v>
      </c>
      <c r="Z348" s="366" t="n">
        <v>173.4</v>
      </c>
      <c r="AA348" s="365">
        <f>IF(Y153=Z153,"No","Yes")</f>
        <v/>
      </c>
      <c r="AB348" s="365" t="inlineStr">
        <is>
          <t>NW222WL2701</t>
        </is>
      </c>
      <c r="AC348" s="364" t="inlineStr">
        <is>
          <t>V领宽松毛织开衫</t>
        </is>
      </c>
    </row>
    <row r="349" ht="18" customHeight="1" s="229">
      <c r="A349" s="590" t="inlineStr">
        <is>
          <t>Silky Wool Mock Neck Sleeveless Sweater</t>
        </is>
      </c>
      <c r="B349" s="591" t="inlineStr">
        <is>
          <t>Loungewear</t>
        </is>
      </c>
      <c r="C349" s="592" t="inlineStr">
        <is>
          <t>REMOVE</t>
        </is>
      </c>
      <c r="D349" s="593" t="inlineStr">
        <is>
          <t>Below threshold — long tail</t>
        </is>
      </c>
      <c r="E349" s="593" t="inlineStr">
        <is>
          <t>4 — LOW (natural sellthrough)</t>
        </is>
      </c>
      <c r="F349" s="594" t="inlineStr">
        <is>
          <t>Remove</t>
        </is>
      </c>
      <c r="G349" s="593" t="n"/>
      <c r="H349" s="595" t="n">
        <v>1165.28</v>
      </c>
      <c r="I349" s="595" t="n">
        <v>1537.9</v>
      </c>
      <c r="J349" s="595" t="n">
        <v>-372.62</v>
      </c>
      <c r="K349" s="596" t="n">
        <v>0.242</v>
      </c>
      <c r="L349" s="597" t="n">
        <v>13</v>
      </c>
      <c r="M349" s="595" t="n">
        <v>89.64</v>
      </c>
      <c r="N349" s="598" t="n">
        <v>0.0005999999999999999</v>
      </c>
      <c r="O349" s="598" t="n">
        <v>0.9254000000000001</v>
      </c>
      <c r="P349" s="594" t="n">
        <v>5</v>
      </c>
      <c r="Q349" s="595" t="n">
        <v>15</v>
      </c>
      <c r="R349" s="597" t="n">
        <v>13</v>
      </c>
      <c r="S349" s="597" t="n">
        <v>0</v>
      </c>
      <c r="T349" s="597" t="n">
        <v>20</v>
      </c>
      <c r="U349" s="597" t="n">
        <v>205</v>
      </c>
      <c r="V349" s="597">
        <f>S155+T155</f>
        <v/>
      </c>
      <c r="W349" s="597">
        <f>S155+T155+U155</f>
        <v/>
      </c>
      <c r="X349" s="597">
        <f>W155*Q155</f>
        <v/>
      </c>
      <c r="Y349" s="595" t="n">
        <v>169</v>
      </c>
      <c r="Z349" s="595" t="n">
        <v>118.3</v>
      </c>
      <c r="AA349" s="594">
        <f>IF(Y155=Z155,"No","Yes")</f>
        <v/>
      </c>
      <c r="AB349" s="594" t="inlineStr">
        <is>
          <t>NW222WB3402</t>
        </is>
      </c>
      <c r="AC349" s="593" t="inlineStr">
        <is>
          <t>半高领背心</t>
        </is>
      </c>
    </row>
    <row r="350" ht="18" customHeight="1" s="229">
      <c r="A350" s="361" t="inlineStr">
        <is>
          <t>Silky Knit Hoodie</t>
        </is>
      </c>
      <c r="B350" s="362" t="inlineStr">
        <is>
          <t>Loungewear</t>
        </is>
      </c>
      <c r="C350" s="589" t="inlineStr">
        <is>
          <t>REMOVE</t>
        </is>
      </c>
      <c r="D350" s="364" t="inlineStr">
        <is>
          <t>Below threshold — long tail</t>
        </is>
      </c>
      <c r="E350" s="364" t="inlineStr">
        <is>
          <t>3 — MEDIUM (selldown or markdown)</t>
        </is>
      </c>
      <c r="F350" s="365" t="inlineStr">
        <is>
          <t>Remove</t>
        </is>
      </c>
      <c r="G350" s="364" t="n"/>
      <c r="H350" s="366" t="n">
        <v>1158.07</v>
      </c>
      <c r="I350" s="366" t="n">
        <v>1595</v>
      </c>
      <c r="J350" s="366" t="n">
        <v>-291.93</v>
      </c>
      <c r="K350" s="380" t="n">
        <v>0.183</v>
      </c>
      <c r="L350" s="368" t="n">
        <v>10</v>
      </c>
      <c r="M350" s="366" t="n">
        <v>115.81</v>
      </c>
      <c r="N350" s="369" t="n">
        <v>0.0005999999999999999</v>
      </c>
      <c r="O350" s="369" t="n">
        <v>0.9259999999999999</v>
      </c>
      <c r="P350" s="365" t="n">
        <v>6</v>
      </c>
      <c r="Q350" s="366" t="n">
        <v>15</v>
      </c>
      <c r="R350" s="368" t="n">
        <v>11</v>
      </c>
      <c r="S350" s="368" t="n">
        <v>16</v>
      </c>
      <c r="T350" s="368" t="n">
        <v>14</v>
      </c>
      <c r="U350" s="368" t="n">
        <v>12</v>
      </c>
      <c r="V350" s="368">
        <f>S156+T156</f>
        <v/>
      </c>
      <c r="W350" s="368">
        <f>S156+T156+U156</f>
        <v/>
      </c>
      <c r="X350" s="368">
        <f>W156*Q156</f>
        <v/>
      </c>
      <c r="Y350" s="366" t="n">
        <v>145</v>
      </c>
      <c r="Z350" s="366" t="n">
        <v>145</v>
      </c>
      <c r="AA350" s="365">
        <f>IF(Y156=Z156,"No","Yes")</f>
        <v/>
      </c>
      <c r="AB350" s="365" t="inlineStr">
        <is>
          <t>NW241WL2701</t>
        </is>
      </c>
      <c r="AC350" s="364" t="inlineStr">
        <is>
          <t>宽松连帽开衫</t>
        </is>
      </c>
    </row>
    <row r="351" ht="18" customHeight="1" s="229">
      <c r="A351" s="590" t="inlineStr">
        <is>
          <t>Classic Cozy Long Sleeve Tee</t>
        </is>
      </c>
      <c r="B351" s="591" t="inlineStr">
        <is>
          <t>Loungewear</t>
        </is>
      </c>
      <c r="C351" s="592" t="inlineStr">
        <is>
          <t>REMOVE</t>
        </is>
      </c>
      <c r="D351" s="593" t="inlineStr">
        <is>
          <t>Below threshold — long tail</t>
        </is>
      </c>
      <c r="E351" s="593" t="inlineStr">
        <is>
          <t>3 — MEDIUM (selldown or markdown)</t>
        </is>
      </c>
      <c r="F351" s="594" t="inlineStr">
        <is>
          <t>Remove</t>
        </is>
      </c>
      <c r="G351" s="593" t="n"/>
      <c r="H351" s="595" t="n">
        <v>1155</v>
      </c>
      <c r="I351" s="595" t="n">
        <v>1639</v>
      </c>
      <c r="J351" s="595" t="n">
        <v>-308</v>
      </c>
      <c r="K351" s="596" t="n">
        <v>0.188</v>
      </c>
      <c r="L351" s="597" t="n">
        <v>26</v>
      </c>
      <c r="M351" s="595" t="n">
        <v>44.42</v>
      </c>
      <c r="N351" s="598" t="n">
        <v>0.0005999999999999999</v>
      </c>
      <c r="O351" s="598" t="n">
        <v>0.9266</v>
      </c>
      <c r="P351" s="594" t="n">
        <v>12</v>
      </c>
      <c r="Q351" s="595" t="n">
        <v>15</v>
      </c>
      <c r="R351" s="597" t="n">
        <v>30</v>
      </c>
      <c r="S351" s="597" t="n">
        <v>0</v>
      </c>
      <c r="T351" s="597" t="n">
        <v>55</v>
      </c>
      <c r="U351" s="597" t="n">
        <v>304</v>
      </c>
      <c r="V351" s="597">
        <f>S157+T157</f>
        <v/>
      </c>
      <c r="W351" s="597">
        <f>S157+T157+U157</f>
        <v/>
      </c>
      <c r="X351" s="597">
        <f>W157*Q157</f>
        <v/>
      </c>
      <c r="Y351" s="595" t="n">
        <v>55</v>
      </c>
      <c r="Z351" s="595" t="n">
        <v>55</v>
      </c>
      <c r="AA351" s="594">
        <f>IF(Y157=Z157,"No","Yes")</f>
        <v/>
      </c>
      <c r="AB351" s="594" t="inlineStr">
        <is>
          <t>NW232WL3301</t>
        </is>
      </c>
      <c r="AC351" s="593" t="inlineStr">
        <is>
          <t>微宽松长袖Tee</t>
        </is>
      </c>
    </row>
    <row r="352" ht="18" customHeight="1" s="229">
      <c r="A352" s="361" t="inlineStr">
        <is>
          <t>Knitted Spring Cardigan</t>
        </is>
      </c>
      <c r="B352" s="362" t="inlineStr">
        <is>
          <t>Loungewear</t>
        </is>
      </c>
      <c r="C352" s="589" t="inlineStr">
        <is>
          <t>REMOVE</t>
        </is>
      </c>
      <c r="D352" s="364" t="inlineStr">
        <is>
          <t>Below threshold — long tail</t>
        </is>
      </c>
      <c r="E352" s="364" t="inlineStr">
        <is>
          <t>4 — LOW (natural sellthrough)</t>
        </is>
      </c>
      <c r="F352" s="365" t="inlineStr">
        <is>
          <t>Remove</t>
        </is>
      </c>
      <c r="G352" s="364" t="n"/>
      <c r="H352" s="366" t="n">
        <v>1143.81</v>
      </c>
      <c r="I352" s="366" t="n">
        <v>1503.6</v>
      </c>
      <c r="J352" s="366" t="n">
        <v>-359.79</v>
      </c>
      <c r="K352" s="380" t="n">
        <v>0.239</v>
      </c>
      <c r="L352" s="368" t="n">
        <v>14</v>
      </c>
      <c r="M352" s="366" t="n">
        <v>81.7</v>
      </c>
      <c r="N352" s="369" t="n">
        <v>0.0005999999999999999</v>
      </c>
      <c r="O352" s="369" t="n">
        <v>0.9284</v>
      </c>
      <c r="P352" s="365" t="n">
        <v>9</v>
      </c>
      <c r="Q352" s="366" t="n">
        <v>15</v>
      </c>
      <c r="R352" s="368" t="n">
        <v>14</v>
      </c>
      <c r="S352" s="368" t="n">
        <v>0</v>
      </c>
      <c r="T352" s="368" t="n">
        <v>45</v>
      </c>
      <c r="U352" s="368" t="n">
        <v>138</v>
      </c>
      <c r="V352" s="368">
        <f>S160+T160</f>
        <v/>
      </c>
      <c r="W352" s="368">
        <f>S160+T160+U160</f>
        <v/>
      </c>
      <c r="X352" s="368">
        <f>W160*Q160</f>
        <v/>
      </c>
      <c r="Y352" s="366" t="n">
        <v>179</v>
      </c>
      <c r="Z352" s="366" t="n">
        <v>107.4</v>
      </c>
      <c r="AA352" s="365">
        <f>IF(Y160=Z160,"No","Yes")</f>
        <v/>
      </c>
      <c r="AB352" s="365" t="inlineStr">
        <is>
          <t>NW221WB2704</t>
        </is>
      </c>
      <c r="AC352" s="364" t="inlineStr">
        <is>
          <t>短开衫</t>
        </is>
      </c>
    </row>
    <row r="353" ht="18" customHeight="1" s="229">
      <c r="A353" s="590" t="inlineStr">
        <is>
          <t>Maternity V-Neck Top</t>
        </is>
      </c>
      <c r="B353" s="591" t="inlineStr">
        <is>
          <t>Loungewear</t>
        </is>
      </c>
      <c r="C353" s="592" t="inlineStr">
        <is>
          <t>REMOVE</t>
        </is>
      </c>
      <c r="D353" s="593" t="inlineStr">
        <is>
          <t>Below threshold — long tail</t>
        </is>
      </c>
      <c r="E353" s="593" t="inlineStr">
        <is>
          <t>3 — MEDIUM (selldown or markdown)</t>
        </is>
      </c>
      <c r="F353" s="594" t="inlineStr">
        <is>
          <t>Remove</t>
        </is>
      </c>
      <c r="G353" s="593" t="n"/>
      <c r="H353" s="595" t="n">
        <v>1102.77</v>
      </c>
      <c r="I353" s="595" t="n">
        <v>1430</v>
      </c>
      <c r="J353" s="595" t="n">
        <v>-272.23</v>
      </c>
      <c r="K353" s="596" t="n">
        <v>0.19</v>
      </c>
      <c r="L353" s="597" t="n">
        <v>25</v>
      </c>
      <c r="M353" s="595" t="n">
        <v>44.11</v>
      </c>
      <c r="N353" s="598" t="n">
        <v>0.0005999999999999999</v>
      </c>
      <c r="O353" s="598" t="n">
        <v>0.9301999999999999</v>
      </c>
      <c r="P353" s="594" t="n">
        <v>7</v>
      </c>
      <c r="Q353" s="595" t="n">
        <v>15</v>
      </c>
      <c r="R353" s="597" t="n">
        <v>26</v>
      </c>
      <c r="S353" s="597" t="n">
        <v>0</v>
      </c>
      <c r="T353" s="597" t="n">
        <v>30</v>
      </c>
      <c r="U353" s="597" t="n">
        <v>241</v>
      </c>
      <c r="V353" s="597">
        <f>S163+T163</f>
        <v/>
      </c>
      <c r="W353" s="597">
        <f>S163+T163+U163</f>
        <v/>
      </c>
      <c r="X353" s="597">
        <f>W163*Q163</f>
        <v/>
      </c>
      <c r="Y353" s="595" t="n">
        <v>55</v>
      </c>
      <c r="Z353" s="595" t="n">
        <v>55</v>
      </c>
      <c r="AA353" s="594">
        <f>IF(Y163=Z163,"No","Yes")</f>
        <v/>
      </c>
      <c r="AB353" s="594" t="inlineStr">
        <is>
          <t>NW231WL3012</t>
        </is>
      </c>
      <c r="AC353" s="593" t="inlineStr">
        <is>
          <t>孕哺开合短袖</t>
        </is>
      </c>
    </row>
    <row r="354" ht="18" customHeight="1" s="229">
      <c r="A354" s="361" t="inlineStr">
        <is>
          <t>Maternity Pajama Pants</t>
        </is>
      </c>
      <c r="B354" s="362" t="inlineStr">
        <is>
          <t>Loungewear</t>
        </is>
      </c>
      <c r="C354" s="589" t="inlineStr">
        <is>
          <t>REMOVE</t>
        </is>
      </c>
      <c r="D354" s="364" t="inlineStr">
        <is>
          <t>Below threshold — long tail</t>
        </is>
      </c>
      <c r="E354" s="364" t="inlineStr">
        <is>
          <t>4 — LOW (natural sellthrough)</t>
        </is>
      </c>
      <c r="F354" s="365" t="inlineStr">
        <is>
          <t>Remove</t>
        </is>
      </c>
      <c r="G354" s="364" t="n"/>
      <c r="H354" s="366" t="n">
        <v>1073.33</v>
      </c>
      <c r="I354" s="366" t="n">
        <v>1518</v>
      </c>
      <c r="J354" s="366" t="n">
        <v>-396.37</v>
      </c>
      <c r="K354" s="367" t="n">
        <v>0.261</v>
      </c>
      <c r="L354" s="368" t="n">
        <v>21</v>
      </c>
      <c r="M354" s="366" t="n">
        <v>51.11</v>
      </c>
      <c r="N354" s="369" t="n">
        <v>0.0005999999999999999</v>
      </c>
      <c r="O354" s="369" t="n">
        <v>0.9326000000000001</v>
      </c>
      <c r="P354" s="365" t="n">
        <v>4</v>
      </c>
      <c r="Q354" s="366" t="n">
        <v>15</v>
      </c>
      <c r="R354" s="368" t="n">
        <v>21</v>
      </c>
      <c r="S354" s="368" t="n">
        <v>14</v>
      </c>
      <c r="T354" s="368" t="n">
        <v>5</v>
      </c>
      <c r="U354" s="368" t="n">
        <v>27</v>
      </c>
      <c r="V354" s="368">
        <f>S167+T167</f>
        <v/>
      </c>
      <c r="W354" s="368">
        <f>S167+T167+U167</f>
        <v/>
      </c>
      <c r="X354" s="368">
        <f>W167*Q167</f>
        <v/>
      </c>
      <c r="Y354" s="366" t="n">
        <v>69</v>
      </c>
      <c r="Z354" s="366" t="n">
        <v>69</v>
      </c>
      <c r="AA354" s="365">
        <f>IF(Y167=Z167,"No","Yes")</f>
        <v/>
      </c>
      <c r="AB354" s="365" t="inlineStr">
        <is>
          <t>NW231WL4011</t>
        </is>
      </c>
      <c r="AC354" s="364" t="inlineStr">
        <is>
          <t>交叉承托睡裤</t>
        </is>
      </c>
    </row>
    <row r="355" ht="18" customHeight="1" s="229">
      <c r="A355" s="590" t="inlineStr">
        <is>
          <t>Alpaca Wrap Cardigan</t>
        </is>
      </c>
      <c r="B355" s="591" t="inlineStr">
        <is>
          <t>Loungewear</t>
        </is>
      </c>
      <c r="C355" s="592" t="inlineStr">
        <is>
          <t>REMOVE</t>
        </is>
      </c>
      <c r="D355" s="593" t="inlineStr">
        <is>
          <t>Below threshold — long tail</t>
        </is>
      </c>
      <c r="E355" s="593" t="inlineStr">
        <is>
          <t>4 — LOW (natural sellthrough)</t>
        </is>
      </c>
      <c r="F355" s="594" t="inlineStr">
        <is>
          <t>Remove</t>
        </is>
      </c>
      <c r="G355" s="593" t="n"/>
      <c r="H355" s="595" t="n">
        <v>1059.86</v>
      </c>
      <c r="I355" s="595" t="n">
        <v>1479.5</v>
      </c>
      <c r="J355" s="595" t="n">
        <v>-419.64</v>
      </c>
      <c r="K355" s="600" t="n">
        <v>0.284</v>
      </c>
      <c r="L355" s="597" t="n">
        <v>8</v>
      </c>
      <c r="M355" s="595" t="n">
        <v>132.48</v>
      </c>
      <c r="N355" s="598" t="n">
        <v>0.0005999999999999999</v>
      </c>
      <c r="O355" s="598" t="n">
        <v>0.9344</v>
      </c>
      <c r="P355" s="594" t="n">
        <v>3</v>
      </c>
      <c r="Q355" s="595" t="n">
        <v>15</v>
      </c>
      <c r="R355" s="597" t="n">
        <v>8</v>
      </c>
      <c r="S355" s="597" t="n">
        <v>0</v>
      </c>
      <c r="T355" s="597" t="n">
        <v>11</v>
      </c>
      <c r="U355" s="597" t="n">
        <v>133</v>
      </c>
      <c r="V355" s="597">
        <f>S170+T170</f>
        <v/>
      </c>
      <c r="W355" s="597">
        <f>S170+T170+U170</f>
        <v/>
      </c>
      <c r="X355" s="597">
        <f>W170*Q170</f>
        <v/>
      </c>
      <c r="Y355" s="595" t="n">
        <v>269</v>
      </c>
      <c r="Z355" s="595" t="n">
        <v>161.4</v>
      </c>
      <c r="AA355" s="594">
        <f>IF(Y170=Z170,"No","Yes")</f>
        <v/>
      </c>
      <c r="AB355" s="594" t="inlineStr">
        <is>
          <t>NW222WB2707</t>
        </is>
      </c>
      <c r="AC355" s="593" t="inlineStr">
        <is>
          <t>打结开衫</t>
        </is>
      </c>
    </row>
    <row r="356" ht="18" customHeight="1" s="229">
      <c r="A356" s="361" t="inlineStr">
        <is>
          <t>Shimmer Mock Neck Sweater</t>
        </is>
      </c>
      <c r="B356" s="362" t="inlineStr">
        <is>
          <t>Loungewear</t>
        </is>
      </c>
      <c r="C356" s="589" t="inlineStr">
        <is>
          <t>REMOVE</t>
        </is>
      </c>
      <c r="D356" s="364" t="inlineStr">
        <is>
          <t>Below threshold — long tail</t>
        </is>
      </c>
      <c r="E356" s="364" t="inlineStr">
        <is>
          <t>4 — LOW (natural sellthrough)</t>
        </is>
      </c>
      <c r="F356" s="365" t="inlineStr">
        <is>
          <t>Remove</t>
        </is>
      </c>
      <c r="G356" s="364" t="n"/>
      <c r="H356" s="366" t="n">
        <v>1028.38</v>
      </c>
      <c r="I356" s="366" t="n">
        <v>1507.5</v>
      </c>
      <c r="J356" s="366" t="n">
        <v>-370.78</v>
      </c>
      <c r="K356" s="380" t="n">
        <v>0.246</v>
      </c>
      <c r="L356" s="368" t="n">
        <v>9</v>
      </c>
      <c r="M356" s="366" t="n">
        <v>114.26</v>
      </c>
      <c r="N356" s="369" t="n">
        <v>0.0005999999999999999</v>
      </c>
      <c r="O356" s="369" t="n">
        <v>0.9362</v>
      </c>
      <c r="P356" s="365" t="n">
        <v>4</v>
      </c>
      <c r="Q356" s="366" t="n">
        <v>15</v>
      </c>
      <c r="R356" s="368" t="n">
        <v>10</v>
      </c>
      <c r="S356" s="368" t="n">
        <v>0</v>
      </c>
      <c r="T356" s="368" t="n">
        <v>15</v>
      </c>
      <c r="U356" s="368" t="n">
        <v>7</v>
      </c>
      <c r="V356" s="368">
        <f>S173+T173</f>
        <v/>
      </c>
      <c r="W356" s="368">
        <f>S173+T173+U173</f>
        <v/>
      </c>
      <c r="X356" s="368">
        <f>W173*Q173</f>
        <v/>
      </c>
      <c r="Y356" s="366" t="n">
        <v>225</v>
      </c>
      <c r="Z356" s="366" t="n">
        <v>135</v>
      </c>
      <c r="AA356" s="365">
        <f>IF(Y173=Z173,"No","Yes")</f>
        <v/>
      </c>
      <c r="AB356" s="365" t="inlineStr">
        <is>
          <t>NW222WB3418</t>
        </is>
      </c>
      <c r="AC356" s="364" t="inlineStr">
        <is>
          <t>修身长袖套头衫</t>
        </is>
      </c>
    </row>
    <row r="357" ht="18" customHeight="1" s="229">
      <c r="A357" s="590" t="inlineStr">
        <is>
          <t>Maternity Wrap Top</t>
        </is>
      </c>
      <c r="B357" s="591" t="inlineStr">
        <is>
          <t>Loungewear</t>
        </is>
      </c>
      <c r="C357" s="592" t="inlineStr">
        <is>
          <t>REMOVE</t>
        </is>
      </c>
      <c r="D357" s="593" t="inlineStr">
        <is>
          <t>Low sales (&lt;$1K in 90 days)</t>
        </is>
      </c>
      <c r="E357" s="593" t="inlineStr">
        <is>
          <t>3 — MEDIUM (selldown or markdown)</t>
        </is>
      </c>
      <c r="F357" s="594" t="inlineStr">
        <is>
          <t>Remove</t>
        </is>
      </c>
      <c r="G357" s="593" t="n"/>
      <c r="H357" s="595" t="n">
        <v>950.65</v>
      </c>
      <c r="I357" s="595" t="n">
        <v>1242</v>
      </c>
      <c r="J357" s="595" t="n">
        <v>-243.05</v>
      </c>
      <c r="K357" s="596" t="n">
        <v>0.196</v>
      </c>
      <c r="L357" s="597" t="n">
        <v>17</v>
      </c>
      <c r="M357" s="595" t="n">
        <v>55.92</v>
      </c>
      <c r="N357" s="598" t="n">
        <v>0.0005</v>
      </c>
      <c r="O357" s="598" t="n">
        <v>0.9412999999999999</v>
      </c>
      <c r="P357" s="594" t="n">
        <v>4</v>
      </c>
      <c r="Q357" s="595" t="n">
        <v>15</v>
      </c>
      <c r="R357" s="597" t="n">
        <v>18</v>
      </c>
      <c r="S357" s="597" t="n">
        <v>9</v>
      </c>
      <c r="T357" s="597" t="n">
        <v>11</v>
      </c>
      <c r="U357" s="597" t="n">
        <v>35</v>
      </c>
      <c r="V357" s="597">
        <f>S182+T182</f>
        <v/>
      </c>
      <c r="W357" s="597">
        <f>S182+T182+U182</f>
        <v/>
      </c>
      <c r="X357" s="597">
        <f>W182*Q182</f>
        <v/>
      </c>
      <c r="Y357" s="595" t="n">
        <v>69</v>
      </c>
      <c r="Z357" s="595" t="n">
        <v>69</v>
      </c>
      <c r="AA357" s="594">
        <f>IF(Y182=Z182,"No","Yes")</f>
        <v/>
      </c>
      <c r="AB357" s="594" t="inlineStr">
        <is>
          <t>NW231WL3011</t>
        </is>
      </c>
      <c r="AC357" s="593" t="inlineStr">
        <is>
          <t>孕哺斜襟开衫</t>
        </is>
      </c>
    </row>
    <row r="358" ht="18" customHeight="1" s="229">
      <c r="A358" s="361" t="inlineStr">
        <is>
          <t>Boundless Side Slit Sweatshirt</t>
        </is>
      </c>
      <c r="B358" s="362" t="inlineStr">
        <is>
          <t>Loungewear</t>
        </is>
      </c>
      <c r="C358" s="589" t="inlineStr">
        <is>
          <t>REMOVE</t>
        </is>
      </c>
      <c r="D358" s="364" t="inlineStr">
        <is>
          <t>Low sales (&lt;$1K in 90 days)</t>
        </is>
      </c>
      <c r="E358" s="364" t="inlineStr">
        <is>
          <t>3 — MEDIUM (selldown or markdown)</t>
        </is>
      </c>
      <c r="F358" s="365" t="inlineStr">
        <is>
          <t>Remove</t>
        </is>
      </c>
      <c r="G358" s="364" t="n"/>
      <c r="H358" s="366" t="n">
        <v>948.41</v>
      </c>
      <c r="I358" s="366" t="n">
        <v>1493.1</v>
      </c>
      <c r="J358" s="366" t="n">
        <v>-384.58</v>
      </c>
      <c r="K358" s="367" t="n">
        <v>0.258</v>
      </c>
      <c r="L358" s="368" t="n">
        <v>23</v>
      </c>
      <c r="M358" s="366" t="n">
        <v>41.24</v>
      </c>
      <c r="N358" s="369" t="n">
        <v>0.0005</v>
      </c>
      <c r="O358" s="369" t="n">
        <v>0.9418000000000001</v>
      </c>
      <c r="P358" s="365" t="n">
        <v>9</v>
      </c>
      <c r="Q358" s="366" t="n">
        <v>15</v>
      </c>
      <c r="R358" s="368" t="n">
        <v>27</v>
      </c>
      <c r="S358" s="368" t="n">
        <v>7</v>
      </c>
      <c r="T358" s="368" t="n">
        <v>27</v>
      </c>
      <c r="U358" s="368" t="n">
        <v>157</v>
      </c>
      <c r="V358" s="368">
        <f>S183+T183</f>
        <v/>
      </c>
      <c r="W358" s="368">
        <f>S183+T183+U183</f>
        <v/>
      </c>
      <c r="X358" s="368">
        <f>W183*Q183</f>
        <v/>
      </c>
      <c r="Y358" s="366" t="n">
        <v>79</v>
      </c>
      <c r="Z358" s="366" t="n">
        <v>55.3</v>
      </c>
      <c r="AA358" s="365">
        <f>IF(Y183=Z183,"No","Yes")</f>
        <v/>
      </c>
      <c r="AB358" s="365" t="inlineStr">
        <is>
          <t>NW222WL3403</t>
        </is>
      </c>
      <c r="AC358" s="364" t="inlineStr">
        <is>
          <t>柔感开衩套头衫</t>
        </is>
      </c>
    </row>
    <row r="359" ht="18" customHeight="1" s="229">
      <c r="A359" s="590" t="inlineStr">
        <is>
          <t>Cropped Straight Leg Pajama Pants</t>
        </is>
      </c>
      <c r="B359" s="591" t="inlineStr">
        <is>
          <t>Loungewear</t>
        </is>
      </c>
      <c r="C359" s="592" t="inlineStr">
        <is>
          <t>REMOVE</t>
        </is>
      </c>
      <c r="D359" s="593" t="inlineStr">
        <is>
          <t>Low sales (&lt;$1K in 90 days)</t>
        </is>
      </c>
      <c r="E359" s="593" t="inlineStr">
        <is>
          <t>4 — LOW (natural sellthrough)</t>
        </is>
      </c>
      <c r="F359" s="594" t="inlineStr">
        <is>
          <t>Remove</t>
        </is>
      </c>
      <c r="G359" s="593" t="n"/>
      <c r="H359" s="595" t="n">
        <v>935.8</v>
      </c>
      <c r="I359" s="595" t="n">
        <v>1345.2</v>
      </c>
      <c r="J359" s="595" t="n">
        <v>-409.4</v>
      </c>
      <c r="K359" s="600" t="n">
        <v>0.304</v>
      </c>
      <c r="L359" s="597" t="n">
        <v>38</v>
      </c>
      <c r="M359" s="595" t="n">
        <v>24.63</v>
      </c>
      <c r="N359" s="598" t="n">
        <v>0.0005</v>
      </c>
      <c r="O359" s="598" t="n">
        <v>0.9428</v>
      </c>
      <c r="P359" s="594" t="n">
        <v>6</v>
      </c>
      <c r="Q359" s="595" t="n">
        <v>15</v>
      </c>
      <c r="R359" s="597" t="n">
        <v>38</v>
      </c>
      <c r="S359" s="597" t="n">
        <v>0</v>
      </c>
      <c r="T359" s="597" t="n">
        <v>18</v>
      </c>
      <c r="U359" s="597" t="n">
        <v>206</v>
      </c>
      <c r="V359" s="597">
        <f>S184+T184</f>
        <v/>
      </c>
      <c r="W359" s="597">
        <f>S184+T184+U184</f>
        <v/>
      </c>
      <c r="X359" s="597">
        <f>W184*Q184</f>
        <v/>
      </c>
      <c r="Y359" s="595" t="n">
        <v>59</v>
      </c>
      <c r="Z359" s="595" t="n">
        <v>35.4</v>
      </c>
      <c r="AA359" s="594">
        <f>IF(Y184=Z184,"No","Yes")</f>
        <v/>
      </c>
      <c r="AB359" s="594" t="inlineStr">
        <is>
          <t>NW221PL4011</t>
        </is>
      </c>
      <c r="AC359" s="593" t="inlineStr">
        <is>
          <t>直筒九分裤</t>
        </is>
      </c>
    </row>
    <row r="360" ht="18" customHeight="1" s="229">
      <c r="A360" s="361" t="inlineStr">
        <is>
          <t>Boat Neck Merino Wool Sweater</t>
        </is>
      </c>
      <c r="B360" s="362" t="inlineStr">
        <is>
          <t>Loungewear</t>
        </is>
      </c>
      <c r="C360" s="589" t="inlineStr">
        <is>
          <t>REMOVE</t>
        </is>
      </c>
      <c r="D360" s="364" t="inlineStr">
        <is>
          <t>Low sales (&lt;$1K in 90 days)</t>
        </is>
      </c>
      <c r="E360" s="364" t="inlineStr">
        <is>
          <t>4 — LOW (natural sellthrough)</t>
        </is>
      </c>
      <c r="F360" s="365" t="inlineStr">
        <is>
          <t>Remove</t>
        </is>
      </c>
      <c r="G360" s="364" t="n"/>
      <c r="H360" s="366" t="n">
        <v>907.41</v>
      </c>
      <c r="I360" s="366" t="n">
        <v>1251.6</v>
      </c>
      <c r="J360" s="366" t="n">
        <v>-271.18</v>
      </c>
      <c r="K360" s="380" t="n">
        <v>0.217</v>
      </c>
      <c r="L360" s="368" t="n">
        <v>11</v>
      </c>
      <c r="M360" s="366" t="n">
        <v>82.48999999999999</v>
      </c>
      <c r="N360" s="369" t="n">
        <v>0.0005</v>
      </c>
      <c r="O360" s="369" t="n">
        <v>0.9443</v>
      </c>
      <c r="P360" s="365" t="n">
        <v>3</v>
      </c>
      <c r="Q360" s="366" t="n">
        <v>15</v>
      </c>
      <c r="R360" s="368" t="n">
        <v>12</v>
      </c>
      <c r="S360" s="368" t="n">
        <v>0</v>
      </c>
      <c r="T360" s="368" t="n">
        <v>8</v>
      </c>
      <c r="U360" s="368" t="n">
        <v>90</v>
      </c>
      <c r="V360" s="368">
        <f>S187+T187</f>
        <v/>
      </c>
      <c r="W360" s="368">
        <f>S187+T187+U187</f>
        <v/>
      </c>
      <c r="X360" s="368">
        <f>W187*Q187</f>
        <v/>
      </c>
      <c r="Y360" s="366" t="n">
        <v>149</v>
      </c>
      <c r="Z360" s="366" t="n">
        <v>104.3</v>
      </c>
      <c r="AA360" s="365">
        <f>IF(Y187=Z187,"No","Yes")</f>
        <v/>
      </c>
      <c r="AB360" s="365" t="inlineStr">
        <is>
          <t>NW222WB3404</t>
        </is>
      </c>
      <c r="AC360" s="364" t="inlineStr">
        <is>
          <t>船领毛织套衫</t>
        </is>
      </c>
    </row>
    <row r="361" ht="18" customHeight="1" s="229">
      <c r="A361" s="590" t="inlineStr">
        <is>
          <t>Ribbed Drawstring Waist Dress</t>
        </is>
      </c>
      <c r="B361" s="591" t="inlineStr">
        <is>
          <t>Loungewear</t>
        </is>
      </c>
      <c r="C361" s="592" t="inlineStr">
        <is>
          <t>REMOVE</t>
        </is>
      </c>
      <c r="D361" s="593" t="inlineStr">
        <is>
          <t>Low sales (&lt;$1K in 90 days)</t>
        </is>
      </c>
      <c r="E361" s="593" t="inlineStr">
        <is>
          <t>4 — LOW (natural sellthrough)</t>
        </is>
      </c>
      <c r="F361" s="594" t="inlineStr">
        <is>
          <t>Remove</t>
        </is>
      </c>
      <c r="G361" s="593" t="n"/>
      <c r="H361" s="595" t="n">
        <v>896.91</v>
      </c>
      <c r="I361" s="595" t="n">
        <v>1174.8</v>
      </c>
      <c r="J361" s="595" t="n">
        <v>-277.89</v>
      </c>
      <c r="K361" s="596" t="n">
        <v>0.237</v>
      </c>
      <c r="L361" s="597" t="n">
        <v>20</v>
      </c>
      <c r="M361" s="595" t="n">
        <v>44.85</v>
      </c>
      <c r="N361" s="598" t="n">
        <v>0.0005</v>
      </c>
      <c r="O361" s="598" t="n">
        <v>0.9448000000000001</v>
      </c>
      <c r="P361" s="594" t="n">
        <v>8</v>
      </c>
      <c r="Q361" s="595" t="n">
        <v>15</v>
      </c>
      <c r="R361" s="597" t="n">
        <v>20</v>
      </c>
      <c r="S361" s="597" t="n">
        <v>0</v>
      </c>
      <c r="T361" s="597" t="n">
        <v>32</v>
      </c>
      <c r="U361" s="597" t="n">
        <v>1157</v>
      </c>
      <c r="V361" s="597">
        <f>S188+T188</f>
        <v/>
      </c>
      <c r="W361" s="597">
        <f>S188+T188+U188</f>
        <v/>
      </c>
      <c r="X361" s="597">
        <f>W188*Q188</f>
        <v/>
      </c>
      <c r="Y361" s="595" t="n">
        <v>89</v>
      </c>
      <c r="Z361" s="595" t="n">
        <v>53.4</v>
      </c>
      <c r="AA361" s="594">
        <f>IF(Y188=Z188,"No","Yes")</f>
        <v/>
      </c>
      <c r="AB361" s="594" t="inlineStr">
        <is>
          <t>NW222PL5001</t>
        </is>
      </c>
      <c r="AC361" s="593" t="inlineStr">
        <is>
          <t>罗纹连衣裙</t>
        </is>
      </c>
    </row>
    <row r="362" ht="18" customHeight="1" s="229">
      <c r="A362" s="361" t="inlineStr">
        <is>
          <t>Plushy Pajama Top</t>
        </is>
      </c>
      <c r="B362" s="362" t="inlineStr">
        <is>
          <t>Loungewear</t>
        </is>
      </c>
      <c r="C362" s="589" t="inlineStr">
        <is>
          <t>REMOVE</t>
        </is>
      </c>
      <c r="D362" s="364" t="inlineStr">
        <is>
          <t>Low sales (&lt;$1K in 90 days)</t>
        </is>
      </c>
      <c r="E362" s="364" t="inlineStr">
        <is>
          <t>2 — HIGH (excess inventory vs demand)</t>
        </is>
      </c>
      <c r="F362" s="365" t="inlineStr">
        <is>
          <t>Remove</t>
        </is>
      </c>
      <c r="G362" s="364" t="n"/>
      <c r="H362" s="366" t="n">
        <v>877.6800000000001</v>
      </c>
      <c r="I362" s="366" t="n">
        <v>1242</v>
      </c>
      <c r="J362" s="366" t="n">
        <v>-364.32</v>
      </c>
      <c r="K362" s="367" t="n">
        <v>0.293</v>
      </c>
      <c r="L362" s="368" t="n">
        <v>30</v>
      </c>
      <c r="M362" s="366" t="n">
        <v>29.26</v>
      </c>
      <c r="N362" s="369" t="n">
        <v>0.0005</v>
      </c>
      <c r="O362" s="369" t="n">
        <v>0.9458</v>
      </c>
      <c r="P362" s="365" t="n">
        <v>5</v>
      </c>
      <c r="Q362" s="366" t="n">
        <v>15</v>
      </c>
      <c r="R362" s="368" t="n">
        <v>30</v>
      </c>
      <c r="S362" s="368" t="n">
        <v>0</v>
      </c>
      <c r="T362" s="368" t="n">
        <v>135</v>
      </c>
      <c r="U362" s="368" t="n">
        <v>0</v>
      </c>
      <c r="V362" s="368">
        <f>S190+T190</f>
        <v/>
      </c>
      <c r="W362" s="368">
        <f>S190+T190+U190</f>
        <v/>
      </c>
      <c r="X362" s="368">
        <f>W190*Q190</f>
        <v/>
      </c>
      <c r="Y362" s="366" t="n">
        <v>69</v>
      </c>
      <c r="Z362" s="366" t="n">
        <v>41.4</v>
      </c>
      <c r="AA362" s="365">
        <f>IF(Y190=Z190,"No","Yes")</f>
        <v/>
      </c>
      <c r="AB362" s="365" t="inlineStr">
        <is>
          <t>N212PL1203</t>
        </is>
      </c>
      <c r="AC362" s="364" t="inlineStr">
        <is>
          <t>绒感衬衫式睡衣</t>
        </is>
      </c>
    </row>
    <row r="363" ht="18" customHeight="1" s="229">
      <c r="A363" s="590" t="inlineStr">
        <is>
          <t>Knitted V-Neck Sweater</t>
        </is>
      </c>
      <c r="B363" s="591" t="inlineStr">
        <is>
          <t>Loungewear</t>
        </is>
      </c>
      <c r="C363" s="592" t="inlineStr">
        <is>
          <t>REMOVE</t>
        </is>
      </c>
      <c r="D363" s="593" t="inlineStr">
        <is>
          <t>Low sales (&lt;$1K in 90 days)</t>
        </is>
      </c>
      <c r="E363" s="593" t="inlineStr">
        <is>
          <t>4 — LOW (natural sellthrough)</t>
        </is>
      </c>
      <c r="F363" s="594" t="inlineStr">
        <is>
          <t>Remove</t>
        </is>
      </c>
      <c r="G363" s="593" t="n"/>
      <c r="H363" s="595" t="n">
        <v>795.26</v>
      </c>
      <c r="I363" s="595" t="n">
        <v>1228.5</v>
      </c>
      <c r="J363" s="595" t="n">
        <v>-433.24</v>
      </c>
      <c r="K363" s="600" t="n">
        <v>0.353</v>
      </c>
      <c r="L363" s="597" t="n">
        <v>14</v>
      </c>
      <c r="M363" s="595" t="n">
        <v>56.8</v>
      </c>
      <c r="N363" s="598" t="n">
        <v>0.0004</v>
      </c>
      <c r="O363" s="598" t="n">
        <v>0.9544</v>
      </c>
      <c r="P363" s="594" t="n">
        <v>3</v>
      </c>
      <c r="Q363" s="595" t="n">
        <v>15</v>
      </c>
      <c r="R363" s="597" t="n">
        <v>14</v>
      </c>
      <c r="S363" s="597" t="n">
        <v>0</v>
      </c>
      <c r="T363" s="597" t="n">
        <v>16</v>
      </c>
      <c r="U363" s="597" t="n">
        <v>73</v>
      </c>
      <c r="V363" s="597">
        <f>S208+T208</f>
        <v/>
      </c>
      <c r="W363" s="597">
        <f>S208+T208+U208</f>
        <v/>
      </c>
      <c r="X363" s="597">
        <f>W208*Q208</f>
        <v/>
      </c>
      <c r="Y363" s="595" t="n">
        <v>189</v>
      </c>
      <c r="Z363" s="595" t="n">
        <v>75.59999999999999</v>
      </c>
      <c r="AA363" s="594">
        <f>IF(Y208=Z208,"No","Yes")</f>
        <v/>
      </c>
      <c r="AB363" s="594" t="inlineStr">
        <is>
          <t>N212WL2410</t>
        </is>
      </c>
      <c r="AC363" s="593" t="inlineStr">
        <is>
          <t>v领毛衫</t>
        </is>
      </c>
    </row>
    <row r="364" ht="18" customHeight="1" s="229">
      <c r="A364" s="361" t="inlineStr">
        <is>
          <t>Ruched Collarless Pajama Dress</t>
        </is>
      </c>
      <c r="B364" s="362" t="inlineStr">
        <is>
          <t>Loungewear</t>
        </is>
      </c>
      <c r="C364" s="589" t="inlineStr">
        <is>
          <t>REMOVE</t>
        </is>
      </c>
      <c r="D364" s="364" t="inlineStr">
        <is>
          <t>Low sales (&lt;$1K in 90 days)</t>
        </is>
      </c>
      <c r="E364" s="364" t="inlineStr">
        <is>
          <t>3 — MEDIUM (selldown or markdown)</t>
        </is>
      </c>
      <c r="F364" s="365" t="inlineStr">
        <is>
          <t>Remove</t>
        </is>
      </c>
      <c r="G364" s="364" t="n"/>
      <c r="H364" s="366" t="n">
        <v>782.89</v>
      </c>
      <c r="I364" s="366" t="n">
        <v>996.8</v>
      </c>
      <c r="J364" s="366" t="n">
        <v>-213.91</v>
      </c>
      <c r="K364" s="380" t="n">
        <v>0.215</v>
      </c>
      <c r="L364" s="368" t="n">
        <v>16</v>
      </c>
      <c r="M364" s="366" t="n">
        <v>48.93</v>
      </c>
      <c r="N364" s="369" t="n">
        <v>0.0004</v>
      </c>
      <c r="O364" s="369" t="n">
        <v>0.9551999999999999</v>
      </c>
      <c r="P364" s="365" t="n">
        <v>7</v>
      </c>
      <c r="Q364" s="366" t="n">
        <v>15</v>
      </c>
      <c r="R364" s="368" t="n">
        <v>16</v>
      </c>
      <c r="S364" s="368" t="n">
        <v>0</v>
      </c>
      <c r="T364" s="368" t="n">
        <v>27</v>
      </c>
      <c r="U364" s="368" t="n">
        <v>326</v>
      </c>
      <c r="V364" s="368">
        <f>S210+T210</f>
        <v/>
      </c>
      <c r="W364" s="368">
        <f>S210+T210+U210</f>
        <v/>
      </c>
      <c r="X364" s="368">
        <f>W210*Q210</f>
        <v/>
      </c>
      <c r="Y364" s="366" t="n">
        <v>89</v>
      </c>
      <c r="Z364" s="366" t="n">
        <v>62.3</v>
      </c>
      <c r="AA364" s="365">
        <f>IF(Y210=Z210,"No","Yes")</f>
        <v/>
      </c>
      <c r="AB364" s="365" t="inlineStr">
        <is>
          <t>NW222PL5005</t>
        </is>
      </c>
      <c r="AC364" s="364" t="inlineStr">
        <is>
          <t>抽皱无领睡裙</t>
        </is>
      </c>
    </row>
    <row r="365" ht="18" customHeight="1" s="229">
      <c r="A365" s="590" t="inlineStr">
        <is>
          <t>Padded Thermal Set</t>
        </is>
      </c>
      <c r="B365" s="591" t="inlineStr">
        <is>
          <t>Loungewear</t>
        </is>
      </c>
      <c r="C365" s="592" t="inlineStr">
        <is>
          <t>REMOVE</t>
        </is>
      </c>
      <c r="D365" s="593" t="inlineStr">
        <is>
          <t>Low sales (&lt;$1K in 90 days)</t>
        </is>
      </c>
      <c r="E365" s="593" t="inlineStr">
        <is>
          <t>4 — LOW (natural sellthrough)</t>
        </is>
      </c>
      <c r="F365" s="594" t="inlineStr">
        <is>
          <t>Remove</t>
        </is>
      </c>
      <c r="G365" s="593" t="n"/>
      <c r="H365" s="595" t="n">
        <v>766.3</v>
      </c>
      <c r="I365" s="595" t="n">
        <v>1106</v>
      </c>
      <c r="J365" s="595" t="n">
        <v>-284.4</v>
      </c>
      <c r="K365" s="600" t="n">
        <v>0.257</v>
      </c>
      <c r="L365" s="597" t="n">
        <v>13</v>
      </c>
      <c r="M365" s="595" t="n">
        <v>58.95</v>
      </c>
      <c r="N365" s="598" t="n">
        <v>0.0004</v>
      </c>
      <c r="O365" s="598" t="n">
        <v>0.9568000000000001</v>
      </c>
      <c r="P365" s="594" t="n">
        <v>5</v>
      </c>
      <c r="Q365" s="595" t="n">
        <v>15</v>
      </c>
      <c r="R365" s="597" t="n">
        <v>14</v>
      </c>
      <c r="S365" s="597" t="n">
        <v>14</v>
      </c>
      <c r="T365" s="597" t="n">
        <v>0</v>
      </c>
      <c r="U365" s="597" t="n">
        <v>25</v>
      </c>
      <c r="V365" s="597">
        <f>S214+T214</f>
        <v/>
      </c>
      <c r="W365" s="597">
        <f>S214+T214+U214</f>
        <v/>
      </c>
      <c r="X365" s="597">
        <f>W214*Q214</f>
        <v/>
      </c>
      <c r="Y365" s="595" t="n">
        <v>79</v>
      </c>
      <c r="Z365" s="595" t="n">
        <v>79</v>
      </c>
      <c r="AA365" s="594">
        <f>IF(Y214=Z214,"No","Yes")</f>
        <v/>
      </c>
      <c r="AB365" s="594" t="inlineStr">
        <is>
          <t>NW232WF5505</t>
        </is>
      </c>
      <c r="AC365" s="593" t="inlineStr">
        <is>
          <t>暖暖带胸垫长袖打底套装</t>
        </is>
      </c>
    </row>
    <row r="366" ht="18" customHeight="1" s="229">
      <c r="A366" s="361" t="inlineStr">
        <is>
          <t>Cashmere Turtleneck Vest</t>
        </is>
      </c>
      <c r="B366" s="362" t="inlineStr">
        <is>
          <t>Loungewear</t>
        </is>
      </c>
      <c r="C366" s="589" t="inlineStr">
        <is>
          <t>REMOVE</t>
        </is>
      </c>
      <c r="D366" s="364" t="inlineStr">
        <is>
          <t>Low sales (&lt;$1K in 90 days)</t>
        </is>
      </c>
      <c r="E366" s="364" t="inlineStr">
        <is>
          <t>4 — LOW (natural sellthrough)</t>
        </is>
      </c>
      <c r="F366" s="365" t="inlineStr">
        <is>
          <t>Remove</t>
        </is>
      </c>
      <c r="G366" s="364" t="n"/>
      <c r="H366" s="366" t="n">
        <v>741.2</v>
      </c>
      <c r="I366" s="366" t="n">
        <v>874.5</v>
      </c>
      <c r="J366" s="366" t="n">
        <v>-133.3</v>
      </c>
      <c r="K366" s="380" t="n">
        <v>0.152</v>
      </c>
      <c r="L366" s="368" t="n">
        <v>10</v>
      </c>
      <c r="M366" s="366" t="n">
        <v>74.12</v>
      </c>
      <c r="N366" s="369" t="n">
        <v>0.0004</v>
      </c>
      <c r="O366" s="369" t="n">
        <v>0.9576</v>
      </c>
      <c r="P366" s="365" t="n">
        <v>5</v>
      </c>
      <c r="Q366" s="366" t="n">
        <v>15</v>
      </c>
      <c r="R366" s="368" t="n">
        <v>10</v>
      </c>
      <c r="S366" s="368" t="n">
        <v>0</v>
      </c>
      <c r="T366" s="368" t="n">
        <v>20</v>
      </c>
      <c r="U366" s="368" t="n">
        <v>253</v>
      </c>
      <c r="V366" s="368">
        <f>S216+T216</f>
        <v/>
      </c>
      <c r="W366" s="368">
        <f>S216+T216+U216</f>
        <v/>
      </c>
      <c r="X366" s="368">
        <f>W216*Q216</f>
        <v/>
      </c>
      <c r="Y366" s="366" t="n">
        <v>159</v>
      </c>
      <c r="Z366" s="366" t="n">
        <v>79.5</v>
      </c>
      <c r="AA366" s="365">
        <f>IF(Y216=Z216,"No","Yes")</f>
        <v/>
      </c>
      <c r="AB366" s="365" t="inlineStr">
        <is>
          <t>N212WL2416</t>
        </is>
      </c>
      <c r="AC366" s="364" t="inlineStr">
        <is>
          <t>羊绒高领背心</t>
        </is>
      </c>
    </row>
    <row r="367" ht="18" customHeight="1" s="229">
      <c r="A367" s="590" t="inlineStr">
        <is>
          <t>Wool Fleece Cocoon Pants</t>
        </is>
      </c>
      <c r="B367" s="591" t="inlineStr">
        <is>
          <t>Loungewear</t>
        </is>
      </c>
      <c r="C367" s="592" t="inlineStr">
        <is>
          <t>REMOVE</t>
        </is>
      </c>
      <c r="D367" s="593" t="inlineStr">
        <is>
          <t>Low sales (&lt;$1K in 90 days)</t>
        </is>
      </c>
      <c r="E367" s="593" t="inlineStr">
        <is>
          <t>2 — HIGH (excess inventory vs demand)</t>
        </is>
      </c>
      <c r="F367" s="594" t="inlineStr">
        <is>
          <t>Keep</t>
        </is>
      </c>
      <c r="G367" s="593" t="inlineStr">
        <is>
          <t>Keep, strategic PJ set</t>
        </is>
      </c>
      <c r="H367" s="595" t="n">
        <v>707.17</v>
      </c>
      <c r="I367" s="595" t="n">
        <v>1287</v>
      </c>
      <c r="J367" s="595" t="n">
        <v>-282.83</v>
      </c>
      <c r="K367" s="596" t="n">
        <v>0.22</v>
      </c>
      <c r="L367" s="597" t="n">
        <v>9</v>
      </c>
      <c r="M367" s="595" t="n">
        <v>78.56999999999999</v>
      </c>
      <c r="N367" s="598" t="n">
        <v>0.0004</v>
      </c>
      <c r="O367" s="598" t="n">
        <v>0.9612000000000001</v>
      </c>
      <c r="P367" s="594" t="n">
        <v>3</v>
      </c>
      <c r="Q367" s="595" t="n">
        <v>15</v>
      </c>
      <c r="R367" s="597" t="n">
        <v>13</v>
      </c>
      <c r="S367" s="597" t="n">
        <v>0</v>
      </c>
      <c r="T367" s="597" t="n">
        <v>124</v>
      </c>
      <c r="U367" s="597" t="n">
        <v>0</v>
      </c>
      <c r="V367" s="597">
        <f>S225+T225</f>
        <v/>
      </c>
      <c r="W367" s="597">
        <f>S225+T225+U225</f>
        <v/>
      </c>
      <c r="X367" s="597">
        <f>W225*Q225</f>
        <v/>
      </c>
      <c r="Y367" s="595" t="n">
        <v>99</v>
      </c>
      <c r="Z367" s="595" t="n">
        <v>99</v>
      </c>
      <c r="AA367" s="594">
        <f>IF(Y225=Z225,"No","Yes")</f>
        <v/>
      </c>
      <c r="AB367" s="594" t="inlineStr">
        <is>
          <t>NW242WL4103</t>
        </is>
      </c>
      <c r="AC367" s="593" t="inlineStr">
        <is>
          <t>拼接宽腰锥裤</t>
        </is>
      </c>
    </row>
    <row r="368" ht="18" customHeight="1" s="229">
      <c r="A368" s="361" t="inlineStr">
        <is>
          <t>Cotton Jacquard Pajama Pants</t>
        </is>
      </c>
      <c r="B368" s="362" t="inlineStr">
        <is>
          <t>Loungewear</t>
        </is>
      </c>
      <c r="C368" s="589" t="inlineStr">
        <is>
          <t>REMOVE</t>
        </is>
      </c>
      <c r="D368" s="364" t="inlineStr">
        <is>
          <t>Low sales (&lt;$1K in 90 days)</t>
        </is>
      </c>
      <c r="E368" s="364" t="inlineStr">
        <is>
          <t>2 — HIGH (excess inventory vs demand)</t>
        </is>
      </c>
      <c r="F368" s="365" t="inlineStr">
        <is>
          <t>Remove</t>
        </is>
      </c>
      <c r="G368" s="364" t="n"/>
      <c r="H368" s="366" t="n">
        <v>681.4</v>
      </c>
      <c r="I368" s="366" t="n">
        <v>967.5</v>
      </c>
      <c r="J368" s="366" t="n">
        <v>-234.51</v>
      </c>
      <c r="K368" s="380" t="n">
        <v>0.242</v>
      </c>
      <c r="L368" s="368" t="n">
        <v>14</v>
      </c>
      <c r="M368" s="366" t="n">
        <v>48.67</v>
      </c>
      <c r="N368" s="369" t="n">
        <v>0.0004</v>
      </c>
      <c r="O368" s="369" t="n">
        <v>0.9628</v>
      </c>
      <c r="P368" s="365" t="n">
        <v>4</v>
      </c>
      <c r="Q368" s="366" t="n">
        <v>15</v>
      </c>
      <c r="R368" s="368" t="n">
        <v>15</v>
      </c>
      <c r="S368" s="368" t="n">
        <v>0</v>
      </c>
      <c r="T368" s="368" t="n">
        <v>84</v>
      </c>
      <c r="U368" s="368" t="n">
        <v>0</v>
      </c>
      <c r="V368" s="368">
        <f>S229+T229</f>
        <v/>
      </c>
      <c r="W368" s="368">
        <f>S229+T229+U229</f>
        <v/>
      </c>
      <c r="X368" s="368">
        <f>W229*Q229</f>
        <v/>
      </c>
      <c r="Y368" s="366" t="n">
        <v>75</v>
      </c>
      <c r="Z368" s="366" t="n">
        <v>52.5</v>
      </c>
      <c r="AA368" s="365">
        <f>IF(Y229=Z229,"No","Yes")</f>
        <v/>
      </c>
      <c r="AB368" s="365" t="inlineStr">
        <is>
          <t>NW241WL4002</t>
        </is>
      </c>
      <c r="AC368" s="364" t="inlineStr">
        <is>
          <t>宽腿窄腰头八分睡裤</t>
        </is>
      </c>
    </row>
    <row r="369" ht="18" customHeight="1" s="229">
      <c r="A369" s="590" t="inlineStr">
        <is>
          <t>Silky Knit Joggers</t>
        </is>
      </c>
      <c r="B369" s="591" t="inlineStr">
        <is>
          <t>Loungewear</t>
        </is>
      </c>
      <c r="C369" s="592" t="inlineStr">
        <is>
          <t>REMOVE</t>
        </is>
      </c>
      <c r="D369" s="593" t="inlineStr">
        <is>
          <t>Low sales (&lt;$1K in 90 days)</t>
        </is>
      </c>
      <c r="E369" s="593" t="inlineStr">
        <is>
          <t>4 — LOW (natural sellthrough)</t>
        </is>
      </c>
      <c r="F369" s="594" t="inlineStr">
        <is>
          <t>Remove</t>
        </is>
      </c>
      <c r="G369" s="593" t="n"/>
      <c r="H369" s="595" t="n">
        <v>678.22</v>
      </c>
      <c r="I369" s="595" t="n">
        <v>1290</v>
      </c>
      <c r="J369" s="595" t="n">
        <v>-302.18</v>
      </c>
      <c r="K369" s="596" t="n">
        <v>0.234</v>
      </c>
      <c r="L369" s="597" t="n">
        <v>7</v>
      </c>
      <c r="M369" s="595" t="n">
        <v>96.89</v>
      </c>
      <c r="N369" s="598" t="n">
        <v>0.0004</v>
      </c>
      <c r="O369" s="598" t="n">
        <v>0.9631999999999999</v>
      </c>
      <c r="P369" s="594" t="n">
        <v>5</v>
      </c>
      <c r="Q369" s="595" t="n">
        <v>15</v>
      </c>
      <c r="R369" s="597" t="n">
        <v>10</v>
      </c>
      <c r="S369" s="597" t="n">
        <v>4</v>
      </c>
      <c r="T369" s="597" t="n">
        <v>31</v>
      </c>
      <c r="U369" s="597" t="n">
        <v>132</v>
      </c>
      <c r="V369" s="597">
        <f>S230+T230</f>
        <v/>
      </c>
      <c r="W369" s="597">
        <f>S230+T230+U230</f>
        <v/>
      </c>
      <c r="X369" s="597">
        <f>W230*Q230</f>
        <v/>
      </c>
      <c r="Y369" s="595" t="n">
        <v>129</v>
      </c>
      <c r="Z369" s="595" t="n">
        <v>129</v>
      </c>
      <c r="AA369" s="594">
        <f>IF(Y230=Z230,"No","Yes")</f>
        <v/>
      </c>
      <c r="AB369" s="594" t="inlineStr">
        <is>
          <t>NW241WL4105</t>
        </is>
      </c>
      <c r="AC369" s="593" t="inlineStr">
        <is>
          <t>宽松毛织九分束脚裤</t>
        </is>
      </c>
    </row>
    <row r="370" ht="18" customHeight="1" s="229">
      <c r="A370" s="361" t="inlineStr">
        <is>
          <t>Cotton Jacquard Pajama Top</t>
        </is>
      </c>
      <c r="B370" s="362" t="inlineStr">
        <is>
          <t>Loungewear</t>
        </is>
      </c>
      <c r="C370" s="589" t="inlineStr">
        <is>
          <t>REMOVE</t>
        </is>
      </c>
      <c r="D370" s="364" t="inlineStr">
        <is>
          <t>Low sales (&lt;$1K in 90 days)</t>
        </is>
      </c>
      <c r="E370" s="364" t="inlineStr">
        <is>
          <t>2 — HIGH (excess inventory vs demand)</t>
        </is>
      </c>
      <c r="F370" s="365" t="inlineStr">
        <is>
          <t>Remove</t>
        </is>
      </c>
      <c r="G370" s="364" t="n"/>
      <c r="H370" s="366" t="n">
        <v>659.0700000000001</v>
      </c>
      <c r="I370" s="366" t="n">
        <v>1020</v>
      </c>
      <c r="J370" s="366" t="n">
        <v>-256.84</v>
      </c>
      <c r="K370" s="367" t="n">
        <v>0.252</v>
      </c>
      <c r="L370" s="368" t="n">
        <v>14</v>
      </c>
      <c r="M370" s="366" t="n">
        <v>47.08</v>
      </c>
      <c r="N370" s="369" t="n">
        <v>0.0004</v>
      </c>
      <c r="O370" s="369" t="n">
        <v>0.9643999999999999</v>
      </c>
      <c r="P370" s="365" t="n">
        <v>4</v>
      </c>
      <c r="Q370" s="366" t="n">
        <v>15</v>
      </c>
      <c r="R370" s="368" t="n">
        <v>16</v>
      </c>
      <c r="S370" s="368" t="n">
        <v>0</v>
      </c>
      <c r="T370" s="368" t="n">
        <v>96</v>
      </c>
      <c r="U370" s="368" t="n">
        <v>8</v>
      </c>
      <c r="V370" s="368">
        <f>S233+T233</f>
        <v/>
      </c>
      <c r="W370" s="368">
        <f>S233+T233+U233</f>
        <v/>
      </c>
      <c r="X370" s="368">
        <f>W233*Q233</f>
        <v/>
      </c>
      <c r="Y370" s="366" t="n">
        <v>75</v>
      </c>
      <c r="Z370" s="366" t="n">
        <v>52.5</v>
      </c>
      <c r="AA370" s="365">
        <f>IF(Y233=Z233,"No","Yes")</f>
        <v/>
      </c>
      <c r="AB370" s="365" t="inlineStr">
        <is>
          <t>NW241WL3002</t>
        </is>
      </c>
      <c r="AC370" s="364" t="inlineStr">
        <is>
          <t>V领提花短袖衫</t>
        </is>
      </c>
    </row>
    <row r="371" ht="18" customHeight="1" s="229">
      <c r="A371" s="590" t="inlineStr">
        <is>
          <t>Cotton Wide Leg Pants</t>
        </is>
      </c>
      <c r="B371" s="591" t="inlineStr">
        <is>
          <t>Loungewear</t>
        </is>
      </c>
      <c r="C371" s="592" t="inlineStr">
        <is>
          <t>REMOVE</t>
        </is>
      </c>
      <c r="D371" s="593" t="inlineStr">
        <is>
          <t>Low sales (&lt;$1K in 90 days)</t>
        </is>
      </c>
      <c r="E371" s="593" t="inlineStr">
        <is>
          <t>2 — HIGH (excess inventory vs demand)</t>
        </is>
      </c>
      <c r="F371" s="594" t="inlineStr">
        <is>
          <t>Remove</t>
        </is>
      </c>
      <c r="G371" s="593" t="n"/>
      <c r="H371" s="595" t="n">
        <v>641.05</v>
      </c>
      <c r="I371" s="595" t="n">
        <v>808.5</v>
      </c>
      <c r="J371" s="595" t="n">
        <v>-167.45</v>
      </c>
      <c r="K371" s="596" t="n">
        <v>0.207</v>
      </c>
      <c r="L371" s="597" t="n">
        <v>7</v>
      </c>
      <c r="M371" s="595" t="n">
        <v>91.58</v>
      </c>
      <c r="N371" s="598" t="n">
        <v>0.0004</v>
      </c>
      <c r="O371" s="598" t="n">
        <v>0.9668000000000001</v>
      </c>
      <c r="P371" s="594" t="n">
        <v>4</v>
      </c>
      <c r="Q371" s="595" t="n">
        <v>15</v>
      </c>
      <c r="R371" s="597" t="n">
        <v>7</v>
      </c>
      <c r="S371" s="597" t="n">
        <v>0</v>
      </c>
      <c r="T371" s="597" t="n">
        <v>178</v>
      </c>
      <c r="U371" s="597" t="n">
        <v>0</v>
      </c>
      <c r="V371" s="597">
        <f>S239+T239</f>
        <v/>
      </c>
      <c r="W371" s="597">
        <f>S239+T239+U239</f>
        <v/>
      </c>
      <c r="X371" s="597">
        <f>W239*Q239</f>
        <v/>
      </c>
      <c r="Y371" s="595" t="n">
        <v>165</v>
      </c>
      <c r="Z371" s="595" t="n">
        <v>115.5</v>
      </c>
      <c r="AA371" s="594">
        <f>IF(Y239=Z239,"No","Yes")</f>
        <v/>
      </c>
      <c r="AB371" s="594" t="inlineStr">
        <is>
          <t>NW241WB4111</t>
        </is>
      </c>
      <c r="AC371" s="593" t="inlineStr">
        <is>
          <t>抽绳全长阔腿裤</t>
        </is>
      </c>
    </row>
    <row r="372" ht="18" customHeight="1" s="229">
      <c r="A372" s="361" t="inlineStr">
        <is>
          <t>Plushy Pajama Pants</t>
        </is>
      </c>
      <c r="B372" s="362" t="inlineStr">
        <is>
          <t>Loungewear</t>
        </is>
      </c>
      <c r="C372" s="589" t="inlineStr">
        <is>
          <t>REMOVE</t>
        </is>
      </c>
      <c r="D372" s="364" t="inlineStr">
        <is>
          <t>Low sales (&lt;$1K in 90 days)</t>
        </is>
      </c>
      <c r="E372" s="364" t="inlineStr">
        <is>
          <t>4 — LOW (natural sellthrough)</t>
        </is>
      </c>
      <c r="F372" s="365" t="inlineStr">
        <is>
          <t>Remove</t>
        </is>
      </c>
      <c r="G372" s="364" t="inlineStr">
        <is>
          <t>OOS</t>
        </is>
      </c>
      <c r="H372" s="366" t="n">
        <v>627.08</v>
      </c>
      <c r="I372" s="366" t="n">
        <v>911.4</v>
      </c>
      <c r="J372" s="366" t="n">
        <v>-263.74</v>
      </c>
      <c r="K372" s="367" t="n">
        <v>0.289</v>
      </c>
      <c r="L372" s="368" t="n">
        <v>30</v>
      </c>
      <c r="M372" s="366" t="n">
        <v>20.9</v>
      </c>
      <c r="N372" s="369" t="n">
        <v>0.0003</v>
      </c>
      <c r="O372" s="369" t="n">
        <v>0.968</v>
      </c>
      <c r="P372" s="365" t="n">
        <v>3</v>
      </c>
      <c r="Q372" s="366" t="n">
        <v>15</v>
      </c>
      <c r="R372" s="368" t="n">
        <v>31</v>
      </c>
      <c r="S372" s="368" t="n">
        <v>0</v>
      </c>
      <c r="T372" s="368" t="n">
        <v>0</v>
      </c>
      <c r="U372" s="368" t="n">
        <v>0</v>
      </c>
      <c r="V372" s="368">
        <f>S243+T243</f>
        <v/>
      </c>
      <c r="W372" s="368">
        <f>S243+T243+U243</f>
        <v/>
      </c>
      <c r="X372" s="368">
        <f>W243*Q243</f>
        <v/>
      </c>
      <c r="Y372" s="366" t="n">
        <v>49</v>
      </c>
      <c r="Z372" s="366" t="n">
        <v>29.4</v>
      </c>
      <c r="AA372" s="365">
        <f>IF(Y243=Z243,"No","Yes")</f>
        <v/>
      </c>
      <c r="AB372" s="365" t="e">
        <v>#N/A</v>
      </c>
      <c r="AC372" s="364" t="e">
        <v>#N/A</v>
      </c>
    </row>
    <row r="373" ht="18" customHeight="1" s="229">
      <c r="A373" s="590" t="inlineStr">
        <is>
          <t>Silk Sleep Camisole</t>
        </is>
      </c>
      <c r="B373" s="591" t="inlineStr">
        <is>
          <t>Loungewear</t>
        </is>
      </c>
      <c r="C373" s="592" t="inlineStr">
        <is>
          <t>REMOVE</t>
        </is>
      </c>
      <c r="D373" s="593" t="inlineStr">
        <is>
          <t>Low sales (&lt;$1K in 90 days)</t>
        </is>
      </c>
      <c r="E373" s="593" t="inlineStr">
        <is>
          <t>3 — MEDIUM (selldown or markdown)</t>
        </is>
      </c>
      <c r="F373" s="594" t="inlineStr">
        <is>
          <t>Remove</t>
        </is>
      </c>
      <c r="G373" s="593" t="n"/>
      <c r="H373" s="595" t="n">
        <v>626.95</v>
      </c>
      <c r="I373" s="595" t="n">
        <v>855</v>
      </c>
      <c r="J373" s="595" t="n">
        <v>-228.05</v>
      </c>
      <c r="K373" s="600" t="n">
        <v>0.267</v>
      </c>
      <c r="L373" s="597" t="n">
        <v>19</v>
      </c>
      <c r="M373" s="595" t="n">
        <v>33</v>
      </c>
      <c r="N373" s="598" t="n">
        <v>0.0003</v>
      </c>
      <c r="O373" s="598" t="n">
        <v>0.9682999999999999</v>
      </c>
      <c r="P373" s="594" t="n">
        <v>7</v>
      </c>
      <c r="Q373" s="595" t="n">
        <v>15</v>
      </c>
      <c r="R373" s="597" t="n">
        <v>18</v>
      </c>
      <c r="S373" s="597" t="n">
        <v>0</v>
      </c>
      <c r="T373" s="597" t="n">
        <v>43</v>
      </c>
      <c r="U373" s="597" t="n">
        <v>139</v>
      </c>
      <c r="V373" s="597">
        <f>S244+T244</f>
        <v/>
      </c>
      <c r="W373" s="597">
        <f>S244+T244+U244</f>
        <v/>
      </c>
      <c r="X373" s="597">
        <f>W244*Q244</f>
        <v/>
      </c>
      <c r="Y373" s="595" t="n">
        <v>75</v>
      </c>
      <c r="Z373" s="595" t="n">
        <v>45</v>
      </c>
      <c r="AA373" s="594">
        <f>IF(Y244=Z244,"No","Yes")</f>
        <v/>
      </c>
      <c r="AB373" s="594" t="inlineStr">
        <is>
          <t>NW221WL3103</t>
        </is>
      </c>
      <c r="AC373" s="593" t="inlineStr">
        <is>
          <t>真丝混纺拼接吊带</t>
        </is>
      </c>
    </row>
    <row r="374" ht="18" customHeight="1" s="229">
      <c r="A374" s="361" t="inlineStr">
        <is>
          <t>Hang Out Casual Pants</t>
        </is>
      </c>
      <c r="B374" s="362" t="inlineStr">
        <is>
          <t>Loungewear</t>
        </is>
      </c>
      <c r="C374" s="589" t="inlineStr">
        <is>
          <t>REMOVE</t>
        </is>
      </c>
      <c r="D374" s="364" t="inlineStr">
        <is>
          <t>Low sales (&lt;$1K in 90 days)</t>
        </is>
      </c>
      <c r="E374" s="364" t="inlineStr">
        <is>
          <t>4 — LOW (natural sellthrough)</t>
        </is>
      </c>
      <c r="F374" s="365" t="inlineStr">
        <is>
          <t>Remove</t>
        </is>
      </c>
      <c r="G374" s="364" t="n"/>
      <c r="H374" s="366" t="n">
        <v>612.6900000000001</v>
      </c>
      <c r="I374" s="366" t="n">
        <v>850.2</v>
      </c>
      <c r="J374" s="366" t="n">
        <v>-237.51</v>
      </c>
      <c r="K374" s="367" t="n">
        <v>0.279</v>
      </c>
      <c r="L374" s="368" t="n">
        <v>13</v>
      </c>
      <c r="M374" s="366" t="n">
        <v>47.13</v>
      </c>
      <c r="N374" s="369" t="n">
        <v>0.0003</v>
      </c>
      <c r="O374" s="369" t="n">
        <v>0.9689</v>
      </c>
      <c r="P374" s="365" t="n">
        <v>4</v>
      </c>
      <c r="Q374" s="366" t="n">
        <v>15</v>
      </c>
      <c r="R374" s="368" t="n">
        <v>13</v>
      </c>
      <c r="S374" s="368" t="n">
        <v>18</v>
      </c>
      <c r="T374" s="368" t="n">
        <v>6</v>
      </c>
      <c r="U374" s="368" t="n">
        <v>58</v>
      </c>
      <c r="V374" s="368">
        <f>S246+T246</f>
        <v/>
      </c>
      <c r="W374" s="368">
        <f>S246+T246+U246</f>
        <v/>
      </c>
      <c r="X374" s="368">
        <f>W246*Q246</f>
        <v/>
      </c>
      <c r="Y374" s="366" t="n">
        <v>109</v>
      </c>
      <c r="Z374" s="366" t="n">
        <v>65.40000000000001</v>
      </c>
      <c r="AA374" s="365">
        <f>IF(Y246=Z246,"No","Yes")</f>
        <v/>
      </c>
      <c r="AB374" s="365" t="inlineStr">
        <is>
          <t>NW221PB4101</t>
        </is>
      </c>
      <c r="AC374" s="364" t="inlineStr">
        <is>
          <t>茧型休闲裤</t>
        </is>
      </c>
    </row>
    <row r="375" ht="18" customHeight="1" s="229">
      <c r="A375" s="590" t="inlineStr">
        <is>
          <t>Drape-Front Asymmetrical Sweater</t>
        </is>
      </c>
      <c r="B375" s="591" t="inlineStr">
        <is>
          <t>Loungewear</t>
        </is>
      </c>
      <c r="C375" s="592" t="inlineStr">
        <is>
          <t>REMOVE</t>
        </is>
      </c>
      <c r="D375" s="593" t="inlineStr">
        <is>
          <t>Low sales (&lt;$1K in 90 days)</t>
        </is>
      </c>
      <c r="E375" s="593" t="inlineStr">
        <is>
          <t>4 — LOW (natural sellthrough)</t>
        </is>
      </c>
      <c r="F375" s="594" t="inlineStr">
        <is>
          <t>Remove</t>
        </is>
      </c>
      <c r="G375" s="593" t="n"/>
      <c r="H375" s="595" t="n">
        <v>584.83</v>
      </c>
      <c r="I375" s="595" t="n">
        <v>945</v>
      </c>
      <c r="J375" s="595" t="n">
        <v>-276.17</v>
      </c>
      <c r="K375" s="600" t="n">
        <v>0.292</v>
      </c>
      <c r="L375" s="597" t="n">
        <v>16</v>
      </c>
      <c r="M375" s="595" t="n">
        <v>36.55</v>
      </c>
      <c r="N375" s="598" t="n">
        <v>0.0003</v>
      </c>
      <c r="O375" s="598" t="n">
        <v>0.9716</v>
      </c>
      <c r="P375" s="594" t="n">
        <v>5</v>
      </c>
      <c r="Q375" s="595" t="n">
        <v>15</v>
      </c>
      <c r="R375" s="597" t="n">
        <v>18</v>
      </c>
      <c r="S375" s="597" t="n">
        <v>0</v>
      </c>
      <c r="T375" s="597" t="n">
        <v>15</v>
      </c>
      <c r="U375" s="597" t="n">
        <v>31</v>
      </c>
      <c r="V375" s="597">
        <f>S255+T255</f>
        <v/>
      </c>
      <c r="W375" s="597">
        <f>S255+T255+U255</f>
        <v/>
      </c>
      <c r="X375" s="597">
        <f>W255*Q255</f>
        <v/>
      </c>
      <c r="Y375" s="595" t="n">
        <v>75</v>
      </c>
      <c r="Z375" s="595" t="n">
        <v>52.5</v>
      </c>
      <c r="AA375" s="594">
        <f>IF(Y255=Z255,"No","Yes")</f>
        <v/>
      </c>
      <c r="AB375" s="594" t="inlineStr">
        <is>
          <t>NW222WL3401</t>
        </is>
      </c>
      <c r="AC375" s="593" t="inlineStr">
        <is>
          <t>圆领交叠上衣</t>
        </is>
      </c>
    </row>
    <row r="376" ht="18" customHeight="1" s="229">
      <c r="A376" s="361" t="inlineStr">
        <is>
          <t>Silk Cotton Straight Leg Pants</t>
        </is>
      </c>
      <c r="B376" s="362" t="inlineStr">
        <is>
          <t>Loungewear</t>
        </is>
      </c>
      <c r="C376" s="589" t="inlineStr">
        <is>
          <t>REMOVE</t>
        </is>
      </c>
      <c r="D376" s="364" t="inlineStr">
        <is>
          <t>Low sales (&lt;$1K in 90 days)</t>
        </is>
      </c>
      <c r="E376" s="364" t="inlineStr">
        <is>
          <t>3 — MEDIUM (selldown or markdown)</t>
        </is>
      </c>
      <c r="F376" s="365" t="inlineStr">
        <is>
          <t>Remove</t>
        </is>
      </c>
      <c r="G376" s="364" t="n"/>
      <c r="H376" s="366" t="n">
        <v>571.38</v>
      </c>
      <c r="I376" s="366" t="n">
        <v>854.4</v>
      </c>
      <c r="J376" s="366" t="n">
        <v>-283.02</v>
      </c>
      <c r="K376" s="367" t="n">
        <v>0.331</v>
      </c>
      <c r="L376" s="368" t="n">
        <v>16</v>
      </c>
      <c r="M376" s="366" t="n">
        <v>35.71</v>
      </c>
      <c r="N376" s="369" t="n">
        <v>0.0003</v>
      </c>
      <c r="O376" s="369" t="n">
        <v>0.9725</v>
      </c>
      <c r="P376" s="365" t="n">
        <v>5</v>
      </c>
      <c r="Q376" s="366" t="n">
        <v>15</v>
      </c>
      <c r="R376" s="368" t="n">
        <v>16</v>
      </c>
      <c r="S376" s="368" t="n">
        <v>0</v>
      </c>
      <c r="T376" s="368" t="n">
        <v>27</v>
      </c>
      <c r="U376" s="368" t="n">
        <v>1760</v>
      </c>
      <c r="V376" s="368">
        <f>S258+T258</f>
        <v/>
      </c>
      <c r="W376" s="368">
        <f>S258+T258+U258</f>
        <v/>
      </c>
      <c r="X376" s="368">
        <f>W258*Q258</f>
        <v/>
      </c>
      <c r="Y376" s="366" t="n">
        <v>89</v>
      </c>
      <c r="Z376" s="366" t="n">
        <v>53.4</v>
      </c>
      <c r="AA376" s="365">
        <f>IF(Y258=Z258,"No","Yes")</f>
        <v/>
      </c>
      <c r="AB376" s="365" t="inlineStr">
        <is>
          <t>NW221WL4015</t>
        </is>
      </c>
      <c r="AC376" s="364" t="inlineStr">
        <is>
          <t>丝绵7分睡裤</t>
        </is>
      </c>
    </row>
    <row r="377" ht="18" customHeight="1" s="229">
      <c r="A377" s="590" t="inlineStr">
        <is>
          <t>Classic Merino Wool Sleeveless Turtleneck</t>
        </is>
      </c>
      <c r="B377" s="591" t="inlineStr">
        <is>
          <t>Loungewear</t>
        </is>
      </c>
      <c r="C377" s="592" t="inlineStr">
        <is>
          <t>REMOVE</t>
        </is>
      </c>
      <c r="D377" s="593" t="inlineStr">
        <is>
          <t>Low sales (&lt;$1K in 90 days)</t>
        </is>
      </c>
      <c r="E377" s="593" t="inlineStr">
        <is>
          <t>4 — LOW (natural sellthrough)</t>
        </is>
      </c>
      <c r="F377" s="594" t="inlineStr">
        <is>
          <t>Remove</t>
        </is>
      </c>
      <c r="G377" s="593" t="n"/>
      <c r="H377" s="595" t="n">
        <v>569.63</v>
      </c>
      <c r="I377" s="595" t="n">
        <v>775</v>
      </c>
      <c r="J377" s="595" t="n">
        <v>-205.37</v>
      </c>
      <c r="K377" s="600" t="n">
        <v>0.265</v>
      </c>
      <c r="L377" s="597" t="n">
        <v>10</v>
      </c>
      <c r="M377" s="595" t="n">
        <v>56.96</v>
      </c>
      <c r="N377" s="598" t="n">
        <v>0.0003</v>
      </c>
      <c r="O377" s="598" t="n">
        <v>0.9731000000000001</v>
      </c>
      <c r="P377" s="594" t="n">
        <v>3</v>
      </c>
      <c r="Q377" s="595" t="n">
        <v>15</v>
      </c>
      <c r="R377" s="597" t="n">
        <v>10</v>
      </c>
      <c r="S377" s="597" t="n">
        <v>0</v>
      </c>
      <c r="T377" s="597" t="n">
        <v>8</v>
      </c>
      <c r="U377" s="597" t="n">
        <v>327</v>
      </c>
      <c r="V377" s="597">
        <f>S260+T260</f>
        <v/>
      </c>
      <c r="W377" s="597">
        <f>S260+T260+U260</f>
        <v/>
      </c>
      <c r="X377" s="597">
        <f>W260*Q260</f>
        <v/>
      </c>
      <c r="Y377" s="595" t="n">
        <v>155</v>
      </c>
      <c r="Z377" s="595" t="n">
        <v>77.5</v>
      </c>
      <c r="AA377" s="594">
        <f>IF(Y260=Z260,"No","Yes")</f>
        <v/>
      </c>
      <c r="AB377" s="594" t="inlineStr">
        <is>
          <t>N212WL2418</t>
        </is>
      </c>
      <c r="AC377" s="593" t="inlineStr">
        <is>
          <t>水溶羊毛提花高领背心</t>
        </is>
      </c>
    </row>
    <row r="378" ht="18" customHeight="1" s="229">
      <c r="A378" s="361" t="inlineStr">
        <is>
          <t>Silk Sleep Pajama Pants</t>
        </is>
      </c>
      <c r="B378" s="362" t="inlineStr">
        <is>
          <t>Loungewear</t>
        </is>
      </c>
      <c r="C378" s="589" t="inlineStr">
        <is>
          <t>REMOVE</t>
        </is>
      </c>
      <c r="D378" s="364" t="inlineStr">
        <is>
          <t>Low sales (&lt;$1K in 90 days)</t>
        </is>
      </c>
      <c r="E378" s="364" t="inlineStr">
        <is>
          <t>4 — LOW (natural sellthrough)</t>
        </is>
      </c>
      <c r="F378" s="365" t="inlineStr">
        <is>
          <t>Remove</t>
        </is>
      </c>
      <c r="G378" s="364" t="n"/>
      <c r="H378" s="366" t="n">
        <v>565.83</v>
      </c>
      <c r="I378" s="366" t="n">
        <v>714</v>
      </c>
      <c r="J378" s="366" t="n">
        <v>-148.17</v>
      </c>
      <c r="K378" s="380" t="n">
        <v>0.208</v>
      </c>
      <c r="L378" s="368" t="n">
        <v>10</v>
      </c>
      <c r="M378" s="366" t="n">
        <v>56.58</v>
      </c>
      <c r="N378" s="369" t="n">
        <v>0.0003</v>
      </c>
      <c r="O378" s="369" t="n">
        <v>0.9734</v>
      </c>
      <c r="P378" s="365" t="n">
        <v>7</v>
      </c>
      <c r="Q378" s="366" t="n">
        <v>15</v>
      </c>
      <c r="R378" s="368" t="n">
        <v>10</v>
      </c>
      <c r="S378" s="368" t="n">
        <v>0</v>
      </c>
      <c r="T378" s="368" t="n">
        <v>24</v>
      </c>
      <c r="U378" s="368" t="n">
        <v>152</v>
      </c>
      <c r="V378" s="368">
        <f>S261+T261</f>
        <v/>
      </c>
      <c r="W378" s="368">
        <f>S261+T261+U261</f>
        <v/>
      </c>
      <c r="X378" s="368">
        <f>W261*Q261</f>
        <v/>
      </c>
      <c r="Y378" s="366" t="n">
        <v>119</v>
      </c>
      <c r="Z378" s="366" t="n">
        <v>71.40000000000001</v>
      </c>
      <c r="AA378" s="365">
        <f>IF(Y261=Z261,"No","Yes")</f>
        <v/>
      </c>
      <c r="AB378" s="365" t="inlineStr">
        <is>
          <t>NW221WL4016</t>
        </is>
      </c>
      <c r="AC378" s="364" t="inlineStr">
        <is>
          <t>真丝混纺睡裤</t>
        </is>
      </c>
    </row>
    <row r="379" ht="18" customHeight="1" s="229">
      <c r="A379" s="590" t="inlineStr">
        <is>
          <t>Laid Back Ribbed Pajama Pants</t>
        </is>
      </c>
      <c r="B379" s="591" t="inlineStr">
        <is>
          <t>Loungewear</t>
        </is>
      </c>
      <c r="C379" s="592" t="inlineStr">
        <is>
          <t>REMOVE</t>
        </is>
      </c>
      <c r="D379" s="593" t="inlineStr">
        <is>
          <t>Low sales (&lt;$1K in 90 days)</t>
        </is>
      </c>
      <c r="E379" s="593" t="inlineStr">
        <is>
          <t>3 — MEDIUM (selldown or markdown)</t>
        </is>
      </c>
      <c r="F379" s="594" t="inlineStr">
        <is>
          <t>Remove</t>
        </is>
      </c>
      <c r="G379" s="593" t="n"/>
      <c r="H379" s="595" t="n">
        <v>563.4</v>
      </c>
      <c r="I379" s="595" t="n">
        <v>849.6</v>
      </c>
      <c r="J379" s="595" t="n">
        <v>-236.64</v>
      </c>
      <c r="K379" s="600" t="n">
        <v>0.279</v>
      </c>
      <c r="L379" s="597" t="n">
        <v>22</v>
      </c>
      <c r="M379" s="595" t="n">
        <v>25.61</v>
      </c>
      <c r="N379" s="598" t="n">
        <v>0.0003</v>
      </c>
      <c r="O379" s="598" t="n">
        <v>0.9737</v>
      </c>
      <c r="P379" s="594" t="n">
        <v>10</v>
      </c>
      <c r="Q379" s="595" t="n">
        <v>15</v>
      </c>
      <c r="R379" s="597" t="n">
        <v>24</v>
      </c>
      <c r="S379" s="597" t="n">
        <v>14</v>
      </c>
      <c r="T379" s="597" t="n">
        <v>29</v>
      </c>
      <c r="U379" s="597" t="n">
        <v>84</v>
      </c>
      <c r="V379" s="597">
        <f>S262+T262</f>
        <v/>
      </c>
      <c r="W379" s="597">
        <f>S262+T262+U262</f>
        <v/>
      </c>
      <c r="X379" s="597">
        <f>W262*Q262</f>
        <v/>
      </c>
      <c r="Y379" s="595" t="n">
        <v>59</v>
      </c>
      <c r="Z379" s="595" t="n">
        <v>35.4</v>
      </c>
      <c r="AA379" s="594">
        <f>IF(Y262=Z262,"No","Yes")</f>
        <v/>
      </c>
      <c r="AB379" s="594" t="inlineStr">
        <is>
          <t>NW221WL4011</t>
        </is>
      </c>
      <c r="AC379" s="593" t="inlineStr">
        <is>
          <t>罗纹喇叭睡裤</t>
        </is>
      </c>
    </row>
    <row r="380" ht="18" customHeight="1" s="229">
      <c r="A380" s="361" t="inlineStr">
        <is>
          <t>Silk Linen Tank</t>
        </is>
      </c>
      <c r="B380" s="362" t="inlineStr">
        <is>
          <t>Loungewear</t>
        </is>
      </c>
      <c r="C380" s="589" t="inlineStr">
        <is>
          <t>REMOVE</t>
        </is>
      </c>
      <c r="D380" s="364" t="inlineStr">
        <is>
          <t>Low sales (&lt;$1K in 90 days)</t>
        </is>
      </c>
      <c r="E380" s="364" t="inlineStr">
        <is>
          <t>2 — HIGH (excess inventory vs demand)</t>
        </is>
      </c>
      <c r="F380" s="365" t="inlineStr">
        <is>
          <t>Remove</t>
        </is>
      </c>
      <c r="G380" s="364" t="n"/>
      <c r="H380" s="366" t="n">
        <v>562.1</v>
      </c>
      <c r="I380" s="366" t="n">
        <v>864.5</v>
      </c>
      <c r="J380" s="366" t="n">
        <v>-235.9</v>
      </c>
      <c r="K380" s="367" t="n">
        <v>0.273</v>
      </c>
      <c r="L380" s="368" t="n">
        <v>9</v>
      </c>
      <c r="M380" s="366" t="n">
        <v>62.46</v>
      </c>
      <c r="N380" s="369" t="n">
        <v>0.0003</v>
      </c>
      <c r="O380" s="369" t="n">
        <v>0.9740000000000001</v>
      </c>
      <c r="P380" s="365" t="n">
        <v>5</v>
      </c>
      <c r="Q380" s="366" t="n">
        <v>15</v>
      </c>
      <c r="R380" s="368" t="n">
        <v>10</v>
      </c>
      <c r="S380" s="368" t="n">
        <v>0</v>
      </c>
      <c r="T380" s="368" t="n">
        <v>198</v>
      </c>
      <c r="U380" s="368" t="n">
        <v>0</v>
      </c>
      <c r="V380" s="368">
        <f>S263+T263</f>
        <v/>
      </c>
      <c r="W380" s="368">
        <f>S263+T263+U263</f>
        <v/>
      </c>
      <c r="X380" s="368">
        <f>W263*Q263</f>
        <v/>
      </c>
      <c r="Y380" s="366" t="n">
        <v>95</v>
      </c>
      <c r="Z380" s="366" t="n">
        <v>66.5</v>
      </c>
      <c r="AA380" s="365">
        <f>IF(Y263=Z263,"No","Yes")</f>
        <v/>
      </c>
      <c r="AB380" s="365" t="inlineStr">
        <is>
          <t>NW241WB3206</t>
        </is>
      </c>
      <c r="AC380" s="364" t="inlineStr">
        <is>
          <t>肌理工字背心</t>
        </is>
      </c>
    </row>
    <row r="381" ht="18" customHeight="1" s="229">
      <c r="A381" s="590" t="inlineStr">
        <is>
          <t>Laid Back Ribbed Cardigan 2.0</t>
        </is>
      </c>
      <c r="B381" s="591" t="inlineStr">
        <is>
          <t>Loungewear</t>
        </is>
      </c>
      <c r="C381" s="592" t="inlineStr">
        <is>
          <t>REMOVE</t>
        </is>
      </c>
      <c r="D381" s="593" t="inlineStr">
        <is>
          <t>Low sales (&lt;$1K in 90 days)</t>
        </is>
      </c>
      <c r="E381" s="593" t="inlineStr">
        <is>
          <t>3 — MEDIUM (selldown or markdown)</t>
        </is>
      </c>
      <c r="F381" s="594" t="inlineStr">
        <is>
          <t>Remove</t>
        </is>
      </c>
      <c r="G381" s="593" t="n"/>
      <c r="H381" s="595" t="n">
        <v>545.1</v>
      </c>
      <c r="I381" s="595" t="n">
        <v>711</v>
      </c>
      <c r="J381" s="595" t="n">
        <v>-165.9</v>
      </c>
      <c r="K381" s="596" t="n">
        <v>0.233</v>
      </c>
      <c r="L381" s="597" t="n">
        <v>15</v>
      </c>
      <c r="M381" s="595" t="n">
        <v>36.34</v>
      </c>
      <c r="N381" s="598" t="n">
        <v>0.0003</v>
      </c>
      <c r="O381" s="598" t="n">
        <v>0.9758</v>
      </c>
      <c r="P381" s="594" t="n">
        <v>6</v>
      </c>
      <c r="Q381" s="595" t="n">
        <v>15</v>
      </c>
      <c r="R381" s="597" t="n">
        <v>15</v>
      </c>
      <c r="S381" s="597" t="n">
        <v>22</v>
      </c>
      <c r="T381" s="597" t="n">
        <v>13</v>
      </c>
      <c r="U381" s="597" t="n">
        <v>251</v>
      </c>
      <c r="V381" s="597">
        <f>S269+T269</f>
        <v/>
      </c>
      <c r="W381" s="597">
        <f>S269+T269+U269</f>
        <v/>
      </c>
      <c r="X381" s="597">
        <f>W269*Q269</f>
        <v/>
      </c>
      <c r="Y381" s="595" t="n">
        <v>79</v>
      </c>
      <c r="Z381" s="595" t="n">
        <v>47.4</v>
      </c>
      <c r="AA381" s="594">
        <f>IF(Y269=Z269,"No","Yes")</f>
        <v/>
      </c>
      <c r="AB381" s="594" t="inlineStr">
        <is>
          <t>NW221WL2006</t>
        </is>
      </c>
      <c r="AC381" s="593" t="inlineStr">
        <is>
          <t>罗纹睡袍</t>
        </is>
      </c>
    </row>
    <row r="382" ht="18" customHeight="1" s="229">
      <c r="A382" s="361" t="inlineStr">
        <is>
          <t>Lyocell Straight Leg Pants</t>
        </is>
      </c>
      <c r="B382" s="362" t="inlineStr">
        <is>
          <t>Loungewear</t>
        </is>
      </c>
      <c r="C382" s="589" t="inlineStr">
        <is>
          <t>REMOVE</t>
        </is>
      </c>
      <c r="D382" s="364" t="inlineStr">
        <is>
          <t>Low sales (&lt;$1K in 90 days)</t>
        </is>
      </c>
      <c r="E382" s="364" t="inlineStr">
        <is>
          <t>3 — MEDIUM (selldown or markdown)</t>
        </is>
      </c>
      <c r="F382" s="365" t="inlineStr">
        <is>
          <t>Remove</t>
        </is>
      </c>
      <c r="G382" s="364" t="n"/>
      <c r="H382" s="366" t="n">
        <v>538.23</v>
      </c>
      <c r="I382" s="366" t="n">
        <v>801</v>
      </c>
      <c r="J382" s="366" t="n">
        <v>-209.37</v>
      </c>
      <c r="K382" s="367" t="n">
        <v>0.261</v>
      </c>
      <c r="L382" s="368" t="n">
        <v>14</v>
      </c>
      <c r="M382" s="366" t="n">
        <v>38.44</v>
      </c>
      <c r="N382" s="369" t="n">
        <v>0.0003</v>
      </c>
      <c r="O382" s="369" t="n">
        <v>0.9761</v>
      </c>
      <c r="P382" s="365" t="n">
        <v>10</v>
      </c>
      <c r="Q382" s="366" t="n">
        <v>15</v>
      </c>
      <c r="R382" s="368" t="n">
        <v>15</v>
      </c>
      <c r="S382" s="368" t="n">
        <v>4</v>
      </c>
      <c r="T382" s="368" t="n">
        <v>45</v>
      </c>
      <c r="U382" s="368" t="n">
        <v>380</v>
      </c>
      <c r="V382" s="368">
        <f>S270+T270</f>
        <v/>
      </c>
      <c r="W382" s="368">
        <f>S270+T270+U270</f>
        <v/>
      </c>
      <c r="X382" s="368">
        <f>W270*Q270</f>
        <v/>
      </c>
      <c r="Y382" s="366" t="n">
        <v>89</v>
      </c>
      <c r="Z382" s="366" t="n">
        <v>53.4</v>
      </c>
      <c r="AA382" s="365">
        <f>IF(Y270=Z270,"No","Yes")</f>
        <v/>
      </c>
      <c r="AB382" s="365" t="inlineStr">
        <is>
          <t>NW221WL4003</t>
        </is>
      </c>
      <c r="AC382" s="364" t="inlineStr">
        <is>
          <t>直筒长裤</t>
        </is>
      </c>
    </row>
    <row r="383" ht="18" customHeight="1" s="229">
      <c r="A383" s="590" t="inlineStr">
        <is>
          <t>Satin Wrap Shirt</t>
        </is>
      </c>
      <c r="B383" s="591" t="inlineStr">
        <is>
          <t>Loungewear</t>
        </is>
      </c>
      <c r="C383" s="592" t="inlineStr">
        <is>
          <t>REMOVE</t>
        </is>
      </c>
      <c r="D383" s="593" t="inlineStr">
        <is>
          <t>Low sales (&lt;$1K in 90 days)</t>
        </is>
      </c>
      <c r="E383" s="593" t="inlineStr">
        <is>
          <t>4 — LOW (natural sellthrough)</t>
        </is>
      </c>
      <c r="F383" s="594" t="inlineStr">
        <is>
          <t>Remove</t>
        </is>
      </c>
      <c r="G383" s="593" t="n"/>
      <c r="H383" s="595" t="n">
        <v>535.04</v>
      </c>
      <c r="I383" s="595" t="n">
        <v>728.5</v>
      </c>
      <c r="J383" s="595" t="n">
        <v>-193.46</v>
      </c>
      <c r="K383" s="600" t="n">
        <v>0.266</v>
      </c>
      <c r="L383" s="597" t="n">
        <v>7</v>
      </c>
      <c r="M383" s="595" t="n">
        <v>76.43000000000001</v>
      </c>
      <c r="N383" s="598" t="n">
        <v>0.0003</v>
      </c>
      <c r="O383" s="598" t="n">
        <v>0.9764</v>
      </c>
      <c r="P383" s="594" t="n">
        <v>7</v>
      </c>
      <c r="Q383" s="595" t="n">
        <v>15</v>
      </c>
      <c r="R383" s="597" t="n">
        <v>7</v>
      </c>
      <c r="S383" s="597" t="n">
        <v>0</v>
      </c>
      <c r="T383" s="597" t="n">
        <v>35</v>
      </c>
      <c r="U383" s="597" t="n">
        <v>243</v>
      </c>
      <c r="V383" s="597">
        <f>S271+T271</f>
        <v/>
      </c>
      <c r="W383" s="597">
        <f>S271+T271+U271</f>
        <v/>
      </c>
      <c r="X383" s="597">
        <f>W271*Q271</f>
        <v/>
      </c>
      <c r="Y383" s="595" t="n">
        <v>155</v>
      </c>
      <c r="Z383" s="595" t="n">
        <v>93</v>
      </c>
      <c r="AA383" s="594">
        <f>IF(Y271=Z271,"No","Yes")</f>
        <v/>
      </c>
      <c r="AB383" s="594" t="inlineStr">
        <is>
          <t>NW222WB3601</t>
        </is>
      </c>
      <c r="AC383" s="593" t="inlineStr">
        <is>
          <t>节日衬衫</t>
        </is>
      </c>
    </row>
    <row r="384" ht="18" customHeight="1" s="229">
      <c r="A384" s="361" t="inlineStr">
        <is>
          <t>Cozy V-Neck Top</t>
        </is>
      </c>
      <c r="B384" s="362" t="inlineStr">
        <is>
          <t>Loungewear</t>
        </is>
      </c>
      <c r="C384" s="589" t="inlineStr">
        <is>
          <t>REMOVE</t>
        </is>
      </c>
      <c r="D384" s="364" t="inlineStr">
        <is>
          <t>Low sales (&lt;$1K in 90 days)</t>
        </is>
      </c>
      <c r="E384" s="364" t="inlineStr">
        <is>
          <t>4 — LOW (natural sellthrough)</t>
        </is>
      </c>
      <c r="F384" s="365" t="inlineStr">
        <is>
          <t>Remove</t>
        </is>
      </c>
      <c r="G384" s="364" t="n"/>
      <c r="H384" s="366" t="n">
        <v>534.54</v>
      </c>
      <c r="I384" s="366" t="n">
        <v>778.8</v>
      </c>
      <c r="J384" s="366" t="n">
        <v>-194.7</v>
      </c>
      <c r="K384" s="380" t="n">
        <v>0.25</v>
      </c>
      <c r="L384" s="368" t="n">
        <v>20</v>
      </c>
      <c r="M384" s="366" t="n">
        <v>26.73</v>
      </c>
      <c r="N384" s="369" t="n">
        <v>0.0003</v>
      </c>
      <c r="O384" s="369" t="n">
        <v>0.9767</v>
      </c>
      <c r="P384" s="365" t="n">
        <v>5</v>
      </c>
      <c r="Q384" s="366" t="n">
        <v>15</v>
      </c>
      <c r="R384" s="368" t="n">
        <v>22</v>
      </c>
      <c r="S384" s="368" t="n">
        <v>0</v>
      </c>
      <c r="T384" s="368" t="n">
        <v>14</v>
      </c>
      <c r="U384" s="368" t="n">
        <v>73</v>
      </c>
      <c r="V384" s="368">
        <f>S272+T272</f>
        <v/>
      </c>
      <c r="W384" s="368">
        <f>S272+T272+U272</f>
        <v/>
      </c>
      <c r="X384" s="368">
        <f>W272*Q272</f>
        <v/>
      </c>
      <c r="Y384" s="366" t="n">
        <v>59</v>
      </c>
      <c r="Z384" s="366" t="n">
        <v>35.4</v>
      </c>
      <c r="AA384" s="365">
        <f>IF(Y272=Z272,"No","Yes")</f>
        <v/>
      </c>
      <c r="AB384" s="365" t="inlineStr">
        <is>
          <t>NW221WL3001</t>
        </is>
      </c>
      <c r="AC384" s="364" t="inlineStr">
        <is>
          <t>V领上衣</t>
        </is>
      </c>
    </row>
    <row r="385" ht="18" customHeight="1" s="229">
      <c r="A385" s="590" t="inlineStr">
        <is>
          <t>Sherpa Fleece Pajama Set</t>
        </is>
      </c>
      <c r="B385" s="591" t="inlineStr">
        <is>
          <t>Loungewear</t>
        </is>
      </c>
      <c r="C385" s="592" t="inlineStr">
        <is>
          <t>REMOVE</t>
        </is>
      </c>
      <c r="D385" s="593" t="inlineStr">
        <is>
          <t>Low sales (&lt;$1K in 90 days)</t>
        </is>
      </c>
      <c r="E385" s="593" t="inlineStr">
        <is>
          <t>4 — LOW (natural sellthrough)</t>
        </is>
      </c>
      <c r="F385" s="594" t="inlineStr">
        <is>
          <t>Remove</t>
        </is>
      </c>
      <c r="G385" s="593" t="inlineStr">
        <is>
          <t>Almost OOS</t>
        </is>
      </c>
      <c r="H385" s="595" t="n">
        <v>517.45</v>
      </c>
      <c r="I385" s="595" t="n">
        <v>948</v>
      </c>
      <c r="J385" s="595" t="n">
        <v>-154.05</v>
      </c>
      <c r="K385" s="596" t="n">
        <v>0.162</v>
      </c>
      <c r="L385" s="597" t="n">
        <v>8</v>
      </c>
      <c r="M385" s="595" t="n">
        <v>64.68000000000001</v>
      </c>
      <c r="N385" s="598" t="n">
        <v>0.0003</v>
      </c>
      <c r="O385" s="598" t="n">
        <v>0.9788</v>
      </c>
      <c r="P385" s="594" t="n">
        <v>6</v>
      </c>
      <c r="Q385" s="595" t="n">
        <v>15</v>
      </c>
      <c r="R385" s="597" t="n">
        <v>11</v>
      </c>
      <c r="S385" s="597" t="n">
        <v>0</v>
      </c>
      <c r="T385" s="597" t="n">
        <v>3</v>
      </c>
      <c r="U385" s="597" t="n">
        <v>0</v>
      </c>
      <c r="V385" s="597">
        <f>S279+T279</f>
        <v/>
      </c>
      <c r="W385" s="597">
        <f>S279+T279+U279</f>
        <v/>
      </c>
      <c r="X385" s="597">
        <f>W279*Q279</f>
        <v/>
      </c>
      <c r="Y385" s="595" t="n">
        <v>79</v>
      </c>
      <c r="Z385" s="595" t="n">
        <v>79</v>
      </c>
      <c r="AA385" s="594">
        <f>IF(Y279=Z279,"No","Yes")</f>
        <v/>
      </c>
      <c r="AB385" s="594" t="inlineStr">
        <is>
          <t>NW232WL5702</t>
        </is>
      </c>
      <c r="AC385" s="593" t="inlineStr">
        <is>
          <t>暖绒家居服套装</t>
        </is>
      </c>
    </row>
    <row r="386" ht="18" customHeight="1" s="229">
      <c r="A386" s="361" t="inlineStr">
        <is>
          <t>Silk Sleep Tee</t>
        </is>
      </c>
      <c r="B386" s="362" t="inlineStr">
        <is>
          <t>Loungewear</t>
        </is>
      </c>
      <c r="C386" s="589" t="inlineStr">
        <is>
          <t>REMOVE</t>
        </is>
      </c>
      <c r="D386" s="364" t="inlineStr">
        <is>
          <t>Low sales (&lt;$1K in 90 days)</t>
        </is>
      </c>
      <c r="E386" s="364" t="inlineStr">
        <is>
          <t>4 — LOW (natural sellthrough)</t>
        </is>
      </c>
      <c r="F386" s="365" t="inlineStr">
        <is>
          <t>Remove</t>
        </is>
      </c>
      <c r="G386" s="364" t="n"/>
      <c r="H386" s="366" t="n">
        <v>504.45</v>
      </c>
      <c r="I386" s="366" t="n">
        <v>772.1999999999999</v>
      </c>
      <c r="J386" s="366" t="n">
        <v>-148.95</v>
      </c>
      <c r="K386" s="380" t="n">
        <v>0.193</v>
      </c>
      <c r="L386" s="368" t="n">
        <v>11</v>
      </c>
      <c r="M386" s="366" t="n">
        <v>45.86</v>
      </c>
      <c r="N386" s="369" t="n">
        <v>0.0003</v>
      </c>
      <c r="O386" s="369" t="n">
        <v>0.9793999999999999</v>
      </c>
      <c r="P386" s="365" t="n">
        <v>8</v>
      </c>
      <c r="Q386" s="366" t="n">
        <v>15</v>
      </c>
      <c r="R386" s="368" t="n">
        <v>13</v>
      </c>
      <c r="S386" s="368" t="n">
        <v>0</v>
      </c>
      <c r="T386" s="368" t="n">
        <v>32</v>
      </c>
      <c r="U386" s="368" t="n">
        <v>259</v>
      </c>
      <c r="V386" s="368">
        <f>S281+T281</f>
        <v/>
      </c>
      <c r="W386" s="368">
        <f>S281+T281+U281</f>
        <v/>
      </c>
      <c r="X386" s="368">
        <f>W281*Q281</f>
        <v/>
      </c>
      <c r="Y386" s="366" t="n">
        <v>99</v>
      </c>
      <c r="Z386" s="366" t="n">
        <v>59.4</v>
      </c>
      <c r="AA386" s="365">
        <f>IF(Y281=Z281,"No","Yes")</f>
        <v/>
      </c>
      <c r="AB386" s="365" t="inlineStr">
        <is>
          <t>NW221WL3304</t>
        </is>
      </c>
      <c r="AC386" s="364" t="inlineStr">
        <is>
          <t>真丝混纺Tee</t>
        </is>
      </c>
    </row>
    <row r="387" ht="18" customHeight="1" s="229">
      <c r="A387" s="590" t="inlineStr">
        <is>
          <t>Short Sleeve Drape-Front Sweater</t>
        </is>
      </c>
      <c r="B387" s="591" t="inlineStr">
        <is>
          <t>Loungewear</t>
        </is>
      </c>
      <c r="C387" s="592" t="inlineStr">
        <is>
          <t>REMOVE</t>
        </is>
      </c>
      <c r="D387" s="593" t="inlineStr">
        <is>
          <t>Very low sales (&lt;$500 in 90 days)</t>
        </is>
      </c>
      <c r="E387" s="593" t="inlineStr">
        <is>
          <t>4 — LOW (natural sellthrough)</t>
        </is>
      </c>
      <c r="F387" s="594" t="inlineStr">
        <is>
          <t>Remove</t>
        </is>
      </c>
      <c r="G387" s="593" t="n"/>
      <c r="H387" s="595" t="n">
        <v>498.01</v>
      </c>
      <c r="I387" s="595" t="n">
        <v>682.5</v>
      </c>
      <c r="J387" s="595" t="n">
        <v>-184.49</v>
      </c>
      <c r="K387" s="600" t="n">
        <v>0.27</v>
      </c>
      <c r="L387" s="597" t="n">
        <v>15</v>
      </c>
      <c r="M387" s="595" t="n">
        <v>33.2</v>
      </c>
      <c r="N387" s="598" t="n">
        <v>0.0003</v>
      </c>
      <c r="O387" s="598" t="n">
        <v>0.9797</v>
      </c>
      <c r="P387" s="594" t="n">
        <v>6</v>
      </c>
      <c r="Q387" s="595" t="n">
        <v>15</v>
      </c>
      <c r="R387" s="597" t="n">
        <v>15</v>
      </c>
      <c r="S387" s="597" t="n">
        <v>7</v>
      </c>
      <c r="T387" s="597" t="n">
        <v>18</v>
      </c>
      <c r="U387" s="597" t="n">
        <v>52</v>
      </c>
      <c r="V387" s="597">
        <f>S282+T282</f>
        <v/>
      </c>
      <c r="W387" s="597">
        <f>S282+T282+U282</f>
        <v/>
      </c>
      <c r="X387" s="597">
        <f>W282*Q282</f>
        <v/>
      </c>
      <c r="Y387" s="595" t="n">
        <v>65</v>
      </c>
      <c r="Z387" s="595" t="n">
        <v>45.5</v>
      </c>
      <c r="AA387" s="594">
        <f>IF(Y282=Z282,"No","Yes")</f>
        <v/>
      </c>
      <c r="AB387" s="594" t="inlineStr">
        <is>
          <t>NW222WL3301</t>
        </is>
      </c>
      <c r="AC387" s="593" t="inlineStr">
        <is>
          <t>宽松交叠Tee</t>
        </is>
      </c>
    </row>
    <row r="388" ht="18" customHeight="1" s="229">
      <c r="A388" s="361" t="inlineStr">
        <is>
          <t>Ribbed Boucl√© Tank</t>
        </is>
      </c>
      <c r="B388" s="362" t="inlineStr">
        <is>
          <t>Loungewear</t>
        </is>
      </c>
      <c r="C388" s="589" t="inlineStr">
        <is>
          <t>REMOVE</t>
        </is>
      </c>
      <c r="D388" s="364" t="inlineStr">
        <is>
          <t>Very low sales (&lt;$500 in 90 days)</t>
        </is>
      </c>
      <c r="E388" s="364" t="inlineStr">
        <is>
          <t>4 — LOW (natural sellthrough)</t>
        </is>
      </c>
      <c r="F388" s="365" t="inlineStr">
        <is>
          <t>Remove</t>
        </is>
      </c>
      <c r="G388" s="364" t="n"/>
      <c r="H388" s="366" t="n">
        <v>429.68</v>
      </c>
      <c r="I388" s="366" t="n">
        <v>544.5</v>
      </c>
      <c r="J388" s="366" t="n">
        <v>-114.82</v>
      </c>
      <c r="K388" s="380" t="n">
        <v>0.211</v>
      </c>
      <c r="L388" s="368" t="n">
        <v>7</v>
      </c>
      <c r="M388" s="366" t="n">
        <v>61.38</v>
      </c>
      <c r="N388" s="369" t="n">
        <v>0.0002</v>
      </c>
      <c r="O388" s="369" t="n">
        <v>0.9823999999999999</v>
      </c>
      <c r="P388" s="365" t="n">
        <v>4</v>
      </c>
      <c r="Q388" s="366" t="n">
        <v>15</v>
      </c>
      <c r="R388" s="368" t="n">
        <v>7</v>
      </c>
      <c r="S388" s="368" t="n">
        <v>0</v>
      </c>
      <c r="T388" s="368" t="n">
        <v>28</v>
      </c>
      <c r="U388" s="368" t="n">
        <v>118</v>
      </c>
      <c r="V388" s="368">
        <f>S293+T293</f>
        <v/>
      </c>
      <c r="W388" s="368">
        <f>S293+T293+U293</f>
        <v/>
      </c>
      <c r="X388" s="368">
        <f>W293*Q293</f>
        <v/>
      </c>
      <c r="Y388" s="366" t="n">
        <v>99</v>
      </c>
      <c r="Z388" s="366" t="n">
        <v>69.3</v>
      </c>
      <c r="AA388" s="365">
        <f>IF(Y293=Z293,"No","Yes")</f>
        <v/>
      </c>
      <c r="AB388" s="365" t="inlineStr">
        <is>
          <t>NW241WB3207</t>
        </is>
      </c>
      <c r="AC388" s="364" t="inlineStr">
        <is>
          <t>肌理毛织背心</t>
        </is>
      </c>
    </row>
    <row r="389" ht="18" customHeight="1" s="229">
      <c r="A389" s="590" t="inlineStr">
        <is>
          <t>Straight Leg Pajama Pants</t>
        </is>
      </c>
      <c r="B389" s="591" t="inlineStr">
        <is>
          <t>Loungewear</t>
        </is>
      </c>
      <c r="C389" s="592" t="inlineStr">
        <is>
          <t>REMOVE</t>
        </is>
      </c>
      <c r="D389" s="593" t="inlineStr">
        <is>
          <t>Very low sales (&lt;$500 in 90 days)</t>
        </is>
      </c>
      <c r="E389" s="593" t="inlineStr">
        <is>
          <t>4 — LOW (natural sellthrough)</t>
        </is>
      </c>
      <c r="F389" s="594" t="inlineStr">
        <is>
          <t>Remove</t>
        </is>
      </c>
      <c r="G389" s="593" t="n"/>
      <c r="H389" s="595" t="n">
        <v>422.24</v>
      </c>
      <c r="I389" s="595" t="n">
        <v>627</v>
      </c>
      <c r="J389" s="595" t="n">
        <v>-184.96</v>
      </c>
      <c r="K389" s="600" t="n">
        <v>0.295</v>
      </c>
      <c r="L389" s="597" t="n">
        <v>18</v>
      </c>
      <c r="M389" s="595" t="n">
        <v>23.46</v>
      </c>
      <c r="N389" s="598" t="n">
        <v>0.0002</v>
      </c>
      <c r="O389" s="598" t="n">
        <v>0.983</v>
      </c>
      <c r="P389" s="594" t="n">
        <v>5</v>
      </c>
      <c r="Q389" s="595" t="n">
        <v>15</v>
      </c>
      <c r="R389" s="597" t="n">
        <v>19</v>
      </c>
      <c r="S389" s="597" t="n">
        <v>1</v>
      </c>
      <c r="T389" s="597" t="n">
        <v>8</v>
      </c>
      <c r="U389" s="597" t="n">
        <v>71</v>
      </c>
      <c r="V389" s="597">
        <f>S296+T296</f>
        <v/>
      </c>
      <c r="W389" s="597">
        <f>S296+T296+U296</f>
        <v/>
      </c>
      <c r="X389" s="597">
        <f>W296*Q296</f>
        <v/>
      </c>
      <c r="Y389" s="595" t="n">
        <v>55</v>
      </c>
      <c r="Z389" s="595" t="n">
        <v>33</v>
      </c>
      <c r="AA389" s="594">
        <f>IF(Y296=Z296,"No","Yes")</f>
        <v/>
      </c>
      <c r="AB389" s="594" t="inlineStr">
        <is>
          <t>NW221PL4005</t>
        </is>
      </c>
      <c r="AC389" s="593" t="inlineStr">
        <is>
          <t>直筒睡裤</t>
        </is>
      </c>
    </row>
    <row r="390" ht="18" customHeight="1" s="229">
      <c r="A390" s="361" t="inlineStr">
        <is>
          <t>Silk Cotton U Neck Pajama Top</t>
        </is>
      </c>
      <c r="B390" s="362" t="inlineStr">
        <is>
          <t>Loungewear</t>
        </is>
      </c>
      <c r="C390" s="589" t="inlineStr">
        <is>
          <t>REMOVE</t>
        </is>
      </c>
      <c r="D390" s="364" t="inlineStr">
        <is>
          <t>Very low sales (&lt;$500 in 90 days)</t>
        </is>
      </c>
      <c r="E390" s="364" t="inlineStr">
        <is>
          <t>3 — MEDIUM (selldown or markdown)</t>
        </is>
      </c>
      <c r="F390" s="365" t="inlineStr">
        <is>
          <t>Remove</t>
        </is>
      </c>
      <c r="G390" s="364" t="n"/>
      <c r="H390" s="366" t="n">
        <v>419.72</v>
      </c>
      <c r="I390" s="366" t="n">
        <v>640.8000000000001</v>
      </c>
      <c r="J390" s="366" t="n">
        <v>-221.08</v>
      </c>
      <c r="K390" s="367" t="n">
        <v>0.345</v>
      </c>
      <c r="L390" s="368" t="n">
        <v>12</v>
      </c>
      <c r="M390" s="366" t="n">
        <v>34.98</v>
      </c>
      <c r="N390" s="369" t="n">
        <v>0.0002</v>
      </c>
      <c r="O390" s="369" t="n">
        <v>0.9832</v>
      </c>
      <c r="P390" s="365" t="n">
        <v>7</v>
      </c>
      <c r="Q390" s="366" t="n">
        <v>15</v>
      </c>
      <c r="R390" s="368" t="n">
        <v>12</v>
      </c>
      <c r="S390" s="368" t="n">
        <v>0</v>
      </c>
      <c r="T390" s="368" t="n">
        <v>37</v>
      </c>
      <c r="U390" s="368" t="n">
        <v>131</v>
      </c>
      <c r="V390" s="368">
        <f>S297+T297</f>
        <v/>
      </c>
      <c r="W390" s="368">
        <f>S297+T297+U297</f>
        <v/>
      </c>
      <c r="X390" s="368">
        <f>W297*Q297</f>
        <v/>
      </c>
      <c r="Y390" s="366" t="n">
        <v>89</v>
      </c>
      <c r="Z390" s="366" t="n">
        <v>53.4</v>
      </c>
      <c r="AA390" s="365">
        <f>IF(Y297=Z297,"No","Yes")</f>
        <v/>
      </c>
      <c r="AB390" s="365" t="inlineStr">
        <is>
          <t>NW221WL3004</t>
        </is>
      </c>
      <c r="AC390" s="364" t="inlineStr">
        <is>
          <t>丝棉U领睡衣</t>
        </is>
      </c>
    </row>
    <row r="391" ht="18" customHeight="1" s="229">
      <c r="A391" s="590" t="inlineStr">
        <is>
          <t>Knitted Tapered Joggers</t>
        </is>
      </c>
      <c r="B391" s="591" t="inlineStr">
        <is>
          <t>Loungewear</t>
        </is>
      </c>
      <c r="C391" s="592" t="inlineStr">
        <is>
          <t>REMOVE</t>
        </is>
      </c>
      <c r="D391" s="593" t="inlineStr">
        <is>
          <t>Very low sales (&lt;$500 in 90 days)</t>
        </is>
      </c>
      <c r="E391" s="593" t="inlineStr">
        <is>
          <t>2 — HIGH (excess inventory vs demand)</t>
        </is>
      </c>
      <c r="F391" s="594" t="inlineStr">
        <is>
          <t>Remove</t>
        </is>
      </c>
      <c r="G391" s="593" t="n"/>
      <c r="H391" s="595" t="n">
        <v>417.9</v>
      </c>
      <c r="I391" s="595" t="n">
        <v>597</v>
      </c>
      <c r="J391" s="595" t="n">
        <v>-179.1</v>
      </c>
      <c r="K391" s="600" t="n">
        <v>0.3</v>
      </c>
      <c r="L391" s="597" t="n">
        <v>6</v>
      </c>
      <c r="M391" s="595" t="n">
        <v>69.65000000000001</v>
      </c>
      <c r="N391" s="598" t="n">
        <v>0.0002</v>
      </c>
      <c r="O391" s="598" t="n">
        <v>0.9836</v>
      </c>
      <c r="P391" s="594" t="n">
        <v>4</v>
      </c>
      <c r="Q391" s="595" t="n">
        <v>15</v>
      </c>
      <c r="R391" s="597" t="n">
        <v>6</v>
      </c>
      <c r="S391" s="597" t="n">
        <v>0</v>
      </c>
      <c r="T391" s="597" t="n">
        <v>94</v>
      </c>
      <c r="U391" s="597" t="n">
        <v>8</v>
      </c>
      <c r="V391" s="597">
        <f>S299+T299</f>
        <v/>
      </c>
      <c r="W391" s="597">
        <f>S299+T299+U299</f>
        <v/>
      </c>
      <c r="X391" s="597">
        <f>W299*Q299</f>
        <v/>
      </c>
      <c r="Y391" s="595" t="n">
        <v>199</v>
      </c>
      <c r="Z391" s="595" t="n">
        <v>99.5</v>
      </c>
      <c r="AA391" s="594">
        <f>IF(Y299=Z299,"No","Yes")</f>
        <v/>
      </c>
      <c r="AB391" s="594" t="inlineStr">
        <is>
          <t>N212WL2708</t>
        </is>
      </c>
      <c r="AC391" s="593" t="inlineStr">
        <is>
          <t>拉绒慢跑裤</t>
        </is>
      </c>
    </row>
    <row r="392" ht="18" customHeight="1" s="229">
      <c r="A392" s="361" t="inlineStr">
        <is>
          <t>Silk Modal Tee</t>
        </is>
      </c>
      <c r="B392" s="362" t="inlineStr">
        <is>
          <t>Loungewear</t>
        </is>
      </c>
      <c r="C392" s="589" t="inlineStr">
        <is>
          <t>REMOVE</t>
        </is>
      </c>
      <c r="D392" s="364" t="inlineStr">
        <is>
          <t>Very low sales (&lt;$500 in 90 days)</t>
        </is>
      </c>
      <c r="E392" s="364" t="inlineStr">
        <is>
          <t>4 — LOW (natural sellthrough)</t>
        </is>
      </c>
      <c r="F392" s="365" t="inlineStr">
        <is>
          <t>Remove</t>
        </is>
      </c>
      <c r="G392" s="364" t="n"/>
      <c r="H392" s="366" t="n">
        <v>401.74</v>
      </c>
      <c r="I392" s="366" t="n">
        <v>558.6</v>
      </c>
      <c r="J392" s="366" t="n">
        <v>-156.86</v>
      </c>
      <c r="K392" s="367" t="n">
        <v>0.281</v>
      </c>
      <c r="L392" s="368" t="n">
        <v>19</v>
      </c>
      <c r="M392" s="366" t="n">
        <v>21.14</v>
      </c>
      <c r="N392" s="369" t="n">
        <v>0.0002</v>
      </c>
      <c r="O392" s="369" t="n">
        <v>0.9848</v>
      </c>
      <c r="P392" s="365" t="n">
        <v>3</v>
      </c>
      <c r="Q392" s="366" t="n">
        <v>15</v>
      </c>
      <c r="R392" s="368" t="n">
        <v>19</v>
      </c>
      <c r="S392" s="368" t="n">
        <v>0</v>
      </c>
      <c r="T392" s="368" t="n">
        <v>1</v>
      </c>
      <c r="U392" s="368" t="n">
        <v>1759</v>
      </c>
      <c r="V392" s="368">
        <f>S305+T305</f>
        <v/>
      </c>
      <c r="W392" s="368">
        <f>S305+T305+U305</f>
        <v/>
      </c>
      <c r="X392" s="368">
        <f>W305*Q305</f>
        <v/>
      </c>
      <c r="Y392" s="366" t="n">
        <v>49</v>
      </c>
      <c r="Z392" s="366" t="n">
        <v>29.4</v>
      </c>
      <c r="AA392" s="365">
        <f>IF(Y305=Z305,"No","Yes")</f>
        <v/>
      </c>
      <c r="AB392" s="365" t="inlineStr">
        <is>
          <t>NW221WL3303</t>
        </is>
      </c>
      <c r="AC392" s="364" t="inlineStr">
        <is>
          <t>丝莫代尔圆领上衣</t>
        </is>
      </c>
    </row>
    <row r="393" ht="18" customHeight="1" s="229">
      <c r="A393" s="590" t="inlineStr">
        <is>
          <t>Classic Cozy Fleece Pajama Top</t>
        </is>
      </c>
      <c r="B393" s="591" t="inlineStr">
        <is>
          <t>Loungewear</t>
        </is>
      </c>
      <c r="C393" s="592" t="inlineStr">
        <is>
          <t>REMOVE</t>
        </is>
      </c>
      <c r="D393" s="593" t="inlineStr">
        <is>
          <t>Very low sales (&lt;$500 in 90 days)</t>
        </is>
      </c>
      <c r="E393" s="593" t="inlineStr">
        <is>
          <t>4 — LOW (natural sellthrough)</t>
        </is>
      </c>
      <c r="F393" s="594" t="inlineStr">
        <is>
          <t>Remove</t>
        </is>
      </c>
      <c r="G393" s="593" t="n"/>
      <c r="H393" s="595" t="n">
        <v>400.76</v>
      </c>
      <c r="I393" s="595" t="n">
        <v>604.8000000000001</v>
      </c>
      <c r="J393" s="595" t="n">
        <v>-155.08</v>
      </c>
      <c r="K393" s="600" t="n">
        <v>0.256</v>
      </c>
      <c r="L393" s="597" t="n">
        <v>19</v>
      </c>
      <c r="M393" s="595" t="n">
        <v>21.09</v>
      </c>
      <c r="N393" s="598" t="n">
        <v>0.0002</v>
      </c>
      <c r="O393" s="598" t="n">
        <v>0.985</v>
      </c>
      <c r="P393" s="594" t="n">
        <v>4</v>
      </c>
      <c r="Q393" s="595" t="n">
        <v>15</v>
      </c>
      <c r="R393" s="597" t="n">
        <v>20</v>
      </c>
      <c r="S393" s="597" t="n">
        <v>3</v>
      </c>
      <c r="T393" s="597" t="n">
        <v>11</v>
      </c>
      <c r="U393" s="597" t="n">
        <v>0</v>
      </c>
      <c r="V393" s="597">
        <f>S306+T306</f>
        <v/>
      </c>
      <c r="W393" s="597">
        <f>S306+T306+U306</f>
        <v/>
      </c>
      <c r="X393" s="597">
        <f>W306*Q306</f>
        <v/>
      </c>
      <c r="Y393" s="595" t="n">
        <v>48</v>
      </c>
      <c r="Z393" s="595" t="n">
        <v>28.8</v>
      </c>
      <c r="AA393" s="594">
        <f>IF(Y306=Z306,"No","Yes")</f>
        <v/>
      </c>
      <c r="AB393" s="594" t="inlineStr">
        <is>
          <t>N212PL1204</t>
        </is>
      </c>
      <c r="AC393" s="593" t="inlineStr">
        <is>
          <t>法兰绒睡衣上装</t>
        </is>
      </c>
    </row>
    <row r="394" ht="18" customHeight="1" s="229">
      <c r="A394" s="361" t="inlineStr">
        <is>
          <t>Dreamy Cotton Modal Cami Lounge Set</t>
        </is>
      </c>
      <c r="B394" s="362" t="inlineStr">
        <is>
          <t>Loungewear</t>
        </is>
      </c>
      <c r="C394" s="589" t="inlineStr">
        <is>
          <t>REMOVE</t>
        </is>
      </c>
      <c r="D394" s="364" t="inlineStr">
        <is>
          <t>Very low sales (&lt;$500 in 90 days)</t>
        </is>
      </c>
      <c r="E394" s="364" t="inlineStr">
        <is>
          <t>4 — LOW (natural sellthrough)</t>
        </is>
      </c>
      <c r="F394" s="365" t="inlineStr">
        <is>
          <t>Remove</t>
        </is>
      </c>
      <c r="G394" s="364" t="n"/>
      <c r="H394" s="366" t="n">
        <v>387.1</v>
      </c>
      <c r="I394" s="366" t="n">
        <v>442.4</v>
      </c>
      <c r="J394" s="366" t="n">
        <v>-55.3</v>
      </c>
      <c r="K394" s="380" t="n">
        <v>0.125</v>
      </c>
      <c r="L394" s="368" t="n">
        <v>8</v>
      </c>
      <c r="M394" s="366" t="n">
        <v>48.39</v>
      </c>
      <c r="N394" s="369" t="n">
        <v>0.0002</v>
      </c>
      <c r="O394" s="369" t="n">
        <v>0.9854000000000001</v>
      </c>
      <c r="P394" s="365" t="n">
        <v>7</v>
      </c>
      <c r="Q394" s="366" t="n">
        <v>15</v>
      </c>
      <c r="R394" s="368" t="n">
        <v>8</v>
      </c>
      <c r="S394" s="368" t="n">
        <v>0</v>
      </c>
      <c r="T394" s="368" t="n">
        <v>19</v>
      </c>
      <c r="U394" s="368" t="n">
        <v>87</v>
      </c>
      <c r="V394" s="368">
        <f>S308+T308</f>
        <v/>
      </c>
      <c r="W394" s="368">
        <f>S308+T308+U308</f>
        <v/>
      </c>
      <c r="X394" s="368">
        <f>W308*Q308</f>
        <v/>
      </c>
      <c r="Y394" s="366" t="n">
        <v>79</v>
      </c>
      <c r="Z394" s="366" t="n">
        <v>55.3</v>
      </c>
      <c r="AA394" s="365">
        <f>IF(Y308=Z308,"No","Yes")</f>
        <v/>
      </c>
      <c r="AB394" s="365" t="inlineStr">
        <is>
          <t>NW231PL5603</t>
        </is>
      </c>
      <c r="AC394" s="364" t="inlineStr">
        <is>
          <t>皱皱吊带+皱皱八分裤</t>
        </is>
      </c>
    </row>
    <row r="395" ht="18" customHeight="1" s="229">
      <c r="A395" s="590" t="inlineStr">
        <is>
          <t>Caf√© Print Pajama Shirt</t>
        </is>
      </c>
      <c r="B395" s="591" t="inlineStr">
        <is>
          <t>Loungewear</t>
        </is>
      </c>
      <c r="C395" s="592" t="inlineStr">
        <is>
          <t>REMOVE</t>
        </is>
      </c>
      <c r="D395" s="593" t="inlineStr">
        <is>
          <t>Very low sales (&lt;$500 in 90 days)</t>
        </is>
      </c>
      <c r="E395" s="593" t="inlineStr">
        <is>
          <t>4 — LOW (natural sellthrough)</t>
        </is>
      </c>
      <c r="F395" s="594" t="inlineStr">
        <is>
          <t>Remove</t>
        </is>
      </c>
      <c r="G395" s="593" t="inlineStr">
        <is>
          <t>OOS</t>
        </is>
      </c>
      <c r="H395" s="595" t="n">
        <v>385.02</v>
      </c>
      <c r="I395" s="595" t="n">
        <v>662.4</v>
      </c>
      <c r="J395" s="595" t="n">
        <v>-219.42</v>
      </c>
      <c r="K395" s="600" t="n">
        <v>0.331</v>
      </c>
      <c r="L395" s="597" t="n">
        <v>14</v>
      </c>
      <c r="M395" s="595" t="n">
        <v>27.5</v>
      </c>
      <c r="N395" s="598" t="n">
        <v>0.0002</v>
      </c>
      <c r="O395" s="598" t="n">
        <v>0.9856</v>
      </c>
      <c r="P395" s="594" t="n">
        <v>2</v>
      </c>
      <c r="Q395" s="595" t="n">
        <v>15</v>
      </c>
      <c r="R395" s="597" t="n">
        <v>16</v>
      </c>
      <c r="S395" s="597" t="n">
        <v>0</v>
      </c>
      <c r="T395" s="597" t="n">
        <v>0</v>
      </c>
      <c r="U395" s="597" t="n">
        <v>0</v>
      </c>
      <c r="V395" s="597">
        <f>S309+T309</f>
        <v/>
      </c>
      <c r="W395" s="597">
        <f>S309+T309+U309</f>
        <v/>
      </c>
      <c r="X395" s="597">
        <f>W309*Q309</f>
        <v/>
      </c>
      <c r="Y395" s="595" t="n">
        <v>69</v>
      </c>
      <c r="Z395" s="595" t="n">
        <v>41.4</v>
      </c>
      <c r="AA395" s="594">
        <f>IF(Y309=Z309,"No","Yes")</f>
        <v/>
      </c>
      <c r="AB395" s="594" t="e">
        <v>#N/A</v>
      </c>
      <c r="AC395" s="593" t="e">
        <v>#N/A</v>
      </c>
    </row>
    <row r="396" ht="18" customHeight="1" s="229">
      <c r="A396" s="361" t="inlineStr">
        <is>
          <t>Hang Out Maxi Dress</t>
        </is>
      </c>
      <c r="B396" s="362" t="inlineStr">
        <is>
          <t>Loungewear</t>
        </is>
      </c>
      <c r="C396" s="589" t="inlineStr">
        <is>
          <t>REMOVE</t>
        </is>
      </c>
      <c r="D396" s="364" t="inlineStr">
        <is>
          <t>Very low sales (&lt;$500 in 90 days)</t>
        </is>
      </c>
      <c r="E396" s="364" t="inlineStr">
        <is>
          <t>4 — LOW (natural sellthrough)</t>
        </is>
      </c>
      <c r="F396" s="365" t="inlineStr">
        <is>
          <t>Remove</t>
        </is>
      </c>
      <c r="G396" s="364" t="n"/>
      <c r="H396" s="366" t="n">
        <v>361.2</v>
      </c>
      <c r="I396" s="366" t="n">
        <v>579</v>
      </c>
      <c r="J396" s="366" t="n">
        <v>-133.8</v>
      </c>
      <c r="K396" s="380" t="n">
        <v>0.231</v>
      </c>
      <c r="L396" s="368" t="n">
        <v>5</v>
      </c>
      <c r="M396" s="366" t="n">
        <v>72.23999999999999</v>
      </c>
      <c r="N396" s="369" t="n">
        <v>0.0002</v>
      </c>
      <c r="O396" s="369" t="n">
        <v>0.987</v>
      </c>
      <c r="P396" s="365" t="n">
        <v>5</v>
      </c>
      <c r="Q396" s="366" t="n">
        <v>15</v>
      </c>
      <c r="R396" s="368" t="n">
        <v>6</v>
      </c>
      <c r="S396" s="368" t="n">
        <v>0</v>
      </c>
      <c r="T396" s="368" t="n">
        <v>15</v>
      </c>
      <c r="U396" s="368" t="n">
        <v>172</v>
      </c>
      <c r="V396" s="368">
        <f>S316+T316</f>
        <v/>
      </c>
      <c r="W396" s="368">
        <f>S316+T316+U316</f>
        <v/>
      </c>
      <c r="X396" s="368">
        <f>W316*Q316</f>
        <v/>
      </c>
      <c r="Y396" s="366" t="n">
        <v>165</v>
      </c>
      <c r="Z396" s="366" t="n">
        <v>99</v>
      </c>
      <c r="AA396" s="365">
        <f>IF(Y316=Z316,"No","Yes")</f>
        <v/>
      </c>
      <c r="AB396" s="365" t="inlineStr">
        <is>
          <t>NW221PB5102</t>
        </is>
      </c>
      <c r="AC396" s="364" t="inlineStr">
        <is>
          <t>提花宽松长裙</t>
        </is>
      </c>
    </row>
    <row r="397" ht="18" customHeight="1" s="229">
      <c r="A397" s="590" t="inlineStr">
        <is>
          <t>Lyocell Long Pajama Robe</t>
        </is>
      </c>
      <c r="B397" s="591" t="inlineStr">
        <is>
          <t>Loungewear</t>
        </is>
      </c>
      <c r="C397" s="592" t="inlineStr">
        <is>
          <t>REMOVE</t>
        </is>
      </c>
      <c r="D397" s="593" t="inlineStr">
        <is>
          <t>Very low sales (&lt;$500 in 90 days)</t>
        </is>
      </c>
      <c r="E397" s="593" t="inlineStr">
        <is>
          <t>4 — LOW (natural sellthrough)</t>
        </is>
      </c>
      <c r="F397" s="594" t="inlineStr">
        <is>
          <t>Remove</t>
        </is>
      </c>
      <c r="G397" s="593" t="n"/>
      <c r="H397" s="595" t="n">
        <v>352.98</v>
      </c>
      <c r="I397" s="595" t="n">
        <v>572.4000000000001</v>
      </c>
      <c r="J397" s="595" t="n">
        <v>-124.02</v>
      </c>
      <c r="K397" s="596" t="n">
        <v>0.217</v>
      </c>
      <c r="L397" s="597" t="n">
        <v>5</v>
      </c>
      <c r="M397" s="595" t="n">
        <v>70.59999999999999</v>
      </c>
      <c r="N397" s="598" t="n">
        <v>0.0002</v>
      </c>
      <c r="O397" s="598" t="n">
        <v>0.9873999999999999</v>
      </c>
      <c r="P397" s="594" t="n">
        <v>4</v>
      </c>
      <c r="Q397" s="595" t="n">
        <v>15</v>
      </c>
      <c r="R397" s="597" t="n">
        <v>6</v>
      </c>
      <c r="S397" s="597" t="n">
        <v>0</v>
      </c>
      <c r="T397" s="597" t="n">
        <v>14</v>
      </c>
      <c r="U397" s="597" t="n">
        <v>190</v>
      </c>
      <c r="V397" s="597">
        <f>S318+T318</f>
        <v/>
      </c>
      <c r="W397" s="597">
        <f>S318+T318+U318</f>
        <v/>
      </c>
      <c r="X397" s="597">
        <f>W318*Q318</f>
        <v/>
      </c>
      <c r="Y397" s="595" t="n">
        <v>159</v>
      </c>
      <c r="Z397" s="595" t="n">
        <v>95.40000000000001</v>
      </c>
      <c r="AA397" s="594">
        <f>IF(Y318=Z318,"No","Yes")</f>
        <v/>
      </c>
      <c r="AB397" s="594" t="inlineStr">
        <is>
          <t>NW221WL2002</t>
        </is>
      </c>
      <c r="AC397" s="593" t="inlineStr">
        <is>
          <t>长睡袍</t>
        </is>
      </c>
    </row>
    <row r="398" ht="18" customHeight="1" s="229">
      <c r="A398" s="361" t="inlineStr">
        <is>
          <t>Sun Block Shirt</t>
        </is>
      </c>
      <c r="B398" s="362" t="inlineStr">
        <is>
          <t>Loungewear</t>
        </is>
      </c>
      <c r="C398" s="589" t="inlineStr">
        <is>
          <t>REMOVE</t>
        </is>
      </c>
      <c r="D398" s="364" t="inlineStr">
        <is>
          <t>Very low sales (&lt;$500 in 90 days)</t>
        </is>
      </c>
      <c r="E398" s="364" t="inlineStr">
        <is>
          <t>2 — HIGH (excess inventory vs demand)</t>
        </is>
      </c>
      <c r="F398" s="365" t="inlineStr">
        <is>
          <t>Remove</t>
        </is>
      </c>
      <c r="G398" s="364" t="n"/>
      <c r="H398" s="366" t="n">
        <v>352.16</v>
      </c>
      <c r="I398" s="366" t="n">
        <v>560.9</v>
      </c>
      <c r="J398" s="366" t="n">
        <v>-153.44</v>
      </c>
      <c r="K398" s="367" t="n">
        <v>0.274</v>
      </c>
      <c r="L398" s="368" t="n">
        <v>7</v>
      </c>
      <c r="M398" s="366" t="n">
        <v>50.31</v>
      </c>
      <c r="N398" s="369" t="n">
        <v>0.0002</v>
      </c>
      <c r="O398" s="369" t="n">
        <v>0.9876</v>
      </c>
      <c r="P398" s="365" t="n">
        <v>4</v>
      </c>
      <c r="Q398" s="366" t="n">
        <v>15</v>
      </c>
      <c r="R398" s="368" t="n">
        <v>7</v>
      </c>
      <c r="S398" s="368" t="n">
        <v>21</v>
      </c>
      <c r="T398" s="368" t="n">
        <v>48</v>
      </c>
      <c r="U398" s="368" t="n">
        <v>0</v>
      </c>
      <c r="V398" s="368">
        <f>S319+T319</f>
        <v/>
      </c>
      <c r="W398" s="368">
        <f>S319+T319+U319</f>
        <v/>
      </c>
      <c r="X398" s="368">
        <f>W319*Q319</f>
        <v/>
      </c>
      <c r="Y398" s="366" t="n">
        <v>79</v>
      </c>
      <c r="Z398" s="366" t="n">
        <v>55.3</v>
      </c>
      <c r="AA398" s="365">
        <f>IF(Y319=Z319,"No","Yes")</f>
        <v/>
      </c>
      <c r="AB398" s="365" t="inlineStr">
        <is>
          <t>NW241WB3509</t>
        </is>
      </c>
      <c r="AC398" s="364" t="inlineStr">
        <is>
          <t>防晒衬衫</t>
        </is>
      </c>
    </row>
    <row r="399" ht="18" customHeight="1" s="229">
      <c r="A399" s="590" t="inlineStr">
        <is>
          <t>Silky Knit Tank</t>
        </is>
      </c>
      <c r="B399" s="591" t="inlineStr">
        <is>
          <t>Loungewear</t>
        </is>
      </c>
      <c r="C399" s="592" t="inlineStr">
        <is>
          <t>REMOVE</t>
        </is>
      </c>
      <c r="D399" s="593" t="inlineStr">
        <is>
          <t>Very low sales (&lt;$500 in 90 days)</t>
        </is>
      </c>
      <c r="E399" s="593" t="inlineStr">
        <is>
          <t>4 — LOW (natural sellthrough)</t>
        </is>
      </c>
      <c r="F399" s="594" t="inlineStr">
        <is>
          <t>Remove</t>
        </is>
      </c>
      <c r="G399" s="593" t="n"/>
      <c r="H399" s="595" t="n">
        <v>352.14</v>
      </c>
      <c r="I399" s="595" t="n">
        <v>553</v>
      </c>
      <c r="J399" s="595" t="n">
        <v>-145.56</v>
      </c>
      <c r="K399" s="600" t="n">
        <v>0.263</v>
      </c>
      <c r="L399" s="597" t="n">
        <v>6</v>
      </c>
      <c r="M399" s="595" t="n">
        <v>58.69</v>
      </c>
      <c r="N399" s="598" t="n">
        <v>0.0002</v>
      </c>
      <c r="O399" s="598" t="n">
        <v>0.9878</v>
      </c>
      <c r="P399" s="594" t="n">
        <v>5</v>
      </c>
      <c r="Q399" s="595" t="n">
        <v>15</v>
      </c>
      <c r="R399" s="597" t="n">
        <v>7</v>
      </c>
      <c r="S399" s="597" t="n">
        <v>3</v>
      </c>
      <c r="T399" s="597" t="n">
        <v>8</v>
      </c>
      <c r="U399" s="597" t="n">
        <v>385</v>
      </c>
      <c r="V399" s="597">
        <f>S320+T320</f>
        <v/>
      </c>
      <c r="W399" s="597">
        <f>S320+T320+U320</f>
        <v/>
      </c>
      <c r="X399" s="597">
        <f>W320*Q320</f>
        <v/>
      </c>
      <c r="Y399" s="595" t="n">
        <v>79</v>
      </c>
      <c r="Z399" s="595" t="n">
        <v>79</v>
      </c>
      <c r="AA399" s="594">
        <f>IF(Y320=Z320,"No","Yes")</f>
        <v/>
      </c>
      <c r="AB399" s="594" t="inlineStr">
        <is>
          <t>NW241WL3201</t>
        </is>
      </c>
      <c r="AC399" s="593" t="inlineStr">
        <is>
          <t>U领背心</t>
        </is>
      </c>
    </row>
    <row r="400" ht="18" customHeight="1" s="229">
      <c r="A400" s="361" t="inlineStr">
        <is>
          <t>Ruched Collarless Pajama Top</t>
        </is>
      </c>
      <c r="B400" s="362" t="inlineStr">
        <is>
          <t>Loungewear</t>
        </is>
      </c>
      <c r="C400" s="589" t="inlineStr">
        <is>
          <t>REMOVE</t>
        </is>
      </c>
      <c r="D400" s="364" t="inlineStr">
        <is>
          <t>Very low sales (&lt;$500 in 90 days)</t>
        </is>
      </c>
      <c r="E400" s="364" t="inlineStr">
        <is>
          <t>4 — LOW (natural sellthrough)</t>
        </is>
      </c>
      <c r="F400" s="365" t="inlineStr">
        <is>
          <t>Remove</t>
        </is>
      </c>
      <c r="G400" s="364" t="n"/>
      <c r="H400" s="366" t="n">
        <v>343.88</v>
      </c>
      <c r="I400" s="366" t="n">
        <v>577.5</v>
      </c>
      <c r="J400" s="366" t="n">
        <v>-144.37</v>
      </c>
      <c r="K400" s="380" t="n">
        <v>0.25</v>
      </c>
      <c r="L400" s="368" t="n">
        <v>9</v>
      </c>
      <c r="M400" s="366" t="n">
        <v>38.21</v>
      </c>
      <c r="N400" s="369" t="n">
        <v>0.0002</v>
      </c>
      <c r="O400" s="369" t="n">
        <v>0.9886</v>
      </c>
      <c r="P400" s="365" t="n">
        <v>5</v>
      </c>
      <c r="Q400" s="366" t="n">
        <v>15</v>
      </c>
      <c r="R400" s="368" t="n">
        <v>11</v>
      </c>
      <c r="S400" s="368" t="n">
        <v>6</v>
      </c>
      <c r="T400" s="368" t="n">
        <v>41</v>
      </c>
      <c r="U400" s="368" t="n">
        <v>150</v>
      </c>
      <c r="V400" s="368">
        <f>S323+T323</f>
        <v/>
      </c>
      <c r="W400" s="368">
        <f>S323+T323+U323</f>
        <v/>
      </c>
      <c r="X400" s="368">
        <f>W323*Q323</f>
        <v/>
      </c>
      <c r="Y400" s="366" t="n">
        <v>75</v>
      </c>
      <c r="Z400" s="366" t="n">
        <v>52.5</v>
      </c>
      <c r="AA400" s="365">
        <f>IF(Y323=Z323,"No","Yes")</f>
        <v/>
      </c>
      <c r="AB400" s="365" t="inlineStr">
        <is>
          <t>NW222PL3007</t>
        </is>
      </c>
      <c r="AC400" s="364" t="inlineStr">
        <is>
          <t>抽皱无领睡衣</t>
        </is>
      </c>
    </row>
    <row r="401" ht="18" customHeight="1" s="229">
      <c r="A401" s="590" t="inlineStr">
        <is>
          <t>Satin Pajama Set</t>
        </is>
      </c>
      <c r="B401" s="591" t="inlineStr">
        <is>
          <t>Loungewear</t>
        </is>
      </c>
      <c r="C401" s="592" t="inlineStr">
        <is>
          <t>REMOVE</t>
        </is>
      </c>
      <c r="D401" s="593" t="inlineStr">
        <is>
          <t>Very low sales (&lt;$500 in 90 days)</t>
        </is>
      </c>
      <c r="E401" s="593" t="inlineStr">
        <is>
          <t>4 — LOW (natural sellthrough)</t>
        </is>
      </c>
      <c r="F401" s="594" t="inlineStr">
        <is>
          <t>Remove</t>
        </is>
      </c>
      <c r="G401" s="593" t="n"/>
      <c r="H401" s="595" t="n">
        <v>333.88</v>
      </c>
      <c r="I401" s="595" t="n">
        <v>512.5</v>
      </c>
      <c r="J401" s="595" t="n">
        <v>-120.48</v>
      </c>
      <c r="K401" s="596" t="n">
        <v>0.235</v>
      </c>
      <c r="L401" s="597" t="n">
        <v>4</v>
      </c>
      <c r="M401" s="595" t="n">
        <v>83.47</v>
      </c>
      <c r="N401" s="598" t="n">
        <v>0.0002</v>
      </c>
      <c r="O401" s="598" t="n">
        <v>0.9887999999999999</v>
      </c>
      <c r="P401" s="594" t="n">
        <v>4</v>
      </c>
      <c r="Q401" s="595" t="n">
        <v>15</v>
      </c>
      <c r="R401" s="597" t="n">
        <v>5</v>
      </c>
      <c r="S401" s="597" t="n">
        <v>0</v>
      </c>
      <c r="T401" s="597" t="n">
        <v>38</v>
      </c>
      <c r="U401" s="597" t="n">
        <v>164</v>
      </c>
      <c r="V401" s="597">
        <f>S324+T324</f>
        <v/>
      </c>
      <c r="W401" s="597">
        <f>S324+T324+U324</f>
        <v/>
      </c>
      <c r="X401" s="597">
        <f>W324*Q324</f>
        <v/>
      </c>
      <c r="Y401" s="595" t="n">
        <v>125</v>
      </c>
      <c r="Z401" s="595" t="n">
        <v>87.5</v>
      </c>
      <c r="AA401" s="594">
        <f>IF(Y324=Z324,"No","Yes")</f>
        <v/>
      </c>
      <c r="AB401" s="594" t="inlineStr">
        <is>
          <t>NW241WL5702</t>
        </is>
      </c>
      <c r="AC401" s="593" t="inlineStr">
        <is>
          <t>A字仿真丝短袖上衣*短裤</t>
        </is>
      </c>
    </row>
    <row r="402" ht="18" customHeight="1" s="229">
      <c r="A402" s="361" t="inlineStr">
        <is>
          <t>Hang Out Long Sleeve Polo Shirt</t>
        </is>
      </c>
      <c r="B402" s="362" t="inlineStr">
        <is>
          <t>Loungewear</t>
        </is>
      </c>
      <c r="C402" s="589" t="inlineStr">
        <is>
          <t>REMOVE</t>
        </is>
      </c>
      <c r="D402" s="364" t="inlineStr">
        <is>
          <t>Very low sales (&lt;$500 in 90 days)</t>
        </is>
      </c>
      <c r="E402" s="364" t="inlineStr">
        <is>
          <t>4 — LOW (natural sellthrough)</t>
        </is>
      </c>
      <c r="F402" s="365" t="inlineStr">
        <is>
          <t>Remove</t>
        </is>
      </c>
      <c r="G402" s="364" t="n"/>
      <c r="H402" s="366" t="n">
        <v>296.37</v>
      </c>
      <c r="I402" s="366" t="n">
        <v>427.2</v>
      </c>
      <c r="J402" s="366" t="n">
        <v>-130.83</v>
      </c>
      <c r="K402" s="367" t="n">
        <v>0.306</v>
      </c>
      <c r="L402" s="368" t="n">
        <v>8</v>
      </c>
      <c r="M402" s="366" t="n">
        <v>37.05</v>
      </c>
      <c r="N402" s="369" t="n">
        <v>0.0002</v>
      </c>
      <c r="O402" s="369" t="n">
        <v>0.9918</v>
      </c>
      <c r="P402" s="365" t="n">
        <v>5</v>
      </c>
      <c r="Q402" s="366" t="n">
        <v>15</v>
      </c>
      <c r="R402" s="368" t="n">
        <v>8</v>
      </c>
      <c r="S402" s="368" t="n">
        <v>0</v>
      </c>
      <c r="T402" s="368" t="n">
        <v>10</v>
      </c>
      <c r="U402" s="368" t="n">
        <v>197</v>
      </c>
      <c r="V402" s="368">
        <f>S339+T339</f>
        <v/>
      </c>
      <c r="W402" s="368">
        <f>S339+T339+U339</f>
        <v/>
      </c>
      <c r="X402" s="368">
        <f>W339*Q339</f>
        <v/>
      </c>
      <c r="Y402" s="366" t="n">
        <v>89</v>
      </c>
      <c r="Z402" s="366" t="n">
        <v>53.4</v>
      </c>
      <c r="AA402" s="365">
        <f>IF(Y339=Z339,"No","Yes")</f>
        <v/>
      </c>
      <c r="AB402" s="365" t="inlineStr">
        <is>
          <t>NW221PB3401</t>
        </is>
      </c>
      <c r="AC402" s="364" t="inlineStr">
        <is>
          <t>polo式卫衣</t>
        </is>
      </c>
    </row>
    <row r="403" ht="18" customHeight="1" s="229">
      <c r="A403" s="590" t="inlineStr">
        <is>
          <t>Sofa Shorts</t>
        </is>
      </c>
      <c r="B403" s="591" t="inlineStr">
        <is>
          <t>Loungewear</t>
        </is>
      </c>
      <c r="C403" s="592" t="inlineStr">
        <is>
          <t>REMOVE</t>
        </is>
      </c>
      <c r="D403" s="593" t="inlineStr">
        <is>
          <t>Very low sales (&lt;$500 in 90 days)</t>
        </is>
      </c>
      <c r="E403" s="593" t="inlineStr">
        <is>
          <t>4 — LOW (natural sellthrough)</t>
        </is>
      </c>
      <c r="F403" s="594" t="inlineStr">
        <is>
          <t>Remove</t>
        </is>
      </c>
      <c r="G403" s="593" t="n"/>
      <c r="H403" s="595" t="n">
        <v>273.9</v>
      </c>
      <c r="I403" s="595" t="n">
        <v>363</v>
      </c>
      <c r="J403" s="595" t="n">
        <v>-89.09999999999999</v>
      </c>
      <c r="K403" s="596" t="n">
        <v>0.245</v>
      </c>
      <c r="L403" s="597" t="n">
        <v>11</v>
      </c>
      <c r="M403" s="595" t="n">
        <v>24.9</v>
      </c>
      <c r="N403" s="598" t="n">
        <v>0.0002</v>
      </c>
      <c r="O403" s="598" t="n">
        <v>0.9926</v>
      </c>
      <c r="P403" s="594" t="n">
        <v>4</v>
      </c>
      <c r="Q403" s="595" t="n">
        <v>15</v>
      </c>
      <c r="R403" s="597" t="n">
        <v>11</v>
      </c>
      <c r="S403" s="597" t="n">
        <v>0</v>
      </c>
      <c r="T403" s="597" t="n">
        <v>9</v>
      </c>
      <c r="U403" s="597" t="n">
        <v>102</v>
      </c>
      <c r="V403" s="597">
        <f>S343+T343</f>
        <v/>
      </c>
      <c r="W403" s="597">
        <f>S343+T343+U343</f>
        <v/>
      </c>
      <c r="X403" s="597">
        <f>W343*Q343</f>
        <v/>
      </c>
      <c r="Y403" s="595" t="n">
        <v>55</v>
      </c>
      <c r="Z403" s="595" t="n">
        <v>33</v>
      </c>
      <c r="AA403" s="594">
        <f>IF(Y343=Z343,"No","Yes")</f>
        <v/>
      </c>
      <c r="AB403" s="594" t="inlineStr">
        <is>
          <t>NW221PL4010</t>
        </is>
      </c>
      <c r="AC403" s="593" t="inlineStr">
        <is>
          <t>抽绳短裤</t>
        </is>
      </c>
    </row>
    <row r="404" ht="18" customHeight="1" s="229">
      <c r="A404" s="361" t="inlineStr">
        <is>
          <t>Easy Knit Knitted Shorts</t>
        </is>
      </c>
      <c r="B404" s="362" t="inlineStr">
        <is>
          <t>Loungewear</t>
        </is>
      </c>
      <c r="C404" s="589" t="inlineStr">
        <is>
          <t>REMOVE</t>
        </is>
      </c>
      <c r="D404" s="364" t="inlineStr">
        <is>
          <t>Very low sales (&lt;$500 in 90 days)</t>
        </is>
      </c>
      <c r="E404" s="364" t="inlineStr">
        <is>
          <t>4 — LOW (natural sellthrough)</t>
        </is>
      </c>
      <c r="F404" s="365" t="inlineStr">
        <is>
          <t>Remove</t>
        </is>
      </c>
      <c r="G404" s="364" t="n"/>
      <c r="H404" s="366" t="n">
        <v>268.14</v>
      </c>
      <c r="I404" s="366" t="n">
        <v>327</v>
      </c>
      <c r="J404" s="366" t="n">
        <v>-58.86</v>
      </c>
      <c r="K404" s="380" t="n">
        <v>0.18</v>
      </c>
      <c r="L404" s="368" t="n">
        <v>5</v>
      </c>
      <c r="M404" s="366" t="n">
        <v>53.63</v>
      </c>
      <c r="N404" s="369" t="n">
        <v>0.0001</v>
      </c>
      <c r="O404" s="369" t="n">
        <v>0.993</v>
      </c>
      <c r="P404" s="365" t="n">
        <v>5</v>
      </c>
      <c r="Q404" s="366" t="n">
        <v>15</v>
      </c>
      <c r="R404" s="368" t="n">
        <v>5</v>
      </c>
      <c r="S404" s="368" t="n">
        <v>0</v>
      </c>
      <c r="T404" s="368" t="n">
        <v>28</v>
      </c>
      <c r="U404" s="368" t="n">
        <v>319</v>
      </c>
      <c r="V404" s="368">
        <f>S346+T346</f>
        <v/>
      </c>
      <c r="W404" s="368">
        <f>S346+T346+U346</f>
        <v/>
      </c>
      <c r="X404" s="368">
        <f>W346*Q346</f>
        <v/>
      </c>
      <c r="Y404" s="366" t="n">
        <v>109</v>
      </c>
      <c r="Z404" s="366" t="n">
        <v>65.40000000000001</v>
      </c>
      <c r="AA404" s="365">
        <f>IF(Y346=Z346,"No","Yes")</f>
        <v/>
      </c>
      <c r="AB404" s="365" t="inlineStr">
        <is>
          <t>NW221WL4108</t>
        </is>
      </c>
      <c r="AC404" s="364" t="inlineStr">
        <is>
          <t>毛织中短裤</t>
        </is>
      </c>
    </row>
    <row r="405" ht="18" customHeight="1" s="229">
      <c r="A405" s="590" t="inlineStr">
        <is>
          <t>Hang Out Crochet Camisole</t>
        </is>
      </c>
      <c r="B405" s="591" t="inlineStr">
        <is>
          <t>Loungewear</t>
        </is>
      </c>
      <c r="C405" s="592" t="inlineStr">
        <is>
          <t>REMOVE</t>
        </is>
      </c>
      <c r="D405" s="593" t="inlineStr">
        <is>
          <t>Very low sales (&lt;$500 in 90 days)</t>
        </is>
      </c>
      <c r="E405" s="593" t="inlineStr">
        <is>
          <t>4 — LOW (natural sellthrough)</t>
        </is>
      </c>
      <c r="F405" s="594" t="inlineStr">
        <is>
          <t>Remove</t>
        </is>
      </c>
      <c r="G405" s="593" t="n"/>
      <c r="H405" s="595" t="n">
        <v>263.46</v>
      </c>
      <c r="I405" s="595" t="n">
        <v>414</v>
      </c>
      <c r="J405" s="595" t="n">
        <v>-121.56</v>
      </c>
      <c r="K405" s="600" t="n">
        <v>0.294</v>
      </c>
      <c r="L405" s="597" t="n">
        <v>9</v>
      </c>
      <c r="M405" s="595" t="n">
        <v>29.27</v>
      </c>
      <c r="N405" s="598" t="n">
        <v>0.0001</v>
      </c>
      <c r="O405" s="598" t="n">
        <v>0.9931</v>
      </c>
      <c r="P405" s="594" t="n">
        <v>2</v>
      </c>
      <c r="Q405" s="595" t="n">
        <v>15</v>
      </c>
      <c r="R405" s="597" t="n">
        <v>10</v>
      </c>
      <c r="S405" s="597" t="n">
        <v>0</v>
      </c>
      <c r="T405" s="597" t="n">
        <v>12</v>
      </c>
      <c r="U405" s="597" t="n">
        <v>46</v>
      </c>
      <c r="V405" s="597">
        <f>S347+T347</f>
        <v/>
      </c>
      <c r="W405" s="597">
        <f>S347+T347+U347</f>
        <v/>
      </c>
      <c r="X405" s="597">
        <f>W347*Q347</f>
        <v/>
      </c>
      <c r="Y405" s="595" t="n">
        <v>69</v>
      </c>
      <c r="Z405" s="595" t="n">
        <v>41.4</v>
      </c>
      <c r="AA405" s="594">
        <f>IF(Y347=Z347,"No","Yes")</f>
        <v/>
      </c>
      <c r="AB405" s="594" t="inlineStr">
        <is>
          <t>NW221PB3202</t>
        </is>
      </c>
      <c r="AC405" s="593" t="inlineStr">
        <is>
          <t>少女镂空背心</t>
        </is>
      </c>
    </row>
    <row r="406" ht="18" customHeight="1" s="229">
      <c r="A406" s="361" t="inlineStr">
        <is>
          <t>Sofa Camisole</t>
        </is>
      </c>
      <c r="B406" s="362" t="inlineStr">
        <is>
          <t>Loungewear</t>
        </is>
      </c>
      <c r="C406" s="589" t="inlineStr">
        <is>
          <t>REMOVE</t>
        </is>
      </c>
      <c r="D406" s="364" t="inlineStr">
        <is>
          <t>Very low sales (&lt;$500 in 90 days)</t>
        </is>
      </c>
      <c r="E406" s="364" t="inlineStr">
        <is>
          <t>4 — LOW (natural sellthrough)</t>
        </is>
      </c>
      <c r="F406" s="365" t="inlineStr">
        <is>
          <t>Remove</t>
        </is>
      </c>
      <c r="G406" s="364" t="n"/>
      <c r="H406" s="366" t="n">
        <v>250.8</v>
      </c>
      <c r="I406" s="366" t="n">
        <v>330</v>
      </c>
      <c r="J406" s="366" t="n">
        <v>-79.19999999999999</v>
      </c>
      <c r="K406" s="380" t="n">
        <v>0.24</v>
      </c>
      <c r="L406" s="368" t="n">
        <v>10</v>
      </c>
      <c r="M406" s="366" t="n">
        <v>25.08</v>
      </c>
      <c r="N406" s="369" t="n">
        <v>0.0001</v>
      </c>
      <c r="O406" s="369" t="n">
        <v>0.9936</v>
      </c>
      <c r="P406" s="365" t="n">
        <v>5</v>
      </c>
      <c r="Q406" s="366" t="n">
        <v>15</v>
      </c>
      <c r="R406" s="368" t="n">
        <v>10</v>
      </c>
      <c r="S406" s="368" t="n">
        <v>0</v>
      </c>
      <c r="T406" s="368" t="n">
        <v>17</v>
      </c>
      <c r="U406" s="368" t="n">
        <v>44</v>
      </c>
      <c r="V406" s="368">
        <f>S352+T352</f>
        <v/>
      </c>
      <c r="W406" s="368">
        <f>S352+T352+U352</f>
        <v/>
      </c>
      <c r="X406" s="368">
        <f>W352*Q352</f>
        <v/>
      </c>
      <c r="Y406" s="366" t="n">
        <v>55</v>
      </c>
      <c r="Z406" s="366" t="n">
        <v>33</v>
      </c>
      <c r="AA406" s="365">
        <f>IF(Y352=Z352,"No","Yes")</f>
        <v/>
      </c>
      <c r="AB406" s="365" t="inlineStr">
        <is>
          <t>NW221PL3102</t>
        </is>
      </c>
      <c r="AC406" s="364" t="inlineStr">
        <is>
          <t>抽皱吊带</t>
        </is>
      </c>
    </row>
    <row r="407" ht="18" customHeight="1" s="229">
      <c r="A407" s="590" t="inlineStr">
        <is>
          <t>Box Fit Pajama Top</t>
        </is>
      </c>
      <c r="B407" s="591" t="inlineStr">
        <is>
          <t>Loungewear</t>
        </is>
      </c>
      <c r="C407" s="592" t="inlineStr">
        <is>
          <t>REMOVE</t>
        </is>
      </c>
      <c r="D407" s="593" t="inlineStr">
        <is>
          <t>Very low sales (&lt;$500 in 90 days)</t>
        </is>
      </c>
      <c r="E407" s="593" t="inlineStr">
        <is>
          <t>4 — LOW (natural sellthrough)</t>
        </is>
      </c>
      <c r="F407" s="594" t="inlineStr">
        <is>
          <t>Remove</t>
        </is>
      </c>
      <c r="G407" s="593" t="n"/>
      <c r="H407" s="595" t="n">
        <v>239.92</v>
      </c>
      <c r="I407" s="595" t="n">
        <v>331.2</v>
      </c>
      <c r="J407" s="595" t="n">
        <v>-91.28</v>
      </c>
      <c r="K407" s="600" t="n">
        <v>0.276</v>
      </c>
      <c r="L407" s="597" t="n">
        <v>8</v>
      </c>
      <c r="M407" s="595" t="n">
        <v>29.99</v>
      </c>
      <c r="N407" s="598" t="n">
        <v>0.0001</v>
      </c>
      <c r="O407" s="598" t="n">
        <v>0.9937</v>
      </c>
      <c r="P407" s="594" t="n">
        <v>3</v>
      </c>
      <c r="Q407" s="595" t="n">
        <v>15</v>
      </c>
      <c r="R407" s="597" t="n">
        <v>8</v>
      </c>
      <c r="S407" s="597" t="n">
        <v>3</v>
      </c>
      <c r="T407" s="597" t="n">
        <v>7</v>
      </c>
      <c r="U407" s="597" t="n">
        <v>31</v>
      </c>
      <c r="V407" s="597">
        <f>S353+T353</f>
        <v/>
      </c>
      <c r="W407" s="597">
        <f>S353+T353+U353</f>
        <v/>
      </c>
      <c r="X407" s="597">
        <f>W353*Q353</f>
        <v/>
      </c>
      <c r="Y407" s="595" t="n">
        <v>69</v>
      </c>
      <c r="Z407" s="595" t="n">
        <v>41.4</v>
      </c>
      <c r="AA407" s="594">
        <f>IF(Y353=Z353,"No","Yes")</f>
        <v/>
      </c>
      <c r="AB407" s="594" t="inlineStr">
        <is>
          <t>NW221PL3006</t>
        </is>
      </c>
      <c r="AC407" s="593" t="inlineStr">
        <is>
          <t>箱型睡衣</t>
        </is>
      </c>
    </row>
    <row r="408" ht="18" customHeight="1" s="229">
      <c r="A408" s="361" t="inlineStr">
        <is>
          <t>Lyocell Camisole</t>
        </is>
      </c>
      <c r="B408" s="362" t="inlineStr">
        <is>
          <t>Loungewear</t>
        </is>
      </c>
      <c r="C408" s="589" t="inlineStr">
        <is>
          <t>REMOVE</t>
        </is>
      </c>
      <c r="D408" s="364" t="inlineStr">
        <is>
          <t>Very low sales (&lt;$500 in 90 days)</t>
        </is>
      </c>
      <c r="E408" s="364" t="inlineStr">
        <is>
          <t>3 — MEDIUM (selldown or markdown)</t>
        </is>
      </c>
      <c r="F408" s="365" t="inlineStr">
        <is>
          <t>Remove</t>
        </is>
      </c>
      <c r="G408" s="364" t="n"/>
      <c r="H408" s="366" t="n">
        <v>236.06</v>
      </c>
      <c r="I408" s="366" t="n">
        <v>352.8</v>
      </c>
      <c r="J408" s="366" t="n">
        <v>-87.34</v>
      </c>
      <c r="K408" s="380" t="n">
        <v>0.248</v>
      </c>
      <c r="L408" s="368" t="n">
        <v>11</v>
      </c>
      <c r="M408" s="366" t="n">
        <v>21.46</v>
      </c>
      <c r="N408" s="369" t="n">
        <v>0.0001</v>
      </c>
      <c r="O408" s="369" t="n">
        <v>0.9939</v>
      </c>
      <c r="P408" s="365" t="n">
        <v>9</v>
      </c>
      <c r="Q408" s="366" t="n">
        <v>15</v>
      </c>
      <c r="R408" s="368" t="n">
        <v>12</v>
      </c>
      <c r="S408" s="368" t="n">
        <v>0</v>
      </c>
      <c r="T408" s="368" t="n">
        <v>44</v>
      </c>
      <c r="U408" s="368" t="n">
        <v>262</v>
      </c>
      <c r="V408" s="368">
        <f>S355+T355</f>
        <v/>
      </c>
      <c r="W408" s="368">
        <f>S355+T355+U355</f>
        <v/>
      </c>
      <c r="X408" s="368">
        <f>W355*Q355</f>
        <v/>
      </c>
      <c r="Y408" s="366" t="n">
        <v>49</v>
      </c>
      <c r="Z408" s="366" t="n">
        <v>29.4</v>
      </c>
      <c r="AA408" s="365">
        <f>IF(Y355=Z355,"No","Yes")</f>
        <v/>
      </c>
      <c r="AB408" s="365" t="inlineStr">
        <is>
          <t>NW221WL3101</t>
        </is>
      </c>
      <c r="AC408" s="364" t="inlineStr">
        <is>
          <t>吊带背心</t>
        </is>
      </c>
    </row>
    <row r="409" ht="18" customHeight="1" s="229">
      <c r="A409" s="590" t="inlineStr">
        <is>
          <t>Essential Classic Tee</t>
        </is>
      </c>
      <c r="B409" s="591" t="inlineStr">
        <is>
          <t>Loungewear</t>
        </is>
      </c>
      <c r="C409" s="592" t="inlineStr">
        <is>
          <t>REMOVE</t>
        </is>
      </c>
      <c r="D409" s="593" t="inlineStr">
        <is>
          <t>Very low sales (&lt;$500 in 90 days)</t>
        </is>
      </c>
      <c r="E409" s="593" t="inlineStr">
        <is>
          <t>4 — LOW (natural sellthrough)</t>
        </is>
      </c>
      <c r="F409" s="594" t="inlineStr">
        <is>
          <t>Remove</t>
        </is>
      </c>
      <c r="G409" s="593" t="n"/>
      <c r="H409" s="595" t="n">
        <v>228.1</v>
      </c>
      <c r="I409" s="595" t="n">
        <v>308.7</v>
      </c>
      <c r="J409" s="595" t="n">
        <v>-80.60000000000001</v>
      </c>
      <c r="K409" s="600" t="n">
        <v>0.261</v>
      </c>
      <c r="L409" s="597" t="n">
        <v>9</v>
      </c>
      <c r="M409" s="595" t="n">
        <v>25.34</v>
      </c>
      <c r="N409" s="598" t="n">
        <v>0.0001</v>
      </c>
      <c r="O409" s="598" t="n">
        <v>0.9942</v>
      </c>
      <c r="P409" s="594" t="n">
        <v>3</v>
      </c>
      <c r="Q409" s="595" t="n">
        <v>15</v>
      </c>
      <c r="R409" s="597" t="n">
        <v>9</v>
      </c>
      <c r="S409" s="597" t="n">
        <v>2</v>
      </c>
      <c r="T409" s="597" t="n">
        <v>10</v>
      </c>
      <c r="U409" s="597" t="n">
        <v>122</v>
      </c>
      <c r="V409" s="597">
        <f>S358+T358</f>
        <v/>
      </c>
      <c r="W409" s="597">
        <f>S358+T358+U358</f>
        <v/>
      </c>
      <c r="X409" s="597">
        <f>W358*Q358</f>
        <v/>
      </c>
      <c r="Y409" s="595" t="n">
        <v>49</v>
      </c>
      <c r="Z409" s="595" t="n">
        <v>34.3</v>
      </c>
      <c r="AA409" s="594">
        <f>IF(Y358=Z358,"No","Yes")</f>
        <v/>
      </c>
      <c r="AB409" s="594" t="inlineStr">
        <is>
          <t>NW221WB3302</t>
        </is>
      </c>
      <c r="AC409" s="593" t="inlineStr">
        <is>
          <t>短袖T恤</t>
        </is>
      </c>
    </row>
    <row r="410" ht="18" customHeight="1" s="229">
      <c r="A410" s="361" t="inlineStr">
        <is>
          <t>Hang Out Cotton Casual Shorts</t>
        </is>
      </c>
      <c r="B410" s="362" t="inlineStr">
        <is>
          <t>Loungewear</t>
        </is>
      </c>
      <c r="C410" s="589" t="inlineStr">
        <is>
          <t>REMOVE</t>
        </is>
      </c>
      <c r="D410" s="364" t="inlineStr">
        <is>
          <t>Very low sales (&lt;$500 in 90 days)</t>
        </is>
      </c>
      <c r="E410" s="364" t="inlineStr">
        <is>
          <t>4 — LOW (natural sellthrough)</t>
        </is>
      </c>
      <c r="F410" s="365" t="inlineStr">
        <is>
          <t>Remove</t>
        </is>
      </c>
      <c r="G410" s="364" t="n"/>
      <c r="H410" s="366" t="n">
        <v>203.82</v>
      </c>
      <c r="I410" s="366" t="n">
        <v>284.4</v>
      </c>
      <c r="J410" s="366" t="n">
        <v>-80.58</v>
      </c>
      <c r="K410" s="367" t="n">
        <v>0.283</v>
      </c>
      <c r="L410" s="368" t="n">
        <v>6</v>
      </c>
      <c r="M410" s="366" t="n">
        <v>33.97</v>
      </c>
      <c r="N410" s="369" t="n">
        <v>0.0001</v>
      </c>
      <c r="O410" s="369" t="n">
        <v>0.995</v>
      </c>
      <c r="P410" s="365" t="n">
        <v>3</v>
      </c>
      <c r="Q410" s="366" t="n">
        <v>15</v>
      </c>
      <c r="R410" s="368" t="n">
        <v>6</v>
      </c>
      <c r="S410" s="368" t="n">
        <v>0</v>
      </c>
      <c r="T410" s="368" t="n">
        <v>12</v>
      </c>
      <c r="U410" s="368" t="n">
        <v>93</v>
      </c>
      <c r="V410" s="368">
        <f>S366+T366</f>
        <v/>
      </c>
      <c r="W410" s="368">
        <f>S366+T366+U366</f>
        <v/>
      </c>
      <c r="X410" s="368">
        <f>W366*Q366</f>
        <v/>
      </c>
      <c r="Y410" s="366" t="n">
        <v>79</v>
      </c>
      <c r="Z410" s="366" t="n">
        <v>47.4</v>
      </c>
      <c r="AA410" s="365">
        <f>IF(Y366=Z366,"No","Yes")</f>
        <v/>
      </c>
      <c r="AB410" s="365" t="inlineStr">
        <is>
          <t>NW221PB4104</t>
        </is>
      </c>
      <c r="AC410" s="364" t="inlineStr">
        <is>
          <t>棉感休闲短裤</t>
        </is>
      </c>
    </row>
    <row r="411" ht="18" customHeight="1" s="229">
      <c r="A411" s="590" t="inlineStr">
        <is>
          <t>Laid Back U-Neck Padded Camisole</t>
        </is>
      </c>
      <c r="B411" s="591" t="inlineStr">
        <is>
          <t>Loungewear</t>
        </is>
      </c>
      <c r="C411" s="592" t="inlineStr">
        <is>
          <t>REMOVE</t>
        </is>
      </c>
      <c r="D411" s="593" t="inlineStr">
        <is>
          <t>Very low sales (&lt;$500 in 90 days)</t>
        </is>
      </c>
      <c r="E411" s="593" t="inlineStr">
        <is>
          <t>4 — LOW (natural sellthrough)</t>
        </is>
      </c>
      <c r="F411" s="594" t="inlineStr">
        <is>
          <t>Remove</t>
        </is>
      </c>
      <c r="G411" s="593" t="n"/>
      <c r="H411" s="595" t="n">
        <v>183.61</v>
      </c>
      <c r="I411" s="595" t="n">
        <v>264.6</v>
      </c>
      <c r="J411" s="595" t="n">
        <v>-60.41</v>
      </c>
      <c r="K411" s="596" t="n">
        <v>0.228</v>
      </c>
      <c r="L411" s="597" t="n">
        <v>8</v>
      </c>
      <c r="M411" s="595" t="n">
        <v>22.95</v>
      </c>
      <c r="N411" s="598" t="n">
        <v>0.0001</v>
      </c>
      <c r="O411" s="598" t="n">
        <v>0.9958</v>
      </c>
      <c r="P411" s="594" t="n">
        <v>3</v>
      </c>
      <c r="Q411" s="595" t="n">
        <v>15</v>
      </c>
      <c r="R411" s="597" t="n">
        <v>8</v>
      </c>
      <c r="S411" s="597" t="n">
        <v>10</v>
      </c>
      <c r="T411" s="597" t="n">
        <v>0</v>
      </c>
      <c r="U411" s="597" t="n">
        <v>38</v>
      </c>
      <c r="V411" s="597">
        <f>S374+T374</f>
        <v/>
      </c>
      <c r="W411" s="597">
        <f>S374+T374+U374</f>
        <v/>
      </c>
      <c r="X411" s="597">
        <f>W374*Q374</f>
        <v/>
      </c>
      <c r="Y411" s="595" t="n">
        <v>49</v>
      </c>
      <c r="Z411" s="595" t="n">
        <v>29.4</v>
      </c>
      <c r="AA411" s="594">
        <f>IF(Y374=Z374,"No","Yes")</f>
        <v/>
      </c>
      <c r="AB411" s="594" t="inlineStr">
        <is>
          <t>NW221WL3102</t>
        </is>
      </c>
      <c r="AC411" s="593" t="inlineStr">
        <is>
          <t>罗纹U領带胸垫吊带</t>
        </is>
      </c>
    </row>
    <row r="412" ht="18" customHeight="1" s="229">
      <c r="A412" s="361" t="inlineStr">
        <is>
          <t>Cropped Pajama Top</t>
        </is>
      </c>
      <c r="B412" s="362" t="inlineStr">
        <is>
          <t>Loungewear</t>
        </is>
      </c>
      <c r="C412" s="589" t="inlineStr">
        <is>
          <t>REMOVE</t>
        </is>
      </c>
      <c r="D412" s="364" t="inlineStr">
        <is>
          <t>Very low sales (&lt;$500 in 90 days)</t>
        </is>
      </c>
      <c r="E412" s="364" t="inlineStr">
        <is>
          <t>4 — LOW (natural sellthrough)</t>
        </is>
      </c>
      <c r="F412" s="365" t="inlineStr">
        <is>
          <t>Remove</t>
        </is>
      </c>
      <c r="G412" s="364" t="n"/>
      <c r="H412" s="366" t="n">
        <v>169.65</v>
      </c>
      <c r="I412" s="366" t="n">
        <v>234</v>
      </c>
      <c r="J412" s="366" t="n">
        <v>-64.34999999999999</v>
      </c>
      <c r="K412" s="367" t="n">
        <v>0.275</v>
      </c>
      <c r="L412" s="368" t="n">
        <v>6</v>
      </c>
      <c r="M412" s="366" t="n">
        <v>28.28</v>
      </c>
      <c r="N412" s="369" t="n">
        <v>0.0001</v>
      </c>
      <c r="O412" s="369" t="n">
        <v>0.9962000000000001</v>
      </c>
      <c r="P412" s="365" t="n">
        <v>6</v>
      </c>
      <c r="Q412" s="366" t="n">
        <v>15</v>
      </c>
      <c r="R412" s="368" t="n">
        <v>6</v>
      </c>
      <c r="S412" s="368" t="n">
        <v>0</v>
      </c>
      <c r="T412" s="368" t="n">
        <v>12</v>
      </c>
      <c r="U412" s="368" t="n">
        <v>247</v>
      </c>
      <c r="V412" s="368">
        <f>S378+T378</f>
        <v/>
      </c>
      <c r="W412" s="368">
        <f>S378+T378+U378</f>
        <v/>
      </c>
      <c r="X412" s="368">
        <f>W378*Q378</f>
        <v/>
      </c>
      <c r="Y412" s="366" t="n">
        <v>65</v>
      </c>
      <c r="Z412" s="366" t="n">
        <v>39</v>
      </c>
      <c r="AA412" s="365">
        <f>IF(Y378=Z378,"No","Yes")</f>
        <v/>
      </c>
      <c r="AB412" s="365" t="inlineStr">
        <is>
          <t>NW221PL3005</t>
        </is>
      </c>
      <c r="AC412" s="364" t="inlineStr">
        <is>
          <t>pajama短上衣</t>
        </is>
      </c>
    </row>
    <row r="413" ht="18" customHeight="1" s="229">
      <c r="A413" s="590" t="inlineStr">
        <is>
          <t>Stroll Pajama Shorts</t>
        </is>
      </c>
      <c r="B413" s="591" t="inlineStr">
        <is>
          <t>Loungewear</t>
        </is>
      </c>
      <c r="C413" s="592" t="inlineStr">
        <is>
          <t>REMOVE</t>
        </is>
      </c>
      <c r="D413" s="593" t="inlineStr">
        <is>
          <t>Very low sales (&lt;$500 in 90 days)</t>
        </is>
      </c>
      <c r="E413" s="593" t="inlineStr">
        <is>
          <t>4 — LOW (natural sellthrough)</t>
        </is>
      </c>
      <c r="F413" s="594" t="inlineStr">
        <is>
          <t>Remove</t>
        </is>
      </c>
      <c r="G413" s="593" t="n"/>
      <c r="H413" s="595" t="n">
        <v>155.1</v>
      </c>
      <c r="I413" s="595" t="n">
        <v>231</v>
      </c>
      <c r="J413" s="595" t="n">
        <v>-75.90000000000001</v>
      </c>
      <c r="K413" s="600" t="n">
        <v>0.329</v>
      </c>
      <c r="L413" s="597" t="n">
        <v>7</v>
      </c>
      <c r="M413" s="595" t="n">
        <v>22.16</v>
      </c>
      <c r="N413" s="598" t="n">
        <v>0.0001</v>
      </c>
      <c r="O413" s="598" t="n">
        <v>0.9968</v>
      </c>
      <c r="P413" s="594" t="n">
        <v>5</v>
      </c>
      <c r="Q413" s="595" t="n">
        <v>15</v>
      </c>
      <c r="R413" s="597" t="n">
        <v>7</v>
      </c>
      <c r="S413" s="597" t="n">
        <v>0</v>
      </c>
      <c r="T413" s="597" t="n">
        <v>12</v>
      </c>
      <c r="U413" s="597" t="n">
        <v>200</v>
      </c>
      <c r="V413" s="597">
        <f>S384+T384</f>
        <v/>
      </c>
      <c r="W413" s="597">
        <f>S384+T384+U384</f>
        <v/>
      </c>
      <c r="X413" s="597">
        <f>W384*Q384</f>
        <v/>
      </c>
      <c r="Y413" s="595" t="n">
        <v>55</v>
      </c>
      <c r="Z413" s="595" t="n">
        <v>33</v>
      </c>
      <c r="AA413" s="594">
        <f>IF(Y384=Z384,"No","Yes")</f>
        <v/>
      </c>
      <c r="AB413" s="594" t="inlineStr">
        <is>
          <t>NW221PL4001</t>
        </is>
      </c>
      <c r="AC413" s="593" t="inlineStr">
        <is>
          <t>皱感短睡裤</t>
        </is>
      </c>
    </row>
    <row r="414" ht="18" customHeight="1" s="229">
      <c r="A414" s="361" t="inlineStr">
        <is>
          <t>Flower Print Classic Embroidered Pajama Top</t>
        </is>
      </c>
      <c r="B414" s="362" t="inlineStr">
        <is>
          <t>Loungewear</t>
        </is>
      </c>
      <c r="C414" s="589" t="inlineStr">
        <is>
          <t>REMOVE</t>
        </is>
      </c>
      <c r="D414" s="364" t="inlineStr">
        <is>
          <t>Very low sales (&lt;$500 in 90 days)</t>
        </is>
      </c>
      <c r="E414" s="364" t="inlineStr">
        <is>
          <t>4 — LOW (natural sellthrough)</t>
        </is>
      </c>
      <c r="F414" s="365" t="inlineStr">
        <is>
          <t>Remove</t>
        </is>
      </c>
      <c r="G414" s="364" t="n"/>
      <c r="H414" s="366" t="n">
        <v>136.5</v>
      </c>
      <c r="I414" s="366" t="n">
        <v>210</v>
      </c>
      <c r="J414" s="366" t="n">
        <v>-73.5</v>
      </c>
      <c r="K414" s="367" t="n">
        <v>0.35</v>
      </c>
      <c r="L414" s="368" t="n">
        <v>4</v>
      </c>
      <c r="M414" s="366" t="n">
        <v>34.12</v>
      </c>
      <c r="N414" s="369" t="n">
        <v>0.0001</v>
      </c>
      <c r="O414" s="369" t="n">
        <v>0.9974</v>
      </c>
      <c r="P414" s="365" t="n">
        <v>3</v>
      </c>
      <c r="Q414" s="366" t="n">
        <v>15</v>
      </c>
      <c r="R414" s="368" t="n">
        <v>4</v>
      </c>
      <c r="S414" s="368" t="n">
        <v>7</v>
      </c>
      <c r="T414" s="368" t="n">
        <v>6</v>
      </c>
      <c r="U414" s="368" t="n">
        <v>0</v>
      </c>
      <c r="V414" s="368">
        <f>S390+T390</f>
        <v/>
      </c>
      <c r="W414" s="368">
        <f>S390+T390+U390</f>
        <v/>
      </c>
      <c r="X414" s="368">
        <f>W390*Q390</f>
        <v/>
      </c>
      <c r="Y414" s="366" t="n">
        <v>75</v>
      </c>
      <c r="Z414" s="366" t="n">
        <v>52.5</v>
      </c>
      <c r="AA414" s="365">
        <f>IF(Y390=Z390,"No","Yes")</f>
        <v/>
      </c>
      <c r="AB414" s="365" t="inlineStr">
        <is>
          <t>NW222PL3008</t>
        </is>
      </c>
      <c r="AC414" s="364" t="inlineStr">
        <is>
          <t>花型睡衣</t>
        </is>
      </c>
    </row>
    <row r="415" ht="18" customHeight="1" s="229">
      <c r="A415" s="590" t="inlineStr">
        <is>
          <t>Hang Out Summer Shirt</t>
        </is>
      </c>
      <c r="B415" s="591" t="inlineStr">
        <is>
          <t>Loungewear</t>
        </is>
      </c>
      <c r="C415" s="592" t="inlineStr">
        <is>
          <t>REMOVE</t>
        </is>
      </c>
      <c r="D415" s="593" t="inlineStr">
        <is>
          <t>Very low sales (&lt;$500 in 90 days)</t>
        </is>
      </c>
      <c r="E415" s="593" t="inlineStr">
        <is>
          <t>4 — LOW (natural sellthrough)</t>
        </is>
      </c>
      <c r="F415" s="594" t="inlineStr">
        <is>
          <t>Remove</t>
        </is>
      </c>
      <c r="G415" s="593" t="n"/>
      <c r="H415" s="595" t="n">
        <v>124.26</v>
      </c>
      <c r="I415" s="595" t="n">
        <v>196.2</v>
      </c>
      <c r="J415" s="595" t="n">
        <v>-71.94</v>
      </c>
      <c r="K415" s="600" t="n">
        <v>0.367</v>
      </c>
      <c r="L415" s="597" t="n">
        <v>3</v>
      </c>
      <c r="M415" s="595" t="n">
        <v>41.42</v>
      </c>
      <c r="N415" s="598" t="n">
        <v>0.0001</v>
      </c>
      <c r="O415" s="598" t="n">
        <v>0.9978</v>
      </c>
      <c r="P415" s="594" t="n">
        <v>4</v>
      </c>
      <c r="Q415" s="595" t="n">
        <v>15</v>
      </c>
      <c r="R415" s="597" t="n">
        <v>3</v>
      </c>
      <c r="S415" s="597" t="n">
        <v>0</v>
      </c>
      <c r="T415" s="597" t="n">
        <v>28</v>
      </c>
      <c r="U415" s="597" t="n">
        <v>185</v>
      </c>
      <c r="V415" s="597">
        <f>S394+T394</f>
        <v/>
      </c>
      <c r="W415" s="597">
        <f>S394+T394+U394</f>
        <v/>
      </c>
      <c r="X415" s="597">
        <f>W394*Q394</f>
        <v/>
      </c>
      <c r="Y415" s="595" t="n">
        <v>109</v>
      </c>
      <c r="Z415" s="595" t="n">
        <v>65.40000000000001</v>
      </c>
      <c r="AA415" s="594">
        <f>IF(Y394=Z394,"No","Yes")</f>
        <v/>
      </c>
      <c r="AB415" s="594" t="inlineStr">
        <is>
          <t>NW221PB3501</t>
        </is>
      </c>
      <c r="AC415" s="593" t="inlineStr">
        <is>
          <t>薄透衬衫</t>
        </is>
      </c>
    </row>
    <row r="416" ht="18" customHeight="1" s="229">
      <c r="A416" s="361" t="inlineStr">
        <is>
          <t>Easy Knit V-Neck Tee</t>
        </is>
      </c>
      <c r="B416" s="362" t="inlineStr">
        <is>
          <t>Loungewear</t>
        </is>
      </c>
      <c r="C416" s="589" t="inlineStr">
        <is>
          <t>REMOVE</t>
        </is>
      </c>
      <c r="D416" s="364" t="inlineStr">
        <is>
          <t>Very low sales (&lt;$500 in 90 days)</t>
        </is>
      </c>
      <c r="E416" s="364" t="inlineStr">
        <is>
          <t>4 — LOW (natural sellthrough)</t>
        </is>
      </c>
      <c r="F416" s="365" t="inlineStr">
        <is>
          <t>Remove</t>
        </is>
      </c>
      <c r="G416" s="364" t="n"/>
      <c r="H416" s="366" t="n">
        <v>103.53</v>
      </c>
      <c r="I416" s="366" t="n">
        <v>142.8</v>
      </c>
      <c r="J416" s="366" t="n">
        <v>-39.27</v>
      </c>
      <c r="K416" s="367" t="n">
        <v>0.275</v>
      </c>
      <c r="L416" s="368" t="n">
        <v>2</v>
      </c>
      <c r="M416" s="366" t="n">
        <v>51.76</v>
      </c>
      <c r="N416" s="369" t="n">
        <v>0.0001</v>
      </c>
      <c r="O416" s="369" t="n">
        <v>0.9984999999999999</v>
      </c>
      <c r="P416" s="365" t="n">
        <v>5</v>
      </c>
      <c r="Q416" s="366" t="n">
        <v>15</v>
      </c>
      <c r="R416" s="368" t="n">
        <v>2</v>
      </c>
      <c r="S416" s="368" t="n">
        <v>0</v>
      </c>
      <c r="T416" s="368" t="n">
        <v>63</v>
      </c>
      <c r="U416" s="368" t="n">
        <v>359</v>
      </c>
      <c r="V416" s="368">
        <f>S401+T401</f>
        <v/>
      </c>
      <c r="W416" s="368">
        <f>S401+T401+U401</f>
        <v/>
      </c>
      <c r="X416" s="368">
        <f>W401*Q401</f>
        <v/>
      </c>
      <c r="Y416" s="366" t="n">
        <v>119</v>
      </c>
      <c r="Z416" s="366" t="n">
        <v>71.40000000000001</v>
      </c>
      <c r="AA416" s="365">
        <f>IF(Y401=Z401,"No","Yes")</f>
        <v/>
      </c>
      <c r="AB416" s="365" t="inlineStr">
        <is>
          <t>NW221WL3404</t>
        </is>
      </c>
      <c r="AC416" s="364" t="inlineStr">
        <is>
          <t>V領短袖TEE</t>
        </is>
      </c>
    </row>
    <row r="417" ht="18" customHeight="1" s="229">
      <c r="A417" s="590" t="inlineStr">
        <is>
          <t>Knitted Box Sweater</t>
        </is>
      </c>
      <c r="B417" s="591" t="inlineStr">
        <is>
          <t>Loungewear</t>
        </is>
      </c>
      <c r="C417" s="592" t="inlineStr">
        <is>
          <t>REMOVE</t>
        </is>
      </c>
      <c r="D417" s="593" t="inlineStr">
        <is>
          <t>Negligible sales (&lt;$100 in 90 days)</t>
        </is>
      </c>
      <c r="E417" s="593" t="inlineStr">
        <is>
          <t>4 — LOW (natural sellthrough)</t>
        </is>
      </c>
      <c r="F417" s="594" t="inlineStr">
        <is>
          <t>Remove</t>
        </is>
      </c>
      <c r="G417" s="593" t="inlineStr">
        <is>
          <t>OOS</t>
        </is>
      </c>
      <c r="H417" s="595" t="n">
        <v>71.7</v>
      </c>
      <c r="I417" s="595" t="n">
        <v>119.5</v>
      </c>
      <c r="J417" s="595" t="n">
        <v>-47.8</v>
      </c>
      <c r="K417" s="600" t="n">
        <v>0.4</v>
      </c>
      <c r="L417" s="597" t="n">
        <v>1</v>
      </c>
      <c r="M417" s="595" t="n">
        <v>71.7</v>
      </c>
      <c r="N417" s="594" t="n">
        <v>0</v>
      </c>
      <c r="O417" s="598" t="n">
        <v>0.9989</v>
      </c>
      <c r="P417" s="594" t="n">
        <v>1</v>
      </c>
      <c r="Q417" s="595" t="n">
        <v>15</v>
      </c>
      <c r="R417" s="597" t="n">
        <v>1</v>
      </c>
      <c r="S417" s="597" t="n">
        <v>0</v>
      </c>
      <c r="T417" s="597" t="n">
        <v>0</v>
      </c>
      <c r="U417" s="597" t="n">
        <v>0</v>
      </c>
      <c r="V417" s="597">
        <f>S415+T415</f>
        <v/>
      </c>
      <c r="W417" s="597">
        <f>S415+T415+U415</f>
        <v/>
      </c>
      <c r="X417" s="597">
        <f>W415*Q415</f>
        <v/>
      </c>
      <c r="Y417" s="595" t="n">
        <v>239</v>
      </c>
      <c r="Z417" s="595" t="n">
        <v>119.5</v>
      </c>
      <c r="AA417" s="594">
        <f>IF(Y415=Z415,"No","Yes")</f>
        <v/>
      </c>
      <c r="AB417" s="594" t="e">
        <v>#N/A</v>
      </c>
      <c r="AC417" s="593" t="e">
        <v>#N/A</v>
      </c>
    </row>
    <row r="418" ht="18" customHeight="1" s="229">
      <c r="A418" s="361" t="inlineStr">
        <is>
          <t>NEIWAI X SAVISLOOK Shell Print Maxi Dress</t>
        </is>
      </c>
      <c r="B418" s="362" t="inlineStr">
        <is>
          <t>Loungewear</t>
        </is>
      </c>
      <c r="C418" s="589" t="inlineStr">
        <is>
          <t>REMOVE</t>
        </is>
      </c>
      <c r="D418" s="364" t="inlineStr">
        <is>
          <t>Negligible sales (&lt;$100 in 90 days)</t>
        </is>
      </c>
      <c r="E418" s="364" t="inlineStr">
        <is>
          <t>4 — LOW (natural sellthrough)</t>
        </is>
      </c>
      <c r="F418" s="365" t="inlineStr">
        <is>
          <t>Remove</t>
        </is>
      </c>
      <c r="G418" s="364" t="inlineStr">
        <is>
          <t>OOS</t>
        </is>
      </c>
      <c r="H418" s="366" t="n">
        <v>70.56</v>
      </c>
      <c r="I418" s="366" t="n">
        <v>100.8</v>
      </c>
      <c r="J418" s="366" t="n">
        <v>-30.24</v>
      </c>
      <c r="K418" s="367" t="n">
        <v>0.3</v>
      </c>
      <c r="L418" s="368" t="n">
        <v>1</v>
      </c>
      <c r="M418" s="366" t="n">
        <v>70.56</v>
      </c>
      <c r="N418" s="365" t="n">
        <v>0</v>
      </c>
      <c r="O418" s="369" t="n">
        <v>0.9989</v>
      </c>
      <c r="P418" s="365" t="n">
        <v>1</v>
      </c>
      <c r="Q418" s="366" t="n">
        <v>15</v>
      </c>
      <c r="R418" s="368" t="n">
        <v>1</v>
      </c>
      <c r="S418" s="368" t="n">
        <v>0</v>
      </c>
      <c r="T418" s="368" t="n">
        <v>0</v>
      </c>
      <c r="U418" s="368" t="n">
        <v>0</v>
      </c>
      <c r="V418" s="368">
        <f>S416+T416</f>
        <v/>
      </c>
      <c r="W418" s="368">
        <f>S416+T416+U416</f>
        <v/>
      </c>
      <c r="X418" s="368">
        <f>W416*Q416</f>
        <v/>
      </c>
      <c r="Y418" s="366" t="n">
        <v>168</v>
      </c>
      <c r="Z418" s="366" t="n">
        <v>100.8</v>
      </c>
      <c r="AA418" s="365">
        <f>IF(Y416=Z416,"No","Yes")</f>
        <v/>
      </c>
      <c r="AB418" s="365" t="e">
        <v>#N/A</v>
      </c>
      <c r="AC418" s="364" t="e">
        <v>#N/A</v>
      </c>
    </row>
    <row r="419" ht="18" customHeight="1" s="229">
      <c r="A419" s="590" t="inlineStr">
        <is>
          <t>NEIWAI X SAVISLOOK Knit Pants</t>
        </is>
      </c>
      <c r="B419" s="591" t="inlineStr">
        <is>
          <t>Loungewear</t>
        </is>
      </c>
      <c r="C419" s="592" t="inlineStr">
        <is>
          <t>REMOVE</t>
        </is>
      </c>
      <c r="D419" s="593" t="inlineStr">
        <is>
          <t>Negligible sales (&lt;$100 in 90 days)</t>
        </is>
      </c>
      <c r="E419" s="593" t="inlineStr">
        <is>
          <t>4 — LOW (natural sellthrough)</t>
        </is>
      </c>
      <c r="F419" s="594" t="inlineStr">
        <is>
          <t>Remove</t>
        </is>
      </c>
      <c r="G419" s="593" t="inlineStr">
        <is>
          <t>OOS</t>
        </is>
      </c>
      <c r="H419" s="595" t="n">
        <v>70.56</v>
      </c>
      <c r="I419" s="595" t="n">
        <v>100.8</v>
      </c>
      <c r="J419" s="595" t="n">
        <v>-30.24</v>
      </c>
      <c r="K419" s="600" t="n">
        <v>0.3</v>
      </c>
      <c r="L419" s="597" t="n">
        <v>1</v>
      </c>
      <c r="M419" s="595" t="n">
        <v>70.56</v>
      </c>
      <c r="N419" s="594" t="n">
        <v>0</v>
      </c>
      <c r="O419" s="598" t="n">
        <v>0.9989</v>
      </c>
      <c r="P419" s="594" t="n">
        <v>1</v>
      </c>
      <c r="Q419" s="595" t="n">
        <v>15</v>
      </c>
      <c r="R419" s="597" t="n">
        <v>1</v>
      </c>
      <c r="S419" s="597" t="n">
        <v>0</v>
      </c>
      <c r="T419" s="597" t="n">
        <v>0</v>
      </c>
      <c r="U419" s="597" t="n">
        <v>0</v>
      </c>
      <c r="V419" s="597">
        <f>S417+T417</f>
        <v/>
      </c>
      <c r="W419" s="597">
        <f>S417+T417+U417</f>
        <v/>
      </c>
      <c r="X419" s="597">
        <f>W417*Q417</f>
        <v/>
      </c>
      <c r="Y419" s="595" t="n">
        <v>168</v>
      </c>
      <c r="Z419" s="595" t="n">
        <v>100.8</v>
      </c>
      <c r="AA419" s="594">
        <f>IF(Y417=Z417,"No","Yes")</f>
        <v/>
      </c>
      <c r="AB419" s="594" t="e">
        <v>#N/A</v>
      </c>
      <c r="AC419" s="593" t="e">
        <v>#N/A</v>
      </c>
    </row>
    <row r="420" ht="18" customHeight="1" s="229">
      <c r="A420" s="361" t="inlineStr">
        <is>
          <t>NEIWAI X SAVISLOOK  Maxi Dress</t>
        </is>
      </c>
      <c r="B420" s="362" t="inlineStr">
        <is>
          <t>Loungewear</t>
        </is>
      </c>
      <c r="C420" s="589" t="inlineStr">
        <is>
          <t>REMOVE</t>
        </is>
      </c>
      <c r="D420" s="364" t="inlineStr">
        <is>
          <t>Negligible sales (&lt;$100 in 90 days)</t>
        </is>
      </c>
      <c r="E420" s="364" t="inlineStr">
        <is>
          <t>4 — LOW (natural sellthrough)</t>
        </is>
      </c>
      <c r="F420" s="365" t="inlineStr">
        <is>
          <t>Remove</t>
        </is>
      </c>
      <c r="G420" s="364" t="inlineStr">
        <is>
          <t>OOS</t>
        </is>
      </c>
      <c r="H420" s="366" t="n">
        <v>68.45999999999999</v>
      </c>
      <c r="I420" s="366" t="n">
        <v>100.8</v>
      </c>
      <c r="J420" s="366" t="n">
        <v>-32.34</v>
      </c>
      <c r="K420" s="367" t="n">
        <v>0.321</v>
      </c>
      <c r="L420" s="368" t="n">
        <v>1</v>
      </c>
      <c r="M420" s="366" t="n">
        <v>68.45999999999999</v>
      </c>
      <c r="N420" s="365" t="n">
        <v>0</v>
      </c>
      <c r="O420" s="369" t="n">
        <v>0.9989</v>
      </c>
      <c r="P420" s="365" t="n">
        <v>1</v>
      </c>
      <c r="Q420" s="366" t="n">
        <v>15</v>
      </c>
      <c r="R420" s="368" t="n">
        <v>1</v>
      </c>
      <c r="S420" s="368" t="n">
        <v>0</v>
      </c>
      <c r="T420" s="368" t="n">
        <v>0</v>
      </c>
      <c r="U420" s="368" t="n">
        <v>0</v>
      </c>
      <c r="V420" s="368">
        <f>S419+T419</f>
        <v/>
      </c>
      <c r="W420" s="368">
        <f>S419+T419+U419</f>
        <v/>
      </c>
      <c r="X420" s="368">
        <f>W419*Q419</f>
        <v/>
      </c>
      <c r="Y420" s="366" t="n">
        <v>168</v>
      </c>
      <c r="Z420" s="366" t="n">
        <v>84</v>
      </c>
      <c r="AA420" s="365">
        <f>IF(Y419=Z419,"No","Yes")</f>
        <v/>
      </c>
      <c r="AB420" s="365" t="e">
        <v>#N/A</v>
      </c>
      <c r="AC420" s="364" t="e">
        <v>#N/A</v>
      </c>
    </row>
    <row r="421" ht="18" customHeight="1" s="229">
      <c r="A421" s="590" t="inlineStr">
        <is>
          <t>Vacation Slip Maxi Dress</t>
        </is>
      </c>
      <c r="B421" s="591" t="inlineStr">
        <is>
          <t>Loungewear</t>
        </is>
      </c>
      <c r="C421" s="592" t="inlineStr">
        <is>
          <t>REMOVE</t>
        </is>
      </c>
      <c r="D421" s="593" t="inlineStr">
        <is>
          <t>Negligible sales (&lt;$100 in 90 days)</t>
        </is>
      </c>
      <c r="E421" s="593" t="inlineStr">
        <is>
          <t>4 — LOW (natural sellthrough)</t>
        </is>
      </c>
      <c r="F421" s="594" t="inlineStr">
        <is>
          <t>Remove</t>
        </is>
      </c>
      <c r="G421" s="593" t="n"/>
      <c r="H421" s="595" t="n">
        <v>66.78</v>
      </c>
      <c r="I421" s="595" t="n">
        <v>95.40000000000001</v>
      </c>
      <c r="J421" s="595" t="n">
        <v>-28.62</v>
      </c>
      <c r="K421" s="600" t="n">
        <v>0.3</v>
      </c>
      <c r="L421" s="597" t="n">
        <v>1</v>
      </c>
      <c r="M421" s="595" t="n">
        <v>66.78</v>
      </c>
      <c r="N421" s="594" t="n">
        <v>0</v>
      </c>
      <c r="O421" s="598" t="n">
        <v>0.9989</v>
      </c>
      <c r="P421" s="594" t="n">
        <v>1</v>
      </c>
      <c r="Q421" s="595" t="n">
        <v>15</v>
      </c>
      <c r="R421" s="597" t="n">
        <v>1</v>
      </c>
      <c r="S421" s="597" t="n">
        <v>0</v>
      </c>
      <c r="T421" s="597" t="n">
        <v>16</v>
      </c>
      <c r="U421" s="597" t="n">
        <v>31</v>
      </c>
      <c r="V421" s="597">
        <f>S420+T420</f>
        <v/>
      </c>
      <c r="W421" s="597">
        <f>S420+T420+U420</f>
        <v/>
      </c>
      <c r="X421" s="597">
        <f>W420*Q420</f>
        <v/>
      </c>
      <c r="Y421" s="595" t="n">
        <v>159</v>
      </c>
      <c r="Z421" s="595" t="n">
        <v>95.40000000000001</v>
      </c>
      <c r="AA421" s="594">
        <f>IF(Y420=Z420,"No","Yes")</f>
        <v/>
      </c>
      <c r="AB421" s="594" t="inlineStr">
        <is>
          <t>NW221WB5106</t>
        </is>
      </c>
      <c r="AC421" s="593" t="inlineStr">
        <is>
          <t>度假吊带长裙</t>
        </is>
      </c>
    </row>
    <row r="422" ht="18" customHeight="1" s="229">
      <c r="A422" s="361" t="inlineStr">
        <is>
          <t>Hang Out 2-Way Dress</t>
        </is>
      </c>
      <c r="B422" s="362" t="inlineStr">
        <is>
          <t>Loungewear</t>
        </is>
      </c>
      <c r="C422" s="589" t="inlineStr">
        <is>
          <t>REMOVE</t>
        </is>
      </c>
      <c r="D422" s="364" t="inlineStr">
        <is>
          <t>Negligible sales (&lt;$100 in 90 days)</t>
        </is>
      </c>
      <c r="E422" s="364" t="inlineStr">
        <is>
          <t>4 — LOW (natural sellthrough)</t>
        </is>
      </c>
      <c r="F422" s="365" t="inlineStr">
        <is>
          <t>Remove</t>
        </is>
      </c>
      <c r="G422" s="364" t="n"/>
      <c r="H422" s="366" t="n">
        <v>56.7</v>
      </c>
      <c r="I422" s="366" t="n">
        <v>81</v>
      </c>
      <c r="J422" s="366" t="n">
        <v>-24.3</v>
      </c>
      <c r="K422" s="367" t="n">
        <v>0.3</v>
      </c>
      <c r="L422" s="368" t="n">
        <v>1</v>
      </c>
      <c r="M422" s="366" t="n">
        <v>56.7</v>
      </c>
      <c r="N422" s="365" t="n">
        <v>0</v>
      </c>
      <c r="O422" s="369" t="n">
        <v>0.9989</v>
      </c>
      <c r="P422" s="365" t="n">
        <v>2</v>
      </c>
      <c r="Q422" s="366" t="n">
        <v>15</v>
      </c>
      <c r="R422" s="368" t="n">
        <v>1</v>
      </c>
      <c r="S422" s="368" t="n">
        <v>0</v>
      </c>
      <c r="T422" s="368" t="n">
        <v>17</v>
      </c>
      <c r="U422" s="368" t="n">
        <v>267</v>
      </c>
      <c r="V422" s="368">
        <f>S426+T426</f>
        <v/>
      </c>
      <c r="W422" s="368">
        <f>S426+T426+U426</f>
        <v/>
      </c>
      <c r="X422" s="368">
        <f>W426*Q426</f>
        <v/>
      </c>
      <c r="Y422" s="366" t="n">
        <v>135</v>
      </c>
      <c r="Z422" s="366" t="n">
        <v>81</v>
      </c>
      <c r="AA422" s="365">
        <f>IF(Y426=Z426,"No","Yes")</f>
        <v/>
      </c>
      <c r="AB422" s="365" t="inlineStr">
        <is>
          <t>NW221PB4302</t>
        </is>
      </c>
      <c r="AC422" s="364" t="inlineStr">
        <is>
          <t>smoking半裙</t>
        </is>
      </c>
    </row>
    <row r="423" ht="18" customHeight="1" s="229">
      <c r="A423" s="590" t="inlineStr">
        <is>
          <t>Stroll Long Sleeve Pajama Top</t>
        </is>
      </c>
      <c r="B423" s="591" t="inlineStr">
        <is>
          <t>Loungewear</t>
        </is>
      </c>
      <c r="C423" s="592" t="inlineStr">
        <is>
          <t>REMOVE</t>
        </is>
      </c>
      <c r="D423" s="593" t="inlineStr">
        <is>
          <t>Negligible sales (&lt;$100 in 90 days)</t>
        </is>
      </c>
      <c r="E423" s="593" t="inlineStr">
        <is>
          <t>4 — LOW (natural sellthrough)</t>
        </is>
      </c>
      <c r="F423" s="594" t="inlineStr">
        <is>
          <t>Remove</t>
        </is>
      </c>
      <c r="G423" s="593" t="n"/>
      <c r="H423" s="595" t="n">
        <v>53.82</v>
      </c>
      <c r="I423" s="595" t="n">
        <v>82.8</v>
      </c>
      <c r="J423" s="595" t="n">
        <v>-28.98</v>
      </c>
      <c r="K423" s="600" t="n">
        <v>0.35</v>
      </c>
      <c r="L423" s="597" t="n">
        <v>2</v>
      </c>
      <c r="M423" s="595" t="n">
        <v>26.91</v>
      </c>
      <c r="N423" s="594" t="n">
        <v>0</v>
      </c>
      <c r="O423" s="598" t="n">
        <v>0.9989</v>
      </c>
      <c r="P423" s="594" t="n">
        <v>3</v>
      </c>
      <c r="Q423" s="595" t="n">
        <v>15</v>
      </c>
      <c r="R423" s="597" t="n">
        <v>2</v>
      </c>
      <c r="S423" s="597" t="n">
        <v>0</v>
      </c>
      <c r="T423" s="597" t="n">
        <v>24</v>
      </c>
      <c r="U423" s="597" t="n">
        <v>65</v>
      </c>
      <c r="V423" s="597">
        <f>S429+T429</f>
        <v/>
      </c>
      <c r="W423" s="597">
        <f>S429+T429+U429</f>
        <v/>
      </c>
      <c r="X423" s="597">
        <f>W429*Q429</f>
        <v/>
      </c>
      <c r="Y423" s="595" t="n">
        <v>69</v>
      </c>
      <c r="Z423" s="595" t="n">
        <v>41.4</v>
      </c>
      <c r="AA423" s="594">
        <f>IF(Y429=Z429,"No","Yes")</f>
        <v/>
      </c>
      <c r="AB423" s="594" t="inlineStr">
        <is>
          <t>NW221PL3001</t>
        </is>
      </c>
      <c r="AC423" s="593" t="inlineStr">
        <is>
          <t>皱感长袖睡衣</t>
        </is>
      </c>
    </row>
    <row r="424" ht="18" customHeight="1" s="229">
      <c r="A424" s="361" t="inlineStr">
        <is>
          <t>NEIWAI X SAVISLOOK Knit Camisole</t>
        </is>
      </c>
      <c r="B424" s="362" t="inlineStr">
        <is>
          <t>Loungewear</t>
        </is>
      </c>
      <c r="C424" s="589" t="inlineStr">
        <is>
          <t>REMOVE</t>
        </is>
      </c>
      <c r="D424" s="364" t="inlineStr">
        <is>
          <t>Negligible sales (&lt;$100 in 90 days)</t>
        </is>
      </c>
      <c r="E424" s="364" t="inlineStr">
        <is>
          <t>4 — LOW (natural sellthrough)</t>
        </is>
      </c>
      <c r="F424" s="365" t="inlineStr">
        <is>
          <t>Remove</t>
        </is>
      </c>
      <c r="G424" s="364" t="inlineStr">
        <is>
          <t>Almost OOS</t>
        </is>
      </c>
      <c r="H424" s="366" t="n">
        <v>36.96</v>
      </c>
      <c r="I424" s="366" t="n">
        <v>52.8</v>
      </c>
      <c r="J424" s="366" t="n">
        <v>-15.84</v>
      </c>
      <c r="K424" s="367" t="n">
        <v>0.3</v>
      </c>
      <c r="L424" s="368" t="n">
        <v>1</v>
      </c>
      <c r="M424" s="366" t="n">
        <v>36.96</v>
      </c>
      <c r="N424" s="365" t="n">
        <v>0</v>
      </c>
      <c r="O424" s="369" t="n">
        <v>0.9989</v>
      </c>
      <c r="P424" s="365" t="n">
        <v>1</v>
      </c>
      <c r="Q424" s="366" t="n">
        <v>15</v>
      </c>
      <c r="R424" s="368" t="n">
        <v>1</v>
      </c>
      <c r="S424" s="368" t="n">
        <v>2</v>
      </c>
      <c r="T424" s="368" t="n">
        <v>0</v>
      </c>
      <c r="U424" s="368" t="n">
        <v>0</v>
      </c>
      <c r="V424" s="368">
        <f>S439+T439</f>
        <v/>
      </c>
      <c r="W424" s="368">
        <f>S439+T439+U439</f>
        <v/>
      </c>
      <c r="X424" s="368">
        <f>W439*Q439</f>
        <v/>
      </c>
      <c r="Y424" s="366" t="n">
        <v>88</v>
      </c>
      <c r="Z424" s="366" t="n">
        <v>44</v>
      </c>
      <c r="AA424" s="365">
        <f>IF(Y439=Z439,"No","Yes")</f>
        <v/>
      </c>
      <c r="AB424" s="365" t="e">
        <v>#N/A</v>
      </c>
      <c r="AC424" s="364" t="e">
        <v>#N/A</v>
      </c>
    </row>
    <row r="425" ht="18" customHeight="1" s="229">
      <c r="A425" s="590" t="inlineStr">
        <is>
          <t>Silk Cotton Slip Pajama Dress</t>
        </is>
      </c>
      <c r="B425" s="591" t="inlineStr">
        <is>
          <t>Loungewear</t>
        </is>
      </c>
      <c r="C425" s="592" t="inlineStr">
        <is>
          <t>REMOVE</t>
        </is>
      </c>
      <c r="D425" s="593" t="inlineStr">
        <is>
          <t>Negligible sales (&lt;$100 in 90 days)</t>
        </is>
      </c>
      <c r="E425" s="593" t="inlineStr">
        <is>
          <t>4 — LOW (natural sellthrough)</t>
        </is>
      </c>
      <c r="F425" s="594" t="inlineStr">
        <is>
          <t>Remove</t>
        </is>
      </c>
      <c r="G425" s="593" t="inlineStr">
        <is>
          <t>Almost OOS</t>
        </is>
      </c>
      <c r="H425" s="595" t="n">
        <v>35.64</v>
      </c>
      <c r="I425" s="595" t="n">
        <v>59.4</v>
      </c>
      <c r="J425" s="595" t="n">
        <v>-23.76</v>
      </c>
      <c r="K425" s="600" t="n">
        <v>0.4</v>
      </c>
      <c r="L425" s="597" t="n">
        <v>1</v>
      </c>
      <c r="M425" s="595" t="n">
        <v>35.64</v>
      </c>
      <c r="N425" s="594" t="n">
        <v>0</v>
      </c>
      <c r="O425" s="598" t="n">
        <v>0.9989</v>
      </c>
      <c r="P425" s="594" t="n">
        <v>1</v>
      </c>
      <c r="Q425" s="595" t="n">
        <v>15</v>
      </c>
      <c r="R425" s="597" t="n">
        <v>1</v>
      </c>
      <c r="S425" s="597" t="n">
        <v>4</v>
      </c>
      <c r="T425" s="597" t="n">
        <v>0</v>
      </c>
      <c r="U425" s="597" t="n">
        <v>0</v>
      </c>
      <c r="V425" s="597">
        <f>S440+T440</f>
        <v/>
      </c>
      <c r="W425" s="597">
        <f>S440+T440+U440</f>
        <v/>
      </c>
      <c r="X425" s="597">
        <f>W440*Q440</f>
        <v/>
      </c>
      <c r="Y425" s="595" t="n">
        <v>99</v>
      </c>
      <c r="Z425" s="595" t="n">
        <v>59.4</v>
      </c>
      <c r="AA425" s="594">
        <f>IF(Y440=Z440,"No","Yes")</f>
        <v/>
      </c>
      <c r="AB425" s="594" t="inlineStr">
        <is>
          <t>NW221WL5003</t>
        </is>
      </c>
      <c r="AC425" s="593" t="inlineStr">
        <is>
          <t>丝棉吊带睡裙</t>
        </is>
      </c>
    </row>
    <row r="426" ht="18" customHeight="1" s="229">
      <c r="A426" s="361" t="inlineStr">
        <is>
          <t>Boundless Fleece Sweatshirt</t>
        </is>
      </c>
      <c r="B426" s="362" t="inlineStr">
        <is>
          <t>Loungewear</t>
        </is>
      </c>
      <c r="C426" s="589" t="inlineStr">
        <is>
          <t>REMOVE</t>
        </is>
      </c>
      <c r="D426" s="364" t="inlineStr">
        <is>
          <t>Negligible sales (&lt;$100 in 90 days)</t>
        </is>
      </c>
      <c r="E426" s="364" t="inlineStr">
        <is>
          <t>4 — LOW (natural sellthrough)</t>
        </is>
      </c>
      <c r="F426" s="365" t="inlineStr">
        <is>
          <t>Remove</t>
        </is>
      </c>
      <c r="G426" s="364" t="inlineStr">
        <is>
          <t>OOS</t>
        </is>
      </c>
      <c r="H426" s="366" t="n">
        <v>35.28</v>
      </c>
      <c r="I426" s="366" t="n">
        <v>58.8</v>
      </c>
      <c r="J426" s="366" t="n">
        <v>-23.52</v>
      </c>
      <c r="K426" s="367" t="n">
        <v>0.4</v>
      </c>
      <c r="L426" s="368" t="n">
        <v>1</v>
      </c>
      <c r="M426" s="366" t="n">
        <v>35.28</v>
      </c>
      <c r="N426" s="365" t="n">
        <v>0</v>
      </c>
      <c r="O426" s="369" t="n">
        <v>0.9989</v>
      </c>
      <c r="P426" s="365" t="n">
        <v>1</v>
      </c>
      <c r="Q426" s="366" t="n">
        <v>15</v>
      </c>
      <c r="R426" s="368" t="n">
        <v>1</v>
      </c>
      <c r="S426" s="368" t="n">
        <v>0</v>
      </c>
      <c r="T426" s="368" t="n">
        <v>0</v>
      </c>
      <c r="U426" s="368" t="n">
        <v>0</v>
      </c>
      <c r="V426" s="368">
        <f>S441+T441</f>
        <v/>
      </c>
      <c r="W426" s="368">
        <f>S441+T441+U441</f>
        <v/>
      </c>
      <c r="X426" s="368">
        <f>W441*Q441</f>
        <v/>
      </c>
      <c r="Y426" s="366" t="n">
        <v>98</v>
      </c>
      <c r="Z426" s="366" t="n">
        <v>58.8</v>
      </c>
      <c r="AA426" s="365">
        <f>IF(Y441=Z441,"No","Yes")</f>
        <v/>
      </c>
      <c r="AB426" s="365" t="e">
        <v>#N/A</v>
      </c>
      <c r="AC426" s="364" t="e">
        <v>#N/A</v>
      </c>
    </row>
    <row r="427" ht="18" customHeight="1" s="229">
      <c r="A427" s="590" t="inlineStr">
        <is>
          <t>Boundless Fleece Zip-Up Hoodie</t>
        </is>
      </c>
      <c r="B427" s="591" t="inlineStr">
        <is>
          <t>Loungewear</t>
        </is>
      </c>
      <c r="C427" s="592" t="inlineStr">
        <is>
          <t>REMOVE</t>
        </is>
      </c>
      <c r="D427" s="593" t="inlineStr">
        <is>
          <t>Negligible sales (&lt;$100 in 90 days)</t>
        </is>
      </c>
      <c r="E427" s="593" t="inlineStr">
        <is>
          <t>4 — LOW (natural sellthrough)</t>
        </is>
      </c>
      <c r="F427" s="594" t="inlineStr">
        <is>
          <t>Remove</t>
        </is>
      </c>
      <c r="G427" s="593" t="inlineStr">
        <is>
          <t>OOS</t>
        </is>
      </c>
      <c r="H427" s="595" t="n">
        <v>28.08</v>
      </c>
      <c r="I427" s="595" t="n">
        <v>46.8</v>
      </c>
      <c r="J427" s="595" t="n">
        <v>-18.72</v>
      </c>
      <c r="K427" s="600" t="n">
        <v>0.4</v>
      </c>
      <c r="L427" s="597" t="n">
        <v>1</v>
      </c>
      <c r="M427" s="595" t="n">
        <v>28.08</v>
      </c>
      <c r="N427" s="594" t="n">
        <v>0</v>
      </c>
      <c r="O427" s="598" t="n">
        <v>0.9989</v>
      </c>
      <c r="P427" s="594" t="n">
        <v>1</v>
      </c>
      <c r="Q427" s="595" t="n">
        <v>15</v>
      </c>
      <c r="R427" s="597" t="n">
        <v>1</v>
      </c>
      <c r="S427" s="597" t="n">
        <v>0</v>
      </c>
      <c r="T427" s="597" t="n">
        <v>0</v>
      </c>
      <c r="U427" s="597" t="n">
        <v>0</v>
      </c>
      <c r="V427" s="597">
        <f>S445+T445</f>
        <v/>
      </c>
      <c r="W427" s="597">
        <f>S445+T445+U445</f>
        <v/>
      </c>
      <c r="X427" s="597">
        <f>W445*Q445</f>
        <v/>
      </c>
      <c r="Y427" s="595" t="n">
        <v>78</v>
      </c>
      <c r="Z427" s="595" t="n">
        <v>46.8</v>
      </c>
      <c r="AA427" s="594">
        <f>IF(Y445=Z445,"No","Yes")</f>
        <v/>
      </c>
      <c r="AB427" s="594" t="e">
        <v>#N/A</v>
      </c>
      <c r="AC427" s="593" t="e">
        <v>#N/A</v>
      </c>
    </row>
    <row r="428" ht="18" customHeight="1" s="229">
      <c r="A428" s="361" t="inlineStr">
        <is>
          <t>Stroll Short Sleeve Pajama Top</t>
        </is>
      </c>
      <c r="B428" s="362" t="inlineStr">
        <is>
          <t>Loungewear</t>
        </is>
      </c>
      <c r="C428" s="589" t="inlineStr">
        <is>
          <t>REMOVE</t>
        </is>
      </c>
      <c r="D428" s="364" t="inlineStr">
        <is>
          <t>Negligible sales (&lt;$100 in 90 days)</t>
        </is>
      </c>
      <c r="E428" s="364" t="inlineStr">
        <is>
          <t>4 — LOW (natural sellthrough)</t>
        </is>
      </c>
      <c r="F428" s="365" t="inlineStr">
        <is>
          <t>Remove</t>
        </is>
      </c>
      <c r="G428" s="364" t="n"/>
      <c r="H428" s="366" t="n">
        <v>27.3</v>
      </c>
      <c r="I428" s="366" t="n">
        <v>39</v>
      </c>
      <c r="J428" s="366" t="n">
        <v>-11.7</v>
      </c>
      <c r="K428" s="367" t="n">
        <v>0.3</v>
      </c>
      <c r="L428" s="368" t="n">
        <v>1</v>
      </c>
      <c r="M428" s="366" t="n">
        <v>27.3</v>
      </c>
      <c r="N428" s="365" t="n">
        <v>0</v>
      </c>
      <c r="O428" s="369" t="n">
        <v>0.9989</v>
      </c>
      <c r="P428" s="365" t="n">
        <v>1</v>
      </c>
      <c r="Q428" s="366" t="n">
        <v>15</v>
      </c>
      <c r="R428" s="368" t="n">
        <v>1</v>
      </c>
      <c r="S428" s="368" t="n">
        <v>3</v>
      </c>
      <c r="T428" s="368" t="n">
        <v>8</v>
      </c>
      <c r="U428" s="368" t="n">
        <v>109</v>
      </c>
      <c r="V428" s="368">
        <f>S446+T446</f>
        <v/>
      </c>
      <c r="W428" s="368">
        <f>S446+T446+U446</f>
        <v/>
      </c>
      <c r="X428" s="368">
        <f>W446*Q446</f>
        <v/>
      </c>
      <c r="Y428" s="366" t="n">
        <v>65</v>
      </c>
      <c r="Z428" s="366" t="n">
        <v>39</v>
      </c>
      <c r="AA428" s="365">
        <f>IF(Y446=Z446,"No","Yes")</f>
        <v/>
      </c>
      <c r="AB428" s="365" t="inlineStr">
        <is>
          <t>NW221PL3009</t>
        </is>
      </c>
      <c r="AC428" s="364" t="inlineStr">
        <is>
          <t>皱感短袖睡衣</t>
        </is>
      </c>
    </row>
    <row r="429" ht="18" customHeight="1" s="229">
      <c r="A429" s="590" t="inlineStr">
        <is>
          <t>Cocoon Pajama Pants</t>
        </is>
      </c>
      <c r="B429" s="591" t="inlineStr">
        <is>
          <t>Loungewear</t>
        </is>
      </c>
      <c r="C429" s="592" t="inlineStr">
        <is>
          <t>REMOVE</t>
        </is>
      </c>
      <c r="D429" s="593" t="inlineStr">
        <is>
          <t>Negligible sales (&lt;$100 in 90 days)</t>
        </is>
      </c>
      <c r="E429" s="593" t="inlineStr">
        <is>
          <t>4 — LOW (natural sellthrough)</t>
        </is>
      </c>
      <c r="F429" s="594" t="inlineStr">
        <is>
          <t>Remove</t>
        </is>
      </c>
      <c r="G429" s="593" t="inlineStr">
        <is>
          <t>Almost OOS</t>
        </is>
      </c>
      <c r="H429" s="595" t="n">
        <v>26.95</v>
      </c>
      <c r="I429" s="595" t="n">
        <v>77</v>
      </c>
      <c r="J429" s="595" t="n">
        <v>-23.1</v>
      </c>
      <c r="K429" s="600" t="n">
        <v>0.3</v>
      </c>
      <c r="L429" s="597" t="n">
        <v>1</v>
      </c>
      <c r="M429" s="595" t="n">
        <v>26.95</v>
      </c>
      <c r="N429" s="594" t="n">
        <v>0</v>
      </c>
      <c r="O429" s="598" t="n">
        <v>0.9989</v>
      </c>
      <c r="P429" s="594" t="n">
        <v>2</v>
      </c>
      <c r="Q429" s="595" t="n">
        <v>15</v>
      </c>
      <c r="R429" s="597" t="n">
        <v>2</v>
      </c>
      <c r="S429" s="597" t="n">
        <v>3</v>
      </c>
      <c r="T429" s="597" t="n">
        <v>0</v>
      </c>
      <c r="U429" s="597" t="n">
        <v>0</v>
      </c>
      <c r="V429" s="597">
        <f>S448+T448</f>
        <v/>
      </c>
      <c r="W429" s="597">
        <f>S448+T448+U448</f>
        <v/>
      </c>
      <c r="X429" s="597">
        <f>W448*Q448</f>
        <v/>
      </c>
      <c r="Y429" s="595" t="n">
        <v>55</v>
      </c>
      <c r="Z429" s="595" t="n">
        <v>38.5</v>
      </c>
      <c r="AA429" s="594">
        <f>IF(Y448=Z448,"No","Yes")</f>
        <v/>
      </c>
      <c r="AB429" s="594" t="inlineStr">
        <is>
          <t>NW222PL4012</t>
        </is>
      </c>
      <c r="AC429" s="593" t="inlineStr">
        <is>
          <t>花型微茧睡裤</t>
        </is>
      </c>
    </row>
    <row r="430" ht="18" customHeight="1" s="229">
      <c r="A430" s="361" t="inlineStr">
        <is>
          <t>Summer Moonlight Padded Camisole</t>
        </is>
      </c>
      <c r="B430" s="362" t="inlineStr">
        <is>
          <t>Loungewear</t>
        </is>
      </c>
      <c r="C430" s="589" t="inlineStr">
        <is>
          <t>REMOVE</t>
        </is>
      </c>
      <c r="D430" s="364" t="inlineStr">
        <is>
          <t>Negligible sales (&lt;$100 in 90 days)</t>
        </is>
      </c>
      <c r="E430" s="364" t="inlineStr">
        <is>
          <t>4 — LOW (natural sellthrough)</t>
        </is>
      </c>
      <c r="F430" s="365" t="inlineStr">
        <is>
          <t>Remove</t>
        </is>
      </c>
      <c r="G430" s="364" t="inlineStr">
        <is>
          <t>OOS</t>
        </is>
      </c>
      <c r="H430" s="366" t="n">
        <v>17.68</v>
      </c>
      <c r="I430" s="366" t="n">
        <v>27.2</v>
      </c>
      <c r="J430" s="366" t="n">
        <v>-9.52</v>
      </c>
      <c r="K430" s="367" t="n">
        <v>0.35</v>
      </c>
      <c r="L430" s="368" t="n">
        <v>1</v>
      </c>
      <c r="M430" s="366" t="n">
        <v>17.68</v>
      </c>
      <c r="N430" s="365" t="n">
        <v>0</v>
      </c>
      <c r="O430" s="369" t="n">
        <v>0.9989</v>
      </c>
      <c r="P430" s="365" t="n">
        <v>1</v>
      </c>
      <c r="Q430" s="366" t="n">
        <v>15</v>
      </c>
      <c r="R430" s="368" t="n">
        <v>1</v>
      </c>
      <c r="S430" s="368" t="n">
        <v>0</v>
      </c>
      <c r="T430" s="368" t="n">
        <v>0</v>
      </c>
      <c r="U430" s="368" t="n">
        <v>0</v>
      </c>
      <c r="V430" s="368">
        <f>S449+T449</f>
        <v/>
      </c>
      <c r="W430" s="368">
        <f>S449+T449+U449</f>
        <v/>
      </c>
      <c r="X430" s="368">
        <f>W449*Q449</f>
        <v/>
      </c>
      <c r="Y430" s="366" t="n">
        <v>68</v>
      </c>
      <c r="Z430" s="366" t="n">
        <v>27.2</v>
      </c>
      <c r="AA430" s="365">
        <f>IF(Y449=Z449,"No","Yes")</f>
        <v/>
      </c>
      <c r="AB430" s="365" t="e">
        <v>#N/A</v>
      </c>
      <c r="AC430" s="364" t="e">
        <v>#N/A</v>
      </c>
    </row>
    <row r="431" ht="18" customHeight="1" s="229">
      <c r="A431" s="590" t="inlineStr">
        <is>
          <t>Summer Moonlight Shorts</t>
        </is>
      </c>
      <c r="B431" s="591" t="inlineStr">
        <is>
          <t>Loungewear</t>
        </is>
      </c>
      <c r="C431" s="592" t="inlineStr">
        <is>
          <t>REMOVE</t>
        </is>
      </c>
      <c r="D431" s="593" t="inlineStr">
        <is>
          <t>Negligible sales (&lt;$100 in 90 days)</t>
        </is>
      </c>
      <c r="E431" s="593" t="inlineStr">
        <is>
          <t>4 — LOW (natural sellthrough)</t>
        </is>
      </c>
      <c r="F431" s="594" t="inlineStr">
        <is>
          <t>Remove</t>
        </is>
      </c>
      <c r="G431" s="593" t="inlineStr">
        <is>
          <t>OOS</t>
        </is>
      </c>
      <c r="H431" s="595" t="n">
        <v>17.68</v>
      </c>
      <c r="I431" s="595" t="n">
        <v>27.2</v>
      </c>
      <c r="J431" s="595" t="n">
        <v>-9.52</v>
      </c>
      <c r="K431" s="600" t="n">
        <v>0.35</v>
      </c>
      <c r="L431" s="597" t="n">
        <v>1</v>
      </c>
      <c r="M431" s="595" t="n">
        <v>17.68</v>
      </c>
      <c r="N431" s="594" t="n">
        <v>0</v>
      </c>
      <c r="O431" s="598" t="n">
        <v>0.9989</v>
      </c>
      <c r="P431" s="594" t="n">
        <v>1</v>
      </c>
      <c r="Q431" s="595" t="n">
        <v>15</v>
      </c>
      <c r="R431" s="597" t="n">
        <v>1</v>
      </c>
      <c r="S431" s="597" t="n">
        <v>0</v>
      </c>
      <c r="T431" s="597" t="n">
        <v>0</v>
      </c>
      <c r="U431" s="597" t="n">
        <v>0</v>
      </c>
      <c r="V431" s="597">
        <f>S450+T450</f>
        <v/>
      </c>
      <c r="W431" s="597">
        <f>S450+T450+U450</f>
        <v/>
      </c>
      <c r="X431" s="597">
        <f>W450*Q450</f>
        <v/>
      </c>
      <c r="Y431" s="595" t="n">
        <v>68</v>
      </c>
      <c r="Z431" s="595" t="n">
        <v>27.2</v>
      </c>
      <c r="AA431" s="594">
        <f>IF(Y450=Z450,"No","Yes")</f>
        <v/>
      </c>
      <c r="AB431" s="594" t="e">
        <v>#N/A</v>
      </c>
      <c r="AC431" s="593" t="e">
        <v>#N/A</v>
      </c>
    </row>
    <row r="432" ht="18" customHeight="1" s="229">
      <c r="A432" s="361" t="inlineStr">
        <is>
          <t>Low-Rise Trousers</t>
        </is>
      </c>
      <c r="B432" s="362" t="inlineStr">
        <is>
          <t>Loungewear</t>
        </is>
      </c>
      <c r="C432" s="589" t="inlineStr">
        <is>
          <t>REMOVE</t>
        </is>
      </c>
      <c r="D432" s="364" t="inlineStr">
        <is>
          <t>Zero/negative sales</t>
        </is>
      </c>
      <c r="E432" s="364" t="inlineStr">
        <is>
          <t>2 — HIGH (dead product)</t>
        </is>
      </c>
      <c r="F432" s="365" t="inlineStr">
        <is>
          <t>Remove</t>
        </is>
      </c>
      <c r="G432" s="364" t="n"/>
      <c r="H432" s="366" t="n">
        <v>0</v>
      </c>
      <c r="I432" s="366" t="n">
        <v>0</v>
      </c>
      <c r="J432" s="366" t="n">
        <v>0</v>
      </c>
      <c r="K432" s="365" t="n"/>
      <c r="L432" s="368" t="n">
        <v>0</v>
      </c>
      <c r="M432" s="368" t="n"/>
      <c r="N432" s="365" t="n">
        <v>0</v>
      </c>
      <c r="O432" s="369" t="n">
        <v>0.9989</v>
      </c>
      <c r="P432" s="365" t="n">
        <v>1</v>
      </c>
      <c r="Q432" s="366" t="n">
        <v>15</v>
      </c>
      <c r="R432" s="368" t="n">
        <v>0</v>
      </c>
      <c r="S432" s="368" t="n">
        <v>5</v>
      </c>
      <c r="T432" s="368" t="n">
        <v>38</v>
      </c>
      <c r="U432" s="368" t="n">
        <v>48</v>
      </c>
      <c r="V432" s="368">
        <f>S458+T458</f>
        <v/>
      </c>
      <c r="W432" s="368">
        <f>S458+T458+U458</f>
        <v/>
      </c>
      <c r="X432" s="368">
        <f>W458*Q458</f>
        <v/>
      </c>
      <c r="Y432" s="366" t="n">
        <v>209</v>
      </c>
      <c r="Z432" s="366" t="n">
        <v>146.3</v>
      </c>
      <c r="AA432" s="365">
        <f>IF(Y458=Z458,"No","Yes")</f>
        <v/>
      </c>
      <c r="AB432" s="365" t="inlineStr">
        <is>
          <t>NW241WB4110</t>
        </is>
      </c>
      <c r="AC432" s="364" t="inlineStr">
        <is>
          <t>低腰全长直筒裤</t>
        </is>
      </c>
    </row>
    <row r="433" ht="18" customHeight="1" s="229">
      <c r="A433" s="590" t="inlineStr">
        <is>
          <t>Linen-Blend Bermuda Shorts</t>
        </is>
      </c>
      <c r="B433" s="591" t="inlineStr">
        <is>
          <t>Loungewear</t>
        </is>
      </c>
      <c r="C433" s="592" t="inlineStr">
        <is>
          <t>REMOVE</t>
        </is>
      </c>
      <c r="D433" s="593" t="inlineStr">
        <is>
          <t>Zero/negative sales</t>
        </is>
      </c>
      <c r="E433" s="593" t="inlineStr">
        <is>
          <t>2 — HIGH (dead product)</t>
        </is>
      </c>
      <c r="F433" s="594" t="inlineStr">
        <is>
          <t>Remove</t>
        </is>
      </c>
      <c r="G433" s="593" t="n"/>
      <c r="H433" s="595" t="n">
        <v>0</v>
      </c>
      <c r="I433" s="595" t="n">
        <v>129</v>
      </c>
      <c r="J433" s="595" t="n">
        <v>-38.7</v>
      </c>
      <c r="K433" s="600" t="n">
        <v>0.3</v>
      </c>
      <c r="L433" s="597" t="n">
        <v>0</v>
      </c>
      <c r="M433" s="597" t="n"/>
      <c r="N433" s="594" t="n">
        <v>0</v>
      </c>
      <c r="O433" s="598" t="n">
        <v>0.9989</v>
      </c>
      <c r="P433" s="594" t="n">
        <v>1</v>
      </c>
      <c r="Q433" s="595" t="n">
        <v>15</v>
      </c>
      <c r="R433" s="597" t="n">
        <v>1</v>
      </c>
      <c r="S433" s="597" t="n">
        <v>1</v>
      </c>
      <c r="T433" s="597" t="n">
        <v>164</v>
      </c>
      <c r="U433" s="597" t="n">
        <v>0</v>
      </c>
      <c r="V433" s="597">
        <f>S459+T459</f>
        <v/>
      </c>
      <c r="W433" s="597">
        <f>S459+T459+U459</f>
        <v/>
      </c>
      <c r="X433" s="597">
        <f>W459*Q459</f>
        <v/>
      </c>
      <c r="Y433" s="595" t="n">
        <v>129</v>
      </c>
      <c r="Z433" s="595" t="n">
        <v>90.3</v>
      </c>
      <c r="AA433" s="594">
        <f>IF(Y459=Z459,"No","Yes")</f>
        <v/>
      </c>
      <c r="AB433" s="594" t="inlineStr">
        <is>
          <t>NW241WB4116</t>
        </is>
      </c>
      <c r="AC433" s="593" t="inlineStr">
        <is>
          <t>高腰短裤</t>
        </is>
      </c>
    </row>
    <row r="434" ht="18" customHeight="1" s="229">
      <c r="A434" s="361" t="inlineStr">
        <is>
          <t>Classic Cozy Button-Up Pajama Top 2.0</t>
        </is>
      </c>
      <c r="B434" s="362" t="inlineStr">
        <is>
          <t>Loungewear</t>
        </is>
      </c>
      <c r="C434" s="589" t="inlineStr">
        <is>
          <t>REMOVE</t>
        </is>
      </c>
      <c r="D434" s="364" t="inlineStr">
        <is>
          <t>Zero/negative sales</t>
        </is>
      </c>
      <c r="E434" s="364" t="inlineStr">
        <is>
          <t>2 — HIGH (dead product)</t>
        </is>
      </c>
      <c r="F434" s="365" t="inlineStr">
        <is>
          <t>Remove</t>
        </is>
      </c>
      <c r="G434" s="364" t="inlineStr">
        <is>
          <t>Almost OOS</t>
        </is>
      </c>
      <c r="H434" s="366" t="n">
        <v>0</v>
      </c>
      <c r="I434" s="366" t="n">
        <v>52.8</v>
      </c>
      <c r="J434" s="366" t="n">
        <v>-22.64</v>
      </c>
      <c r="K434" s="367" t="n">
        <v>0.429</v>
      </c>
      <c r="L434" s="368" t="n">
        <v>0</v>
      </c>
      <c r="M434" s="368" t="n"/>
      <c r="N434" s="365" t="n">
        <v>0</v>
      </c>
      <c r="O434" s="369" t="n">
        <v>0.9989</v>
      </c>
      <c r="P434" s="365" t="n">
        <v>1</v>
      </c>
      <c r="Q434" s="366" t="n">
        <v>15</v>
      </c>
      <c r="R434" s="368" t="n">
        <v>1</v>
      </c>
      <c r="S434" s="368" t="n">
        <v>3</v>
      </c>
      <c r="T434" s="368" t="n">
        <v>0</v>
      </c>
      <c r="U434" s="368" t="n">
        <v>0</v>
      </c>
      <c r="V434" s="368">
        <f>S462+T462</f>
        <v/>
      </c>
      <c r="W434" s="368">
        <f>S462+T462+U462</f>
        <v/>
      </c>
      <c r="X434" s="368">
        <f>W462*Q462</f>
        <v/>
      </c>
      <c r="Y434" s="366" t="n">
        <v>88</v>
      </c>
      <c r="Z434" s="366" t="n">
        <v>52.8</v>
      </c>
      <c r="AA434" s="365">
        <f>IF(Y462=Z462,"No","Yes")</f>
        <v/>
      </c>
      <c r="AB434" s="365" t="inlineStr">
        <is>
          <t>N212WL1203</t>
        </is>
      </c>
      <c r="AC434" s="364" t="inlineStr">
        <is>
          <t>针梭拼经典睡衣</t>
        </is>
      </c>
    </row>
    <row r="435" ht="18" customHeight="1" s="229">
      <c r="A435" s="590" t="inlineStr">
        <is>
          <t>Sofa Pajama Dress</t>
        </is>
      </c>
      <c r="B435" s="591" t="inlineStr">
        <is>
          <t>Loungewear</t>
        </is>
      </c>
      <c r="C435" s="592" t="inlineStr">
        <is>
          <t>REMOVE</t>
        </is>
      </c>
      <c r="D435" s="593" t="inlineStr">
        <is>
          <t>Zero/negative sales</t>
        </is>
      </c>
      <c r="E435" s="593" t="inlineStr">
        <is>
          <t>2 — HIGH (dead product)</t>
        </is>
      </c>
      <c r="F435" s="594" t="inlineStr">
        <is>
          <t>Remove</t>
        </is>
      </c>
      <c r="G435" s="593" t="inlineStr">
        <is>
          <t>Almost OOS</t>
        </is>
      </c>
      <c r="H435" s="595" t="n">
        <v>0</v>
      </c>
      <c r="I435" s="595" t="n">
        <v>47.4</v>
      </c>
      <c r="J435" s="595" t="n">
        <v>-18.96</v>
      </c>
      <c r="K435" s="600" t="n">
        <v>0.4</v>
      </c>
      <c r="L435" s="597" t="n">
        <v>0</v>
      </c>
      <c r="M435" s="597" t="n"/>
      <c r="N435" s="594" t="n">
        <v>0</v>
      </c>
      <c r="O435" s="598" t="n">
        <v>0.9989</v>
      </c>
      <c r="P435" s="594" t="n">
        <v>2</v>
      </c>
      <c r="Q435" s="595" t="n">
        <v>15</v>
      </c>
      <c r="R435" s="597" t="n">
        <v>1</v>
      </c>
      <c r="S435" s="597" t="n">
        <v>6</v>
      </c>
      <c r="T435" s="597" t="n">
        <v>0</v>
      </c>
      <c r="U435" s="597" t="n">
        <v>0</v>
      </c>
      <c r="V435" s="597">
        <f>S478+T478</f>
        <v/>
      </c>
      <c r="W435" s="597">
        <f>S478+T478+U478</f>
        <v/>
      </c>
      <c r="X435" s="597">
        <f>W478*Q478</f>
        <v/>
      </c>
      <c r="Y435" s="595" t="n">
        <v>79</v>
      </c>
      <c r="Z435" s="595" t="n">
        <v>47.4</v>
      </c>
      <c r="AA435" s="594">
        <f>IF(Y478=Z478,"No","Yes")</f>
        <v/>
      </c>
      <c r="AB435" s="594" t="inlineStr">
        <is>
          <t>NW221PL5004</t>
        </is>
      </c>
      <c r="AC435" s="593" t="inlineStr">
        <is>
          <t>抽皱睡裙</t>
        </is>
      </c>
    </row>
    <row r="436" ht="18" customHeight="1" s="229">
      <c r="A436" s="605" t="inlineStr">
        <is>
          <t>MEN  —  25 products</t>
        </is>
      </c>
      <c r="B436" s="568" t="n"/>
      <c r="C436" s="568" t="n"/>
      <c r="D436" s="568" t="n"/>
      <c r="E436" s="568" t="n"/>
      <c r="F436" s="568" t="n"/>
      <c r="G436" s="568" t="n"/>
      <c r="H436" s="568" t="n"/>
      <c r="I436" s="568" t="n"/>
      <c r="J436" s="568" t="n"/>
      <c r="K436" s="568" t="n"/>
      <c r="L436" s="568" t="n"/>
      <c r="M436" s="568" t="n"/>
      <c r="N436" s="568" t="n"/>
      <c r="O436" s="568" t="n"/>
      <c r="P436" s="568" t="n"/>
      <c r="Q436" s="568" t="n"/>
      <c r="R436" s="568" t="n"/>
      <c r="S436" s="568" t="n"/>
      <c r="T436" s="568" t="n"/>
      <c r="U436" s="568" t="n"/>
      <c r="V436" s="568" t="n"/>
      <c r="W436" s="568" t="n"/>
      <c r="X436" s="568" t="n"/>
      <c r="Y436" s="568" t="n"/>
      <c r="Z436" s="568" t="n"/>
      <c r="AA436" s="568" t="n"/>
      <c r="AB436" s="568" t="n"/>
      <c r="AC436" s="568" t="n"/>
    </row>
    <row r="437" ht="18" customHeight="1" s="229">
      <c r="A437" s="590" t="inlineStr">
        <is>
          <t>Men's Briefs Gift Set</t>
        </is>
      </c>
      <c r="B437" s="591" t="inlineStr">
        <is>
          <t>Men</t>
        </is>
      </c>
      <c r="C437" s="592" t="inlineStr">
        <is>
          <t>REMOVE</t>
        </is>
      </c>
      <c r="D437" s="593" t="inlineStr">
        <is>
          <t>Bundle/Gift Set — low velocity</t>
        </is>
      </c>
      <c r="E437" s="593" t="inlineStr">
        <is>
          <t>4 — LOW (natural sellthrough)</t>
        </is>
      </c>
      <c r="F437" s="594" t="inlineStr">
        <is>
          <t>Remove</t>
        </is>
      </c>
      <c r="G437" s="593" t="n"/>
      <c r="H437" s="595" t="n">
        <v>3818.35</v>
      </c>
      <c r="I437" s="595" t="n">
        <v>5120.5</v>
      </c>
      <c r="J437" s="595" t="n">
        <v>-1267.85</v>
      </c>
      <c r="K437" s="596" t="n">
        <v>0.248</v>
      </c>
      <c r="L437" s="597" t="n">
        <v>207</v>
      </c>
      <c r="M437" s="595" t="n">
        <v>18.45</v>
      </c>
      <c r="N437" s="598" t="n">
        <v>0.0021</v>
      </c>
      <c r="O437" s="598" t="n">
        <v>0.7989000000000001</v>
      </c>
      <c r="P437" s="594" t="n">
        <v>5</v>
      </c>
      <c r="Q437" s="595" t="n">
        <v>8</v>
      </c>
      <c r="R437" s="597" t="n">
        <v>175</v>
      </c>
      <c r="S437" s="597" t="n">
        <v>0</v>
      </c>
      <c r="T437" s="597" t="n">
        <v>8</v>
      </c>
      <c r="U437" s="597" t="n">
        <v>79</v>
      </c>
      <c r="V437" s="597">
        <f>S44+T44</f>
        <v/>
      </c>
      <c r="W437" s="597">
        <f>S44+T44+U44</f>
        <v/>
      </c>
      <c r="X437" s="597">
        <f>W44*Q44</f>
        <v/>
      </c>
      <c r="Y437" s="595" t="n">
        <v>35</v>
      </c>
      <c r="Z437" s="595" t="n">
        <v>24.5</v>
      </c>
      <c r="AA437" s="594">
        <f>IF(Y44=Z44,"No","Yes")</f>
        <v/>
      </c>
      <c r="AB437" s="594" t="inlineStr">
        <is>
          <t>NW232ME0005</t>
        </is>
      </c>
      <c r="AC437" s="593" t="inlineStr">
        <is>
          <t>男士内裤红盒（US）</t>
        </is>
      </c>
    </row>
    <row r="438" ht="18" customHeight="1" s="229">
      <c r="A438" s="361" t="inlineStr">
        <is>
          <t>Men's Lounge Pants</t>
        </is>
      </c>
      <c r="B438" s="362" t="inlineStr">
        <is>
          <t>Men</t>
        </is>
      </c>
      <c r="C438" s="589" t="inlineStr">
        <is>
          <t>REMOVE</t>
        </is>
      </c>
      <c r="D438" s="364" t="inlineStr">
        <is>
          <t>Men's category exit</t>
        </is>
      </c>
      <c r="E438" s="364" t="inlineStr">
        <is>
          <t>3 — MEDIUM (selldown or markdown)</t>
        </is>
      </c>
      <c r="F438" s="365" t="inlineStr">
        <is>
          <t>Remove</t>
        </is>
      </c>
      <c r="G438" s="364" t="n"/>
      <c r="H438" s="366" t="n">
        <v>3235.88</v>
      </c>
      <c r="I438" s="366" t="n">
        <v>4547.9</v>
      </c>
      <c r="J438" s="366" t="n">
        <v>-1226.8</v>
      </c>
      <c r="K438" s="367" t="n">
        <v>0.27</v>
      </c>
      <c r="L438" s="368" t="n">
        <v>71</v>
      </c>
      <c r="M438" s="366" t="n">
        <v>45.58</v>
      </c>
      <c r="N438" s="369" t="n">
        <v>0.0018</v>
      </c>
      <c r="O438" s="369" t="n">
        <v>0.8194</v>
      </c>
      <c r="P438" s="365" t="n">
        <v>14</v>
      </c>
      <c r="Q438" s="366" t="n">
        <v>8</v>
      </c>
      <c r="R438" s="368" t="n">
        <v>70</v>
      </c>
      <c r="S438" s="368" t="n">
        <v>0</v>
      </c>
      <c r="T438" s="368" t="n">
        <v>93</v>
      </c>
      <c r="U438" s="368" t="n">
        <v>1104</v>
      </c>
      <c r="V438" s="368">
        <f>S55+T55</f>
        <v/>
      </c>
      <c r="W438" s="368">
        <f>S55+T55+U55</f>
        <v/>
      </c>
      <c r="X438" s="368">
        <f>W55*Q55</f>
        <v/>
      </c>
      <c r="Y438" s="366" t="n">
        <v>89</v>
      </c>
      <c r="Z438" s="366" t="n">
        <v>62.3</v>
      </c>
      <c r="AA438" s="365">
        <f>IF(Y55=Z55,"No","Yes")</f>
        <v/>
      </c>
      <c r="AB438" s="365" t="inlineStr">
        <is>
          <t>NW222ML4102</t>
        </is>
      </c>
      <c r="AC438" s="364" t="inlineStr">
        <is>
          <t>针织家长裤</t>
        </is>
      </c>
    </row>
    <row r="439" ht="18" customHeight="1" s="229">
      <c r="A439" s="590" t="inlineStr">
        <is>
          <t>Men's Cotton Modal Brief</t>
        </is>
      </c>
      <c r="B439" s="591" t="inlineStr">
        <is>
          <t>Men</t>
        </is>
      </c>
      <c r="C439" s="592" t="inlineStr">
        <is>
          <t>REMOVE</t>
        </is>
      </c>
      <c r="D439" s="593" t="inlineStr">
        <is>
          <t>Men's category exit</t>
        </is>
      </c>
      <c r="E439" s="593" t="inlineStr">
        <is>
          <t>3 — MEDIUM (selldown or markdown)</t>
        </is>
      </c>
      <c r="F439" s="594" t="inlineStr">
        <is>
          <t>Remove</t>
        </is>
      </c>
      <c r="G439" s="593" t="n"/>
      <c r="H439" s="595" t="n">
        <v>2765.59</v>
      </c>
      <c r="I439" s="595" t="n">
        <v>3703.95</v>
      </c>
      <c r="J439" s="595" t="n">
        <v>-891.91</v>
      </c>
      <c r="K439" s="596" t="n">
        <v>0.241</v>
      </c>
      <c r="L439" s="597" t="n">
        <v>209</v>
      </c>
      <c r="M439" s="595" t="n">
        <v>13.23</v>
      </c>
      <c r="N439" s="598" t="n">
        <v>0.0015</v>
      </c>
      <c r="O439" s="598" t="n">
        <v>0.8388</v>
      </c>
      <c r="P439" s="594" t="n">
        <v>27</v>
      </c>
      <c r="Q439" s="595" t="n">
        <v>8</v>
      </c>
      <c r="R439" s="597" t="n">
        <v>171</v>
      </c>
      <c r="S439" s="597" t="n">
        <v>0</v>
      </c>
      <c r="T439" s="597" t="n">
        <v>161</v>
      </c>
      <c r="U439" s="597" t="n">
        <v>2001</v>
      </c>
      <c r="V439" s="597">
        <f>S67+T67</f>
        <v/>
      </c>
      <c r="W439" s="597">
        <f>S67+T67+U67</f>
        <v/>
      </c>
      <c r="X439" s="597">
        <f>W67*Q67</f>
        <v/>
      </c>
      <c r="Y439" s="595" t="n">
        <v>25</v>
      </c>
      <c r="Z439" s="595" t="n">
        <v>17.5</v>
      </c>
      <c r="AA439" s="594">
        <f>IF(Y67=Z67,"No","Yes")</f>
        <v/>
      </c>
      <c r="AB439" s="594" t="inlineStr">
        <is>
          <t>NW222MU1304</t>
        </is>
      </c>
      <c r="AC439" s="593" t="inlineStr">
        <is>
          <t>80支棉莫贴合内裤</t>
        </is>
      </c>
    </row>
    <row r="440" ht="18" customHeight="1" s="229">
      <c r="A440" s="361" t="inlineStr">
        <is>
          <t>Men's Modal Brief 2.0</t>
        </is>
      </c>
      <c r="B440" s="362" t="inlineStr">
        <is>
          <t>Men</t>
        </is>
      </c>
      <c r="C440" s="589" t="inlineStr">
        <is>
          <t>REMOVE</t>
        </is>
      </c>
      <c r="D440" s="364" t="inlineStr">
        <is>
          <t>Men's category exit</t>
        </is>
      </c>
      <c r="E440" s="364" t="inlineStr">
        <is>
          <t>3 — MEDIUM (selldown or markdown)</t>
        </is>
      </c>
      <c r="F440" s="365" t="inlineStr">
        <is>
          <t>Remove</t>
        </is>
      </c>
      <c r="G440" s="364" t="n"/>
      <c r="H440" s="366" t="n">
        <v>2554.36</v>
      </c>
      <c r="I440" s="366" t="n">
        <v>3329.71</v>
      </c>
      <c r="J440" s="366" t="n">
        <v>-757.34</v>
      </c>
      <c r="K440" s="380" t="n">
        <v>0.227</v>
      </c>
      <c r="L440" s="368" t="n">
        <v>249</v>
      </c>
      <c r="M440" s="366" t="n">
        <v>10.26</v>
      </c>
      <c r="N440" s="369" t="n">
        <v>0.0014</v>
      </c>
      <c r="O440" s="369" t="n">
        <v>0.846</v>
      </c>
      <c r="P440" s="365" t="n">
        <v>25</v>
      </c>
      <c r="Q440" s="366" t="n">
        <v>8</v>
      </c>
      <c r="R440" s="368" t="n">
        <v>200</v>
      </c>
      <c r="S440" s="368" t="n">
        <v>0</v>
      </c>
      <c r="T440" s="368" t="n">
        <v>293</v>
      </c>
      <c r="U440" s="368" t="n">
        <v>4000</v>
      </c>
      <c r="V440" s="368">
        <f>S72+T72</f>
        <v/>
      </c>
      <c r="W440" s="368">
        <f>S72+T72+U72</f>
        <v/>
      </c>
      <c r="X440" s="368">
        <f>W72*Q72</f>
        <v/>
      </c>
      <c r="Y440" s="366" t="n">
        <v>19</v>
      </c>
      <c r="Z440" s="366" t="n">
        <v>13.3</v>
      </c>
      <c r="AA440" s="365">
        <f>IF(Y72=Z72,"No","Yes")</f>
        <v/>
      </c>
      <c r="AB440" s="365" t="inlineStr">
        <is>
          <t>NW222MU1302</t>
        </is>
      </c>
      <c r="AC440" s="364" t="inlineStr">
        <is>
          <t>60支莫代尔贴合内裤</t>
        </is>
      </c>
    </row>
    <row r="441" ht="18" customHeight="1" s="229">
      <c r="A441" s="590" t="inlineStr">
        <is>
          <t>Men's Modal Brief (3-Pack)</t>
        </is>
      </c>
      <c r="B441" s="591" t="inlineStr">
        <is>
          <t>Men</t>
        </is>
      </c>
      <c r="C441" s="592" t="inlineStr">
        <is>
          <t>REMOVE</t>
        </is>
      </c>
      <c r="D441" s="593" t="inlineStr">
        <is>
          <t>Men's category exit</t>
        </is>
      </c>
      <c r="E441" s="593" t="inlineStr">
        <is>
          <t>3 — MEDIUM (selldown or markdown)</t>
        </is>
      </c>
      <c r="F441" s="594" t="inlineStr">
        <is>
          <t>Remove</t>
        </is>
      </c>
      <c r="G441" s="593" t="n"/>
      <c r="H441" s="595" t="n">
        <v>2509.35</v>
      </c>
      <c r="I441" s="595" t="n">
        <v>3237</v>
      </c>
      <c r="J441" s="595" t="n">
        <v>-727.65</v>
      </c>
      <c r="K441" s="596" t="n">
        <v>0.225</v>
      </c>
      <c r="L441" s="597" t="n">
        <v>83</v>
      </c>
      <c r="M441" s="595" t="n">
        <v>30.23</v>
      </c>
      <c r="N441" s="598" t="n">
        <v>0.0014</v>
      </c>
      <c r="O441" s="598" t="n">
        <v>0.8502</v>
      </c>
      <c r="P441" s="594" t="n">
        <v>4</v>
      </c>
      <c r="Q441" s="595" t="n">
        <v>8</v>
      </c>
      <c r="R441" s="597" t="n">
        <v>66</v>
      </c>
      <c r="S441" s="597" t="n">
        <v>0</v>
      </c>
      <c r="T441" s="597" t="n">
        <v>55</v>
      </c>
      <c r="U441" s="597" t="n">
        <v>222</v>
      </c>
      <c r="V441" s="597">
        <f>S75+T75</f>
        <v/>
      </c>
      <c r="W441" s="597">
        <f>S75+T75+U75</f>
        <v/>
      </c>
      <c r="X441" s="597">
        <f>W75*Q75</f>
        <v/>
      </c>
      <c r="Y441" s="595" t="n">
        <v>39</v>
      </c>
      <c r="Z441" s="595" t="n">
        <v>39</v>
      </c>
      <c r="AA441" s="594">
        <f>IF(Y75=Z75,"No","Yes")</f>
        <v/>
      </c>
      <c r="AB441" s="594" t="inlineStr">
        <is>
          <t>NW231MU1502</t>
        </is>
      </c>
      <c r="AC441" s="593" t="inlineStr">
        <is>
          <t>60S莫代尔贴合内裤</t>
        </is>
      </c>
    </row>
    <row r="442" ht="18" customHeight="1" s="229">
      <c r="A442" s="361" t="inlineStr">
        <is>
          <t>Ribbed Modal Men's Boxer Brief</t>
        </is>
      </c>
      <c r="B442" s="362" t="inlineStr">
        <is>
          <t>Men</t>
        </is>
      </c>
      <c r="C442" s="589" t="inlineStr">
        <is>
          <t>REMOVE</t>
        </is>
      </c>
      <c r="D442" s="364" t="inlineStr">
        <is>
          <t>Men's category exit</t>
        </is>
      </c>
      <c r="E442" s="364" t="inlineStr">
        <is>
          <t>3 — MEDIUM (selldown or markdown)</t>
        </is>
      </c>
      <c r="F442" s="365" t="inlineStr">
        <is>
          <t>Remove</t>
        </is>
      </c>
      <c r="G442" s="364" t="n"/>
      <c r="H442" s="366" t="n">
        <v>2055.46</v>
      </c>
      <c r="I442" s="366" t="n">
        <v>2726.5</v>
      </c>
      <c r="J442" s="366" t="n">
        <v>-671.04</v>
      </c>
      <c r="K442" s="380" t="n">
        <v>0.246</v>
      </c>
      <c r="L442" s="368" t="n">
        <v>205</v>
      </c>
      <c r="M442" s="366" t="n">
        <v>10.03</v>
      </c>
      <c r="N442" s="369" t="n">
        <v>0.0011</v>
      </c>
      <c r="O442" s="369" t="n">
        <v>0.8708</v>
      </c>
      <c r="P442" s="365" t="n">
        <v>19</v>
      </c>
      <c r="Q442" s="366" t="n">
        <v>8</v>
      </c>
      <c r="R442" s="368" t="n">
        <v>161</v>
      </c>
      <c r="S442" s="368" t="n">
        <v>0</v>
      </c>
      <c r="T442" s="368" t="n">
        <v>114</v>
      </c>
      <c r="U442" s="368" t="n">
        <v>728</v>
      </c>
      <c r="V442" s="368">
        <f>S90+T90</f>
        <v/>
      </c>
      <c r="W442" s="368">
        <f>S90+T90+U90</f>
        <v/>
      </c>
      <c r="X442" s="368">
        <f>W90*Q90</f>
        <v/>
      </c>
      <c r="Y442" s="366" t="n">
        <v>19</v>
      </c>
      <c r="Z442" s="366" t="n">
        <v>13.3</v>
      </c>
      <c r="AA442" s="365">
        <f>IF(Y90=Z90,"No","Yes")</f>
        <v/>
      </c>
      <c r="AB442" s="365" t="inlineStr">
        <is>
          <t>NW221MU1301</t>
        </is>
      </c>
      <c r="AC442" s="364" t="inlineStr">
        <is>
          <t>L系螺纹内裤</t>
        </is>
      </c>
    </row>
    <row r="443" ht="18" customHeight="1" s="229">
      <c r="A443" s="590" t="inlineStr">
        <is>
          <t>Men's Cotton Briefs (3-Pack)</t>
        </is>
      </c>
      <c r="B443" s="591" t="inlineStr">
        <is>
          <t>Men</t>
        </is>
      </c>
      <c r="C443" s="592" t="inlineStr">
        <is>
          <t>REMOVE</t>
        </is>
      </c>
      <c r="D443" s="593" t="inlineStr">
        <is>
          <t>Men's category exit</t>
        </is>
      </c>
      <c r="E443" s="593" t="inlineStr">
        <is>
          <t>4 — LOW (natural sellthrough)</t>
        </is>
      </c>
      <c r="F443" s="594" t="inlineStr">
        <is>
          <t>Remove</t>
        </is>
      </c>
      <c r="G443" s="593" t="n"/>
      <c r="H443" s="595" t="n">
        <v>1798.15</v>
      </c>
      <c r="I443" s="595" t="n">
        <v>2418</v>
      </c>
      <c r="J443" s="595" t="n">
        <v>-619.85</v>
      </c>
      <c r="K443" s="600" t="n">
        <v>0.256</v>
      </c>
      <c r="L443" s="597" t="n">
        <v>62</v>
      </c>
      <c r="M443" s="595" t="n">
        <v>29</v>
      </c>
      <c r="N443" s="598" t="n">
        <v>0.001</v>
      </c>
      <c r="O443" s="598" t="n">
        <v>0.8841</v>
      </c>
      <c r="P443" s="594" t="n">
        <v>4</v>
      </c>
      <c r="Q443" s="595" t="n">
        <v>8</v>
      </c>
      <c r="R443" s="597" t="n">
        <v>58</v>
      </c>
      <c r="S443" s="597" t="n">
        <v>0</v>
      </c>
      <c r="T443" s="597" t="n">
        <v>9</v>
      </c>
      <c r="U443" s="597" t="n">
        <v>47</v>
      </c>
      <c r="V443" s="597">
        <f>S103+T103</f>
        <v/>
      </c>
      <c r="W443" s="597">
        <f>S103+T103+U103</f>
        <v/>
      </c>
      <c r="X443" s="597">
        <f>W103*Q103</f>
        <v/>
      </c>
      <c r="Y443" s="595" t="n">
        <v>39</v>
      </c>
      <c r="Z443" s="595" t="n">
        <v>39</v>
      </c>
      <c r="AA443" s="594">
        <f>IF(Y103=Z103,"No","Yes")</f>
        <v/>
      </c>
      <c r="AB443" s="594" t="inlineStr">
        <is>
          <t>NW231MU1501</t>
        </is>
      </c>
      <c r="AC443" s="593" t="inlineStr">
        <is>
          <t>60支棉车缝内裤3条装</t>
        </is>
      </c>
    </row>
    <row r="444" ht="18" customHeight="1" s="229">
      <c r="A444" s="361" t="inlineStr">
        <is>
          <t>Men‚Äôs Cotton Boxer Brief</t>
        </is>
      </c>
      <c r="B444" s="362" t="inlineStr">
        <is>
          <t>Men</t>
        </is>
      </c>
      <c r="C444" s="589" t="inlineStr">
        <is>
          <t>REMOVE</t>
        </is>
      </c>
      <c r="D444" s="364" t="inlineStr">
        <is>
          <t>Men's category exit</t>
        </is>
      </c>
      <c r="E444" s="364" t="inlineStr">
        <is>
          <t>3 — MEDIUM (selldown or markdown)</t>
        </is>
      </c>
      <c r="F444" s="365" t="inlineStr">
        <is>
          <t>Remove</t>
        </is>
      </c>
      <c r="G444" s="364" t="n"/>
      <c r="H444" s="366" t="n">
        <v>1748.77</v>
      </c>
      <c r="I444" s="366" t="n">
        <v>2296.91</v>
      </c>
      <c r="J444" s="366" t="n">
        <v>-538.83</v>
      </c>
      <c r="K444" s="380" t="n">
        <v>0.235</v>
      </c>
      <c r="L444" s="368" t="n">
        <v>172</v>
      </c>
      <c r="M444" s="366" t="n">
        <v>10.17</v>
      </c>
      <c r="N444" s="369" t="n">
        <v>0.001</v>
      </c>
      <c r="O444" s="369" t="n">
        <v>0.8861</v>
      </c>
      <c r="P444" s="365" t="n">
        <v>27</v>
      </c>
      <c r="Q444" s="366" t="n">
        <v>8</v>
      </c>
      <c r="R444" s="368" t="n">
        <v>142</v>
      </c>
      <c r="S444" s="368" t="n">
        <v>0</v>
      </c>
      <c r="T444" s="368" t="n">
        <v>388</v>
      </c>
      <c r="U444" s="368" t="n">
        <v>4765</v>
      </c>
      <c r="V444" s="368">
        <f>S105+T105</f>
        <v/>
      </c>
      <c r="W444" s="368">
        <f>S105+T105+U105</f>
        <v/>
      </c>
      <c r="X444" s="368">
        <f>W105*Q105</f>
        <v/>
      </c>
      <c r="Y444" s="366" t="n">
        <v>19</v>
      </c>
      <c r="Z444" s="366" t="n">
        <v>13.3</v>
      </c>
      <c r="AA444" s="365">
        <f>IF(Y105=Z105,"No","Yes")</f>
        <v/>
      </c>
      <c r="AB444" s="365" t="inlineStr">
        <is>
          <t>NW222MU1301</t>
        </is>
      </c>
      <c r="AC444" s="364" t="e">
        <v>#N/A</v>
      </c>
    </row>
    <row r="445" ht="18" customHeight="1" s="229">
      <c r="A445" s="590" t="inlineStr">
        <is>
          <t>Men's 80s Modal Briefs (3-Pack)</t>
        </is>
      </c>
      <c r="B445" s="591" t="inlineStr">
        <is>
          <t>Men</t>
        </is>
      </c>
      <c r="C445" s="592" t="inlineStr">
        <is>
          <t>REMOVE</t>
        </is>
      </c>
      <c r="D445" s="593" t="inlineStr">
        <is>
          <t>Men's category exit</t>
        </is>
      </c>
      <c r="E445" s="593" t="inlineStr">
        <is>
          <t>3 — MEDIUM (selldown or markdown)</t>
        </is>
      </c>
      <c r="F445" s="594" t="inlineStr">
        <is>
          <t>Remove</t>
        </is>
      </c>
      <c r="G445" s="593" t="n"/>
      <c r="H445" s="595" t="n">
        <v>1341.66</v>
      </c>
      <c r="I445" s="595" t="n">
        <v>1716</v>
      </c>
      <c r="J445" s="595" t="n">
        <v>-374.34</v>
      </c>
      <c r="K445" s="596" t="n">
        <v>0.218</v>
      </c>
      <c r="L445" s="597" t="n">
        <v>44</v>
      </c>
      <c r="M445" s="595" t="n">
        <v>30.49</v>
      </c>
      <c r="N445" s="598" t="n">
        <v>0.0007000000000000001</v>
      </c>
      <c r="O445" s="598" t="n">
        <v>0.9137000000000001</v>
      </c>
      <c r="P445" s="594" t="n">
        <v>6</v>
      </c>
      <c r="Q445" s="595" t="n">
        <v>8</v>
      </c>
      <c r="R445" s="597" t="n">
        <v>41</v>
      </c>
      <c r="S445" s="597" t="n">
        <v>0</v>
      </c>
      <c r="T445" s="597" t="n">
        <v>19</v>
      </c>
      <c r="U445" s="597" t="n">
        <v>222</v>
      </c>
      <c r="V445" s="597">
        <f>S138+T138</f>
        <v/>
      </c>
      <c r="W445" s="597">
        <f>S138+T138+U138</f>
        <v/>
      </c>
      <c r="X445" s="597">
        <f>W138*Q138</f>
        <v/>
      </c>
      <c r="Y445" s="595" t="n">
        <v>39</v>
      </c>
      <c r="Z445" s="595" t="n">
        <v>39</v>
      </c>
      <c r="AA445" s="594">
        <f>IF(Y138=Z138,"No","Yes")</f>
        <v/>
      </c>
      <c r="AB445" s="594" t="inlineStr">
        <is>
          <t>NW232MU1504</t>
        </is>
      </c>
      <c r="AC445" s="593" t="inlineStr">
        <is>
          <t>80S莫代尔贴合中腰内裤3条装</t>
        </is>
      </c>
    </row>
    <row r="446" ht="18" customHeight="1" s="229">
      <c r="A446" s="361" t="inlineStr">
        <is>
          <t>Men's Undershirt Tank</t>
        </is>
      </c>
      <c r="B446" s="362" t="inlineStr">
        <is>
          <t>Men</t>
        </is>
      </c>
      <c r="C446" s="589" t="inlineStr">
        <is>
          <t>REMOVE</t>
        </is>
      </c>
      <c r="D446" s="364" t="inlineStr">
        <is>
          <t>Men's category exit</t>
        </is>
      </c>
      <c r="E446" s="364" t="inlineStr">
        <is>
          <t>3 — MEDIUM (selldown or markdown)</t>
        </is>
      </c>
      <c r="F446" s="365" t="inlineStr">
        <is>
          <t>Remove</t>
        </is>
      </c>
      <c r="G446" s="364" t="n"/>
      <c r="H446" s="366" t="n">
        <v>1098.57</v>
      </c>
      <c r="I446" s="366" t="n">
        <v>1494.5</v>
      </c>
      <c r="J446" s="366" t="n">
        <v>-395.93</v>
      </c>
      <c r="K446" s="367" t="n">
        <v>0.265</v>
      </c>
      <c r="L446" s="368" t="n">
        <v>61</v>
      </c>
      <c r="M446" s="366" t="n">
        <v>18.01</v>
      </c>
      <c r="N446" s="369" t="n">
        <v>0.0005999999999999999</v>
      </c>
      <c r="O446" s="369" t="n">
        <v>0.9308</v>
      </c>
      <c r="P446" s="365" t="n">
        <v>15</v>
      </c>
      <c r="Q446" s="366" t="n">
        <v>8</v>
      </c>
      <c r="R446" s="368" t="n">
        <v>55</v>
      </c>
      <c r="S446" s="368" t="n">
        <v>0</v>
      </c>
      <c r="T446" s="368" t="n">
        <v>57</v>
      </c>
      <c r="U446" s="368" t="n">
        <v>2364</v>
      </c>
      <c r="V446" s="368">
        <f>S164+T164</f>
        <v/>
      </c>
      <c r="W446" s="368">
        <f>S164+T164+U164</f>
        <v/>
      </c>
      <c r="X446" s="368">
        <f>W164*Q164</f>
        <v/>
      </c>
      <c r="Y446" s="366" t="n">
        <v>35</v>
      </c>
      <c r="Z446" s="366" t="n">
        <v>24.5</v>
      </c>
      <c r="AA446" s="365">
        <f>IF(Y164=Z164,"No","Yes")</f>
        <v/>
      </c>
      <c r="AB446" s="365" t="inlineStr">
        <is>
          <t>NW222MF3201</t>
        </is>
      </c>
      <c r="AC446" s="364" t="inlineStr">
        <is>
          <t>打底背心</t>
        </is>
      </c>
    </row>
    <row r="447" ht="18" customHeight="1" s="229">
      <c r="A447" s="590" t="inlineStr">
        <is>
          <t>Men's Basic Short Sleeved T-Shirt</t>
        </is>
      </c>
      <c r="B447" s="591" t="inlineStr">
        <is>
          <t>Men</t>
        </is>
      </c>
      <c r="C447" s="592" t="inlineStr">
        <is>
          <t>REMOVE</t>
        </is>
      </c>
      <c r="D447" s="593" t="inlineStr">
        <is>
          <t>Men's category exit</t>
        </is>
      </c>
      <c r="E447" s="593" t="inlineStr">
        <is>
          <t>3 — MEDIUM (selldown or markdown)</t>
        </is>
      </c>
      <c r="F447" s="594" t="inlineStr">
        <is>
          <t>Remove</t>
        </is>
      </c>
      <c r="G447" s="593" t="n"/>
      <c r="H447" s="595" t="n">
        <v>1071.6</v>
      </c>
      <c r="I447" s="595" t="n">
        <v>1543.5</v>
      </c>
      <c r="J447" s="595" t="n">
        <v>-423.88</v>
      </c>
      <c r="K447" s="600" t="n">
        <v>0.275</v>
      </c>
      <c r="L447" s="597" t="n">
        <v>43</v>
      </c>
      <c r="M447" s="595" t="n">
        <v>24.92</v>
      </c>
      <c r="N447" s="598" t="n">
        <v>0.0005999999999999999</v>
      </c>
      <c r="O447" s="598" t="n">
        <v>0.9331999999999999</v>
      </c>
      <c r="P447" s="594" t="n">
        <v>11</v>
      </c>
      <c r="Q447" s="595" t="n">
        <v>8</v>
      </c>
      <c r="R447" s="597" t="n">
        <v>45</v>
      </c>
      <c r="S447" s="597" t="n">
        <v>10</v>
      </c>
      <c r="T447" s="597" t="n">
        <v>70</v>
      </c>
      <c r="U447" s="597" t="n">
        <v>935</v>
      </c>
      <c r="V447" s="597">
        <f>S168+T168</f>
        <v/>
      </c>
      <c r="W447" s="597">
        <f>S168+T168+U168</f>
        <v/>
      </c>
      <c r="X447" s="597">
        <f>W168*Q168</f>
        <v/>
      </c>
      <c r="Y447" s="595" t="n">
        <v>49</v>
      </c>
      <c r="Z447" s="595" t="n">
        <v>34.3</v>
      </c>
      <c r="AA447" s="594">
        <f>IF(Y168=Z168,"No","Yes")</f>
        <v/>
      </c>
      <c r="AB447" s="594" t="inlineStr">
        <is>
          <t>NW222ML3302</t>
        </is>
      </c>
      <c r="AC447" s="593" t="inlineStr">
        <is>
          <t>基础款短袖T恤</t>
        </is>
      </c>
    </row>
    <row r="448" ht="18" customHeight="1" s="229">
      <c r="A448" s="361" t="inlineStr">
        <is>
          <t>Men's Basic Long Sleeved T-shirt</t>
        </is>
      </c>
      <c r="B448" s="362" t="inlineStr">
        <is>
          <t>Men</t>
        </is>
      </c>
      <c r="C448" s="589" t="inlineStr">
        <is>
          <t>REMOVE</t>
        </is>
      </c>
      <c r="D448" s="364" t="inlineStr">
        <is>
          <t>Low sales (&lt;$1K in 90 days)</t>
        </is>
      </c>
      <c r="E448" s="364" t="inlineStr">
        <is>
          <t>3 — MEDIUM (selldown or markdown)</t>
        </is>
      </c>
      <c r="F448" s="365" t="inlineStr">
        <is>
          <t>Remove</t>
        </is>
      </c>
      <c r="G448" s="364" t="n"/>
      <c r="H448" s="366" t="n">
        <v>856.99</v>
      </c>
      <c r="I448" s="366" t="n">
        <v>1239</v>
      </c>
      <c r="J448" s="366" t="n">
        <v>-353.1</v>
      </c>
      <c r="K448" s="367" t="n">
        <v>0.285</v>
      </c>
      <c r="L448" s="368" t="n">
        <v>29</v>
      </c>
      <c r="M448" s="366" t="n">
        <v>29.55</v>
      </c>
      <c r="N448" s="369" t="n">
        <v>0.0005</v>
      </c>
      <c r="O448" s="369" t="n">
        <v>0.9478</v>
      </c>
      <c r="P448" s="365" t="n">
        <v>11</v>
      </c>
      <c r="Q448" s="366" t="n">
        <v>8</v>
      </c>
      <c r="R448" s="368" t="n">
        <v>30</v>
      </c>
      <c r="S448" s="368" t="n">
        <v>0</v>
      </c>
      <c r="T448" s="368" t="n">
        <v>51</v>
      </c>
      <c r="U448" s="368" t="n">
        <v>523</v>
      </c>
      <c r="V448" s="368">
        <f>S194+T194</f>
        <v/>
      </c>
      <c r="W448" s="368">
        <f>S194+T194+U194</f>
        <v/>
      </c>
      <c r="X448" s="368">
        <f>W194*Q194</f>
        <v/>
      </c>
      <c r="Y448" s="366" t="n">
        <v>59</v>
      </c>
      <c r="Z448" s="366" t="n">
        <v>41.3</v>
      </c>
      <c r="AA448" s="365">
        <f>IF(Y194=Z194,"No","Yes")</f>
        <v/>
      </c>
      <c r="AB448" s="365" t="inlineStr">
        <is>
          <t>NW222ML3304</t>
        </is>
      </c>
      <c r="AC448" s="364" t="inlineStr">
        <is>
          <t>基础款长袖T恤</t>
        </is>
      </c>
    </row>
    <row r="449" ht="18" customHeight="1" s="229">
      <c r="A449" s="590" t="inlineStr">
        <is>
          <t>Men‚Äôs Crew Socks (3-Pack)</t>
        </is>
      </c>
      <c r="B449" s="591" t="inlineStr">
        <is>
          <t>Men</t>
        </is>
      </c>
      <c r="C449" s="592" t="inlineStr">
        <is>
          <t>REMOVE</t>
        </is>
      </c>
      <c r="D449" s="593" t="inlineStr">
        <is>
          <t>Low sales (&lt;$1K in 90 days)</t>
        </is>
      </c>
      <c r="E449" s="593" t="inlineStr">
        <is>
          <t>3 — MEDIUM (selldown or markdown)</t>
        </is>
      </c>
      <c r="F449" s="594" t="inlineStr">
        <is>
          <t>Remove</t>
        </is>
      </c>
      <c r="G449" s="593" t="n"/>
      <c r="H449" s="595" t="n">
        <v>800.4100000000001</v>
      </c>
      <c r="I449" s="595" t="n">
        <v>1000</v>
      </c>
      <c r="J449" s="595" t="n">
        <v>-199.59</v>
      </c>
      <c r="K449" s="596" t="n">
        <v>0.2</v>
      </c>
      <c r="L449" s="597" t="n">
        <v>40</v>
      </c>
      <c r="M449" s="595" t="n">
        <v>20.01</v>
      </c>
      <c r="N449" s="598" t="n">
        <v>0.0004</v>
      </c>
      <c r="O449" s="598" t="n">
        <v>0.9540000000000001</v>
      </c>
      <c r="P449" s="594" t="n">
        <v>3</v>
      </c>
      <c r="Q449" s="595" t="n">
        <v>8</v>
      </c>
      <c r="R449" s="597" t="n">
        <v>31</v>
      </c>
      <c r="S449" s="597" t="n">
        <v>0</v>
      </c>
      <c r="T449" s="597" t="n">
        <v>24</v>
      </c>
      <c r="U449" s="597" t="n">
        <v>282</v>
      </c>
      <c r="V449" s="597">
        <f>S207+T207</f>
        <v/>
      </c>
      <c r="W449" s="597">
        <f>S207+T207+U207</f>
        <v/>
      </c>
      <c r="X449" s="597">
        <f>W207*Q207</f>
        <v/>
      </c>
      <c r="Y449" s="595" t="n">
        <v>25</v>
      </c>
      <c r="Z449" s="595" t="n">
        <v>25</v>
      </c>
      <c r="AA449" s="594">
        <f>IF(Y207=Z207,"No","Yes")</f>
        <v/>
      </c>
      <c r="AB449" s="594" t="inlineStr">
        <is>
          <t>NW222MA6503</t>
        </is>
      </c>
      <c r="AC449" s="593" t="inlineStr">
        <is>
          <t>中筒袜三条装</t>
        </is>
      </c>
    </row>
    <row r="450" ht="18" customHeight="1" s="229">
      <c r="A450" s="361" t="inlineStr">
        <is>
          <t>Men's Lounge Shorts</t>
        </is>
      </c>
      <c r="B450" s="362" t="inlineStr">
        <is>
          <t>Men</t>
        </is>
      </c>
      <c r="C450" s="589" t="inlineStr">
        <is>
          <t>REMOVE</t>
        </is>
      </c>
      <c r="D450" s="364" t="inlineStr">
        <is>
          <t>Low sales (&lt;$1K in 90 days)</t>
        </is>
      </c>
      <c r="E450" s="364" t="inlineStr">
        <is>
          <t>3 — MEDIUM (selldown or markdown)</t>
        </is>
      </c>
      <c r="F450" s="365" t="inlineStr">
        <is>
          <t>Remove</t>
        </is>
      </c>
      <c r="G450" s="364" t="n"/>
      <c r="H450" s="366" t="n">
        <v>779.04</v>
      </c>
      <c r="I450" s="366" t="n">
        <v>1115.1</v>
      </c>
      <c r="J450" s="366" t="n">
        <v>-278.24</v>
      </c>
      <c r="K450" s="380" t="n">
        <v>0.25</v>
      </c>
      <c r="L450" s="368" t="n">
        <v>25</v>
      </c>
      <c r="M450" s="366" t="n">
        <v>31.16</v>
      </c>
      <c r="N450" s="369" t="n">
        <v>0.0004</v>
      </c>
      <c r="O450" s="369" t="n">
        <v>0.956</v>
      </c>
      <c r="P450" s="365" t="n">
        <v>12</v>
      </c>
      <c r="Q450" s="366" t="n">
        <v>8</v>
      </c>
      <c r="R450" s="368" t="n">
        <v>27</v>
      </c>
      <c r="S450" s="368" t="n">
        <v>0</v>
      </c>
      <c r="T450" s="368" t="n">
        <v>59</v>
      </c>
      <c r="U450" s="368" t="n">
        <v>1973</v>
      </c>
      <c r="V450" s="368">
        <f>S212+T212</f>
        <v/>
      </c>
      <c r="W450" s="368">
        <f>S212+T212+U212</f>
        <v/>
      </c>
      <c r="X450" s="368">
        <f>W212*Q212</f>
        <v/>
      </c>
      <c r="Y450" s="366" t="n">
        <v>59</v>
      </c>
      <c r="Z450" s="366" t="n">
        <v>41.3</v>
      </c>
      <c r="AA450" s="365">
        <f>IF(Y212=Z212,"No","Yes")</f>
        <v/>
      </c>
      <c r="AB450" s="365" t="inlineStr">
        <is>
          <t>NW222ML4101</t>
        </is>
      </c>
      <c r="AC450" s="364" t="inlineStr">
        <is>
          <t>针织家居短裤</t>
        </is>
      </c>
    </row>
    <row r="451" ht="18" customHeight="1" s="229">
      <c r="A451" s="590" t="inlineStr">
        <is>
          <t>Men's Thermal Set</t>
        </is>
      </c>
      <c r="B451" s="591" t="inlineStr">
        <is>
          <t>Men</t>
        </is>
      </c>
      <c r="C451" s="592" t="inlineStr">
        <is>
          <t>REMOVE</t>
        </is>
      </c>
      <c r="D451" s="593" t="inlineStr">
        <is>
          <t>Low sales (&lt;$1K in 90 days)</t>
        </is>
      </c>
      <c r="E451" s="593" t="inlineStr">
        <is>
          <t>4 — LOW (natural sellthrough)</t>
        </is>
      </c>
      <c r="F451" s="594" t="inlineStr">
        <is>
          <t>Remove</t>
        </is>
      </c>
      <c r="G451" s="593" t="n"/>
      <c r="H451" s="595" t="n">
        <v>767.5599999999999</v>
      </c>
      <c r="I451" s="595" t="n">
        <v>990</v>
      </c>
      <c r="J451" s="595" t="n">
        <v>-222.44</v>
      </c>
      <c r="K451" s="596" t="n">
        <v>0.225</v>
      </c>
      <c r="L451" s="597" t="n">
        <v>22</v>
      </c>
      <c r="M451" s="595" t="n">
        <v>34.89</v>
      </c>
      <c r="N451" s="598" t="n">
        <v>0.0004</v>
      </c>
      <c r="O451" s="598" t="n">
        <v>0.9564</v>
      </c>
      <c r="P451" s="594" t="n">
        <v>9</v>
      </c>
      <c r="Q451" s="595" t="n">
        <v>8</v>
      </c>
      <c r="R451" s="597" t="n">
        <v>21</v>
      </c>
      <c r="S451" s="597" t="n">
        <v>0</v>
      </c>
      <c r="T451" s="597" t="n">
        <v>27</v>
      </c>
      <c r="U451" s="597" t="n">
        <v>257</v>
      </c>
      <c r="V451" s="597">
        <f>S213+T213</f>
        <v/>
      </c>
      <c r="W451" s="597">
        <f>S213+T213+U213</f>
        <v/>
      </c>
      <c r="X451" s="597">
        <f>W213*Q213</f>
        <v/>
      </c>
      <c r="Y451" s="595" t="n">
        <v>45</v>
      </c>
      <c r="Z451" s="595" t="n">
        <v>45</v>
      </c>
      <c r="AA451" s="594">
        <f>IF(Y213=Z213,"No","Yes")</f>
        <v/>
      </c>
      <c r="AB451" s="594" t="inlineStr">
        <is>
          <t>NW232MF5503</t>
        </is>
      </c>
      <c r="AC451" s="593" t="inlineStr">
        <is>
          <t>男士暖暖圆领打底套装</t>
        </is>
      </c>
    </row>
    <row r="452" ht="18" customHeight="1" s="229">
      <c r="A452" s="361" t="inlineStr">
        <is>
          <t>Men's Performance Briefs (3-Pack)</t>
        </is>
      </c>
      <c r="B452" s="362" t="inlineStr">
        <is>
          <t>Men</t>
        </is>
      </c>
      <c r="C452" s="589" t="inlineStr">
        <is>
          <t>REMOVE</t>
        </is>
      </c>
      <c r="D452" s="364" t="inlineStr">
        <is>
          <t>Low sales (&lt;$1K in 90 days)</t>
        </is>
      </c>
      <c r="E452" s="364" t="inlineStr">
        <is>
          <t>4 — LOW (natural sellthrough)</t>
        </is>
      </c>
      <c r="F452" s="365" t="inlineStr">
        <is>
          <t>Remove</t>
        </is>
      </c>
      <c r="G452" s="364" t="n"/>
      <c r="H452" s="366" t="n">
        <v>722.78</v>
      </c>
      <c r="I452" s="366" t="n">
        <v>948</v>
      </c>
      <c r="J452" s="366" t="n">
        <v>-225.22</v>
      </c>
      <c r="K452" s="380" t="n">
        <v>0.238</v>
      </c>
      <c r="L452" s="368" t="n">
        <v>12</v>
      </c>
      <c r="M452" s="366" t="n">
        <v>60.23</v>
      </c>
      <c r="N452" s="369" t="n">
        <v>0.0004</v>
      </c>
      <c r="O452" s="369" t="n">
        <v>0.9588</v>
      </c>
      <c r="P452" s="365" t="n">
        <v>4</v>
      </c>
      <c r="Q452" s="366" t="n">
        <v>8</v>
      </c>
      <c r="R452" s="368" t="n">
        <v>12</v>
      </c>
      <c r="S452" s="368" t="n">
        <v>0</v>
      </c>
      <c r="T452" s="368" t="n">
        <v>20</v>
      </c>
      <c r="U452" s="368" t="n">
        <v>168</v>
      </c>
      <c r="V452" s="368">
        <f>S219+T219</f>
        <v/>
      </c>
      <c r="W452" s="368">
        <f>S219+T219+U219</f>
        <v/>
      </c>
      <c r="X452" s="368">
        <f>W219*Q219</f>
        <v/>
      </c>
      <c r="Y452" s="366" t="n">
        <v>79</v>
      </c>
      <c r="Z452" s="366" t="n">
        <v>79</v>
      </c>
      <c r="AA452" s="365">
        <f>IF(Y219=Z219,"No","Yes")</f>
        <v/>
      </c>
      <c r="AB452" s="365" t="inlineStr">
        <is>
          <t>NW232MU1502</t>
        </is>
      </c>
      <c r="AC452" s="364" t="inlineStr">
        <is>
          <t>60S莫代尔运动结构内裤3条装</t>
        </is>
      </c>
    </row>
    <row r="453" ht="18" customHeight="1" s="229">
      <c r="A453" s="590" t="inlineStr">
        <is>
          <t>Men's Long Modal Brief</t>
        </is>
      </c>
      <c r="B453" s="591" t="inlineStr">
        <is>
          <t>Men</t>
        </is>
      </c>
      <c r="C453" s="592" t="inlineStr">
        <is>
          <t>REMOVE</t>
        </is>
      </c>
      <c r="D453" s="593" t="inlineStr">
        <is>
          <t>Low sales (&lt;$1K in 90 days)</t>
        </is>
      </c>
      <c r="E453" s="593" t="inlineStr">
        <is>
          <t>3 — MEDIUM (selldown or markdown)</t>
        </is>
      </c>
      <c r="F453" s="594" t="inlineStr">
        <is>
          <t>Remove</t>
        </is>
      </c>
      <c r="G453" s="593" t="n"/>
      <c r="H453" s="595" t="n">
        <v>720.6</v>
      </c>
      <c r="I453" s="595" t="n">
        <v>950</v>
      </c>
      <c r="J453" s="595" t="n">
        <v>-229.4</v>
      </c>
      <c r="K453" s="596" t="n">
        <v>0.241</v>
      </c>
      <c r="L453" s="597" t="n">
        <v>50</v>
      </c>
      <c r="M453" s="595" t="n">
        <v>14.41</v>
      </c>
      <c r="N453" s="598" t="n">
        <v>0.0004</v>
      </c>
      <c r="O453" s="598" t="n">
        <v>0.9592000000000001</v>
      </c>
      <c r="P453" s="594" t="n">
        <v>10</v>
      </c>
      <c r="Q453" s="595" t="n">
        <v>8</v>
      </c>
      <c r="R453" s="597" t="n">
        <v>31</v>
      </c>
      <c r="S453" s="597" t="n">
        <v>0</v>
      </c>
      <c r="T453" s="597" t="n">
        <v>55</v>
      </c>
      <c r="U453" s="597" t="n">
        <v>1052</v>
      </c>
      <c r="V453" s="597">
        <f>S220+T220</f>
        <v/>
      </c>
      <c r="W453" s="597">
        <f>S220+T220+U220</f>
        <v/>
      </c>
      <c r="X453" s="597">
        <f>W220*Q220</f>
        <v/>
      </c>
      <c r="Y453" s="595" t="n">
        <v>19</v>
      </c>
      <c r="Z453" s="595" t="n">
        <v>19</v>
      </c>
      <c r="AA453" s="594">
        <f>IF(Y220=Z220,"No","Yes")</f>
        <v/>
      </c>
      <c r="AB453" s="594" t="inlineStr">
        <is>
          <t>NW231MU1307</t>
        </is>
      </c>
      <c r="AC453" s="593" t="inlineStr">
        <is>
          <t>60支莫代尔车缝加长运动版内裤</t>
        </is>
      </c>
    </row>
    <row r="454" ht="18" customHeight="1" s="229">
      <c r="A454" s="361" t="inlineStr">
        <is>
          <t>Men's Crew Neck Short-Sleeve Undershirt</t>
        </is>
      </c>
      <c r="B454" s="362" t="inlineStr">
        <is>
          <t>Men</t>
        </is>
      </c>
      <c r="C454" s="589" t="inlineStr">
        <is>
          <t>REMOVE</t>
        </is>
      </c>
      <c r="D454" s="364" t="inlineStr">
        <is>
          <t>Low sales (&lt;$1K in 90 days)</t>
        </is>
      </c>
      <c r="E454" s="364" t="inlineStr">
        <is>
          <t>2 — HIGH (excess inventory vs demand)</t>
        </is>
      </c>
      <c r="F454" s="365" t="inlineStr">
        <is>
          <t>Remove</t>
        </is>
      </c>
      <c r="G454" s="364" t="n"/>
      <c r="H454" s="366" t="n">
        <v>693.42</v>
      </c>
      <c r="I454" s="366" t="n">
        <v>1064.7</v>
      </c>
      <c r="J454" s="366" t="n">
        <v>-352.17</v>
      </c>
      <c r="K454" s="367" t="n">
        <v>0.331</v>
      </c>
      <c r="L454" s="368" t="n">
        <v>37</v>
      </c>
      <c r="M454" s="366" t="n">
        <v>18.74</v>
      </c>
      <c r="N454" s="369" t="n">
        <v>0.0004</v>
      </c>
      <c r="O454" s="369" t="n">
        <v>0.9620000000000001</v>
      </c>
      <c r="P454" s="365" t="n">
        <v>13</v>
      </c>
      <c r="Q454" s="366" t="n">
        <v>8</v>
      </c>
      <c r="R454" s="368" t="n">
        <v>38</v>
      </c>
      <c r="S454" s="368" t="n">
        <v>0</v>
      </c>
      <c r="T454" s="368" t="n">
        <v>79</v>
      </c>
      <c r="U454" s="368" t="n">
        <v>2336</v>
      </c>
      <c r="V454" s="368">
        <f>S227+T227</f>
        <v/>
      </c>
      <c r="W454" s="368">
        <f>S227+T227+U227</f>
        <v/>
      </c>
      <c r="X454" s="368">
        <f>W227*Q227</f>
        <v/>
      </c>
      <c r="Y454" s="366" t="n">
        <v>39</v>
      </c>
      <c r="Z454" s="366" t="n">
        <v>27.3</v>
      </c>
      <c r="AA454" s="365">
        <f>IF(Y227=Z227,"No","Yes")</f>
        <v/>
      </c>
      <c r="AB454" s="365" t="inlineStr">
        <is>
          <t>NW222MF3302</t>
        </is>
      </c>
      <c r="AC454" s="364" t="inlineStr">
        <is>
          <t>圆领打底T恤</t>
        </is>
      </c>
    </row>
    <row r="455" ht="18" customHeight="1" s="229">
      <c r="A455" s="590" t="inlineStr">
        <is>
          <t>Men's Knitted Sweater</t>
        </is>
      </c>
      <c r="B455" s="591" t="inlineStr">
        <is>
          <t>Men</t>
        </is>
      </c>
      <c r="C455" s="592" t="inlineStr">
        <is>
          <t>REMOVE</t>
        </is>
      </c>
      <c r="D455" s="593" t="inlineStr">
        <is>
          <t>Low sales (&lt;$1K in 90 days)</t>
        </is>
      </c>
      <c r="E455" s="593" t="inlineStr">
        <is>
          <t>4 — LOW (natural sellthrough)</t>
        </is>
      </c>
      <c r="F455" s="594" t="inlineStr">
        <is>
          <t>Remove</t>
        </is>
      </c>
      <c r="G455" s="593" t="n"/>
      <c r="H455" s="595" t="n">
        <v>648.27</v>
      </c>
      <c r="I455" s="595" t="n">
        <v>926.1000000000001</v>
      </c>
      <c r="J455" s="595" t="n">
        <v>-277.83</v>
      </c>
      <c r="K455" s="600" t="n">
        <v>0.3</v>
      </c>
      <c r="L455" s="597" t="n">
        <v>7</v>
      </c>
      <c r="M455" s="595" t="n">
        <v>92.61</v>
      </c>
      <c r="N455" s="598" t="n">
        <v>0.0004</v>
      </c>
      <c r="O455" s="598" t="n">
        <v>0.9651999999999999</v>
      </c>
      <c r="P455" s="594" t="n">
        <v>5</v>
      </c>
      <c r="Q455" s="595" t="n">
        <v>8</v>
      </c>
      <c r="R455" s="597" t="n">
        <v>7</v>
      </c>
      <c r="S455" s="597" t="n">
        <v>0</v>
      </c>
      <c r="T455" s="597" t="n">
        <v>31</v>
      </c>
      <c r="U455" s="597" t="n">
        <v>463</v>
      </c>
      <c r="V455" s="597">
        <f>S235+T235</f>
        <v/>
      </c>
      <c r="W455" s="597">
        <f>S235+T235+U235</f>
        <v/>
      </c>
      <c r="X455" s="597">
        <f>W235*Q235</f>
        <v/>
      </c>
      <c r="Y455" s="595" t="n">
        <v>189</v>
      </c>
      <c r="Z455" s="595" t="n">
        <v>132.3</v>
      </c>
      <c r="AA455" s="594">
        <f>IF(Y235=Z235,"No","Yes")</f>
        <v/>
      </c>
      <c r="AB455" s="594" t="inlineStr">
        <is>
          <t>NW222ML3402</t>
        </is>
      </c>
      <c r="AC455" s="593" t="inlineStr">
        <is>
          <t>毛织花型套头衫</t>
        </is>
      </c>
    </row>
    <row r="456" ht="18" customHeight="1" s="229">
      <c r="A456" s="361" t="inlineStr">
        <is>
          <t>Men‚Äôs Year of the Rabbit Holiday Gift Set</t>
        </is>
      </c>
      <c r="B456" s="362" t="inlineStr">
        <is>
          <t>Men</t>
        </is>
      </c>
      <c r="C456" s="589" t="inlineStr">
        <is>
          <t>REMOVE</t>
        </is>
      </c>
      <c r="D456" s="364" t="inlineStr">
        <is>
          <t>Bundle/Gift Set — low velocity</t>
        </is>
      </c>
      <c r="E456" s="364" t="inlineStr">
        <is>
          <t>2 — HIGH (excess inventory vs demand)</t>
        </is>
      </c>
      <c r="F456" s="365" t="inlineStr">
        <is>
          <t>Remove</t>
        </is>
      </c>
      <c r="G456" s="364" t="n"/>
      <c r="H456" s="366" t="n">
        <v>598.2</v>
      </c>
      <c r="I456" s="366" t="n">
        <v>741</v>
      </c>
      <c r="J456" s="366" t="n">
        <v>-142.8</v>
      </c>
      <c r="K456" s="380" t="n">
        <v>0.193</v>
      </c>
      <c r="L456" s="368" t="n">
        <v>32</v>
      </c>
      <c r="M456" s="366" t="n">
        <v>18.69</v>
      </c>
      <c r="N456" s="369" t="n">
        <v>0.0003</v>
      </c>
      <c r="O456" s="369" t="n">
        <v>0.9698</v>
      </c>
      <c r="P456" s="365" t="n">
        <v>3</v>
      </c>
      <c r="Q456" s="366" t="n">
        <v>8</v>
      </c>
      <c r="R456" s="368" t="n">
        <v>28</v>
      </c>
      <c r="S456" s="368" t="n">
        <v>0</v>
      </c>
      <c r="T456" s="368" t="n">
        <v>40</v>
      </c>
      <c r="U456" s="368" t="n">
        <v>272</v>
      </c>
      <c r="V456" s="368">
        <f>S249+T249</f>
        <v/>
      </c>
      <c r="W456" s="368">
        <f>S249+T249+U249</f>
        <v/>
      </c>
      <c r="X456" s="368">
        <f>W249*Q249</f>
        <v/>
      </c>
      <c r="Y456" s="366" t="n">
        <v>39</v>
      </c>
      <c r="Z456" s="366" t="n">
        <v>19.5</v>
      </c>
      <c r="AA456" s="365">
        <f>IF(Y249=Z249,"No","Yes")</f>
        <v/>
      </c>
      <c r="AB456" s="365" t="inlineStr">
        <is>
          <t>NW222ME0001</t>
        </is>
      </c>
      <c r="AC456" s="364" t="inlineStr">
        <is>
          <t>L系列60S莫代尔新年红+新年袜（2*1）</t>
        </is>
      </c>
    </row>
    <row r="457" ht="18" customHeight="1" s="229">
      <c r="A457" s="590" t="inlineStr">
        <is>
          <t>Men's V-neck Short-Sleeve Undershirt</t>
        </is>
      </c>
      <c r="B457" s="591" t="inlineStr">
        <is>
          <t>Men</t>
        </is>
      </c>
      <c r="C457" s="592" t="inlineStr">
        <is>
          <t>REMOVE</t>
        </is>
      </c>
      <c r="D457" s="593" t="inlineStr">
        <is>
          <t>Low sales (&lt;$1K in 90 days)</t>
        </is>
      </c>
      <c r="E457" s="593" t="inlineStr">
        <is>
          <t>3 — MEDIUM (selldown or markdown)</t>
        </is>
      </c>
      <c r="F457" s="594" t="inlineStr">
        <is>
          <t>Remove</t>
        </is>
      </c>
      <c r="G457" s="593" t="n"/>
      <c r="H457" s="595" t="n">
        <v>548.65</v>
      </c>
      <c r="I457" s="595" t="n">
        <v>810.8100000000001</v>
      </c>
      <c r="J457" s="595" t="n">
        <v>-243.05</v>
      </c>
      <c r="K457" s="600" t="n">
        <v>0.3</v>
      </c>
      <c r="L457" s="597" t="n">
        <v>28</v>
      </c>
      <c r="M457" s="595" t="n">
        <v>19.59</v>
      </c>
      <c r="N457" s="598" t="n">
        <v>0.0003</v>
      </c>
      <c r="O457" s="598" t="n">
        <v>0.9752</v>
      </c>
      <c r="P457" s="594" t="n">
        <v>12</v>
      </c>
      <c r="Q457" s="595" t="n">
        <v>8</v>
      </c>
      <c r="R457" s="597" t="n">
        <v>29</v>
      </c>
      <c r="S457" s="597" t="n">
        <v>0</v>
      </c>
      <c r="T457" s="597" t="n">
        <v>70</v>
      </c>
      <c r="U457" s="597" t="n">
        <v>2034</v>
      </c>
      <c r="V457" s="597">
        <f>S267+T267</f>
        <v/>
      </c>
      <c r="W457" s="597">
        <f>S267+T267+U267</f>
        <v/>
      </c>
      <c r="X457" s="597">
        <f>W267*Q267</f>
        <v/>
      </c>
      <c r="Y457" s="595" t="n">
        <v>39</v>
      </c>
      <c r="Z457" s="595" t="n">
        <v>27.3</v>
      </c>
      <c r="AA457" s="594">
        <f>IF(Y267=Z267,"No","Yes")</f>
        <v/>
      </c>
      <c r="AB457" s="594" t="inlineStr">
        <is>
          <t>NW222MF3301</t>
        </is>
      </c>
      <c r="AC457" s="593" t="inlineStr">
        <is>
          <t>V领打底T恤</t>
        </is>
      </c>
    </row>
    <row r="458" ht="18" customHeight="1" s="229">
      <c r="A458" s="361" t="inlineStr">
        <is>
          <t>Men's Classic Cozy Pajama Shirt</t>
        </is>
      </c>
      <c r="B458" s="362" t="inlineStr">
        <is>
          <t>Men</t>
        </is>
      </c>
      <c r="C458" s="589" t="inlineStr">
        <is>
          <t>REMOVE</t>
        </is>
      </c>
      <c r="D458" s="364" t="inlineStr">
        <is>
          <t>Low sales (&lt;$1K in 90 days)</t>
        </is>
      </c>
      <c r="E458" s="364" t="inlineStr">
        <is>
          <t>4 — LOW (natural sellthrough)</t>
        </is>
      </c>
      <c r="F458" s="365" t="inlineStr">
        <is>
          <t>Remove</t>
        </is>
      </c>
      <c r="G458" s="364" t="n"/>
      <c r="H458" s="366" t="n">
        <v>519.01</v>
      </c>
      <c r="I458" s="366" t="n">
        <v>763</v>
      </c>
      <c r="J458" s="366" t="n">
        <v>-167.69</v>
      </c>
      <c r="K458" s="380" t="n">
        <v>0.22</v>
      </c>
      <c r="L458" s="368" t="n">
        <v>6</v>
      </c>
      <c r="M458" s="366" t="n">
        <v>86.5</v>
      </c>
      <c r="N458" s="369" t="n">
        <v>0.0003</v>
      </c>
      <c r="O458" s="369" t="n">
        <v>0.9782</v>
      </c>
      <c r="P458" s="365" t="n">
        <v>7</v>
      </c>
      <c r="Q458" s="366" t="n">
        <v>8</v>
      </c>
      <c r="R458" s="368" t="n">
        <v>7</v>
      </c>
      <c r="S458" s="368" t="n">
        <v>0</v>
      </c>
      <c r="T458" s="368" t="n">
        <v>66</v>
      </c>
      <c r="U458" s="368" t="n">
        <v>361</v>
      </c>
      <c r="V458" s="368">
        <f>S277+T277</f>
        <v/>
      </c>
      <c r="W458" s="368">
        <f>S277+T277+U277</f>
        <v/>
      </c>
      <c r="X458" s="368">
        <f>W277*Q277</f>
        <v/>
      </c>
      <c r="Y458" s="366" t="n">
        <v>109</v>
      </c>
      <c r="Z458" s="366" t="n">
        <v>109</v>
      </c>
      <c r="AA458" s="365">
        <f>IF(Y277=Z277,"No","Yes")</f>
        <v/>
      </c>
      <c r="AB458" s="365" t="inlineStr">
        <is>
          <t>NW232ML3002</t>
        </is>
      </c>
      <c r="AC458" s="364" t="inlineStr">
        <is>
          <t>羊绒蛋白坑条长袖睡衣</t>
        </is>
      </c>
    </row>
    <row r="459" ht="18" customHeight="1" s="229">
      <c r="A459" s="590" t="inlineStr">
        <is>
          <t>Men's Classic Cozy Pajama Pants</t>
        </is>
      </c>
      <c r="B459" s="591" t="inlineStr">
        <is>
          <t>Men</t>
        </is>
      </c>
      <c r="C459" s="592" t="inlineStr">
        <is>
          <t>REMOVE</t>
        </is>
      </c>
      <c r="D459" s="593" t="inlineStr">
        <is>
          <t>Very low sales (&lt;$500 in 90 days)</t>
        </is>
      </c>
      <c r="E459" s="593" t="inlineStr">
        <is>
          <t>4 — LOW (natural sellthrough)</t>
        </is>
      </c>
      <c r="F459" s="594" t="inlineStr">
        <is>
          <t>Remove</t>
        </is>
      </c>
      <c r="G459" s="593" t="n"/>
      <c r="H459" s="595" t="n">
        <v>446.03</v>
      </c>
      <c r="I459" s="595" t="n">
        <v>890</v>
      </c>
      <c r="J459" s="595" t="n">
        <v>-203.67</v>
      </c>
      <c r="K459" s="596" t="n">
        <v>0.229</v>
      </c>
      <c r="L459" s="597" t="n">
        <v>7</v>
      </c>
      <c r="M459" s="595" t="n">
        <v>63.72</v>
      </c>
      <c r="N459" s="598" t="n">
        <v>0.0002</v>
      </c>
      <c r="O459" s="598" t="n">
        <v>0.9814000000000001</v>
      </c>
      <c r="P459" s="594" t="n">
        <v>8</v>
      </c>
      <c r="Q459" s="595" t="n">
        <v>8</v>
      </c>
      <c r="R459" s="597" t="n">
        <v>9</v>
      </c>
      <c r="S459" s="597" t="n">
        <v>0</v>
      </c>
      <c r="T459" s="597" t="n">
        <v>58</v>
      </c>
      <c r="U459" s="597" t="n">
        <v>284</v>
      </c>
      <c r="V459" s="597">
        <f>S288+T288</f>
        <v/>
      </c>
      <c r="W459" s="597">
        <f>S288+T288+U288</f>
        <v/>
      </c>
      <c r="X459" s="597">
        <f>W288*Q288</f>
        <v/>
      </c>
      <c r="Y459" s="595" t="n">
        <v>89</v>
      </c>
      <c r="Z459" s="595" t="n">
        <v>89</v>
      </c>
      <c r="AA459" s="594">
        <f>IF(Y288=Z288,"No","Yes")</f>
        <v/>
      </c>
      <c r="AB459" s="594" t="inlineStr">
        <is>
          <t>NW232ML4002</t>
        </is>
      </c>
      <c r="AC459" s="593" t="inlineStr">
        <is>
          <t>羊绒蛋白坑条长裤睡裤</t>
        </is>
      </c>
    </row>
    <row r="460" ht="18" customHeight="1" s="229">
      <c r="A460" s="361" t="inlineStr">
        <is>
          <t>Men's Ankle Socks (3-Pack)</t>
        </is>
      </c>
      <c r="B460" s="362" t="inlineStr">
        <is>
          <t>Men</t>
        </is>
      </c>
      <c r="C460" s="589" t="inlineStr">
        <is>
          <t>REMOVE</t>
        </is>
      </c>
      <c r="D460" s="364" t="inlineStr">
        <is>
          <t>Very low sales (&lt;$500 in 90 days)</t>
        </is>
      </c>
      <c r="E460" s="364" t="inlineStr">
        <is>
          <t>3 — MEDIUM (selldown or markdown)</t>
        </is>
      </c>
      <c r="F460" s="365" t="inlineStr">
        <is>
          <t>Remove</t>
        </is>
      </c>
      <c r="G460" s="364" t="n"/>
      <c r="H460" s="366" t="n">
        <v>301.57</v>
      </c>
      <c r="I460" s="366" t="n">
        <v>380</v>
      </c>
      <c r="J460" s="366" t="n">
        <v>-78.43000000000001</v>
      </c>
      <c r="K460" s="380" t="n">
        <v>0.206</v>
      </c>
      <c r="L460" s="368" t="n">
        <v>20</v>
      </c>
      <c r="M460" s="366" t="n">
        <v>15.08</v>
      </c>
      <c r="N460" s="369" t="n">
        <v>0.0002</v>
      </c>
      <c r="O460" s="369" t="n">
        <v>0.9914000000000001</v>
      </c>
      <c r="P460" s="365" t="n">
        <v>6</v>
      </c>
      <c r="Q460" s="366" t="n">
        <v>8</v>
      </c>
      <c r="R460" s="368" t="n">
        <v>17</v>
      </c>
      <c r="S460" s="368" t="n">
        <v>0</v>
      </c>
      <c r="T460" s="368" t="n">
        <v>35</v>
      </c>
      <c r="U460" s="368" t="n">
        <v>776</v>
      </c>
      <c r="V460" s="368">
        <f>S337+T337</f>
        <v/>
      </c>
      <c r="W460" s="368">
        <f>S337+T337+U337</f>
        <v/>
      </c>
      <c r="X460" s="368">
        <f>W337*Q337</f>
        <v/>
      </c>
      <c r="Y460" s="366" t="n">
        <v>19</v>
      </c>
      <c r="Z460" s="366" t="n">
        <v>19</v>
      </c>
      <c r="AA460" s="365">
        <f>IF(Y337=Z337,"No","Yes")</f>
        <v/>
      </c>
      <c r="AB460" s="365" t="inlineStr">
        <is>
          <t>NW222MA6502</t>
        </is>
      </c>
      <c r="AC460" s="364" t="inlineStr">
        <is>
          <t>短筒袜三条装</t>
        </is>
      </c>
    </row>
    <row r="461" ht="18" customHeight="1" s="229">
      <c r="A461" s="590" t="inlineStr">
        <is>
          <t>Men's Polo Shirt</t>
        </is>
      </c>
      <c r="B461" s="591" t="inlineStr">
        <is>
          <t>Men</t>
        </is>
      </c>
      <c r="C461" s="592" t="inlineStr">
        <is>
          <t>REMOVE</t>
        </is>
      </c>
      <c r="D461" s="593" t="inlineStr">
        <is>
          <t>Very low sales (&lt;$500 in 90 days)</t>
        </is>
      </c>
      <c r="E461" s="593" t="inlineStr">
        <is>
          <t>4 — LOW (natural sellthrough)</t>
        </is>
      </c>
      <c r="F461" s="594" t="inlineStr">
        <is>
          <t>Remove</t>
        </is>
      </c>
      <c r="G461" s="593" t="n"/>
      <c r="H461" s="595" t="n">
        <v>278.94</v>
      </c>
      <c r="I461" s="595" t="n">
        <v>373.8</v>
      </c>
      <c r="J461" s="595" t="n">
        <v>-94.86</v>
      </c>
      <c r="K461" s="600" t="n">
        <v>0.254</v>
      </c>
      <c r="L461" s="597" t="n">
        <v>6</v>
      </c>
      <c r="M461" s="595" t="n">
        <v>46.49</v>
      </c>
      <c r="N461" s="598" t="n">
        <v>0.0002</v>
      </c>
      <c r="O461" s="598" t="n">
        <v>0.992</v>
      </c>
      <c r="P461" s="594" t="n">
        <v>7</v>
      </c>
      <c r="Q461" s="595" t="n">
        <v>8</v>
      </c>
      <c r="R461" s="597" t="n">
        <v>6</v>
      </c>
      <c r="S461" s="597" t="n">
        <v>0</v>
      </c>
      <c r="T461" s="597" t="n">
        <v>51</v>
      </c>
      <c r="U461" s="597" t="n">
        <v>246</v>
      </c>
      <c r="V461" s="597">
        <f>S340+T340</f>
        <v/>
      </c>
      <c r="W461" s="597">
        <f>S340+T340+U340</f>
        <v/>
      </c>
      <c r="X461" s="597">
        <f>W340*Q340</f>
        <v/>
      </c>
      <c r="Y461" s="595" t="n">
        <v>89</v>
      </c>
      <c r="Z461" s="595" t="n">
        <v>62.3</v>
      </c>
      <c r="AA461" s="594">
        <f>IF(Y340=Z340,"No","Yes")</f>
        <v/>
      </c>
      <c r="AB461" s="594" t="inlineStr">
        <is>
          <t>NW231MB3302</t>
        </is>
      </c>
      <c r="AC461" s="593" t="inlineStr">
        <is>
          <t>polo衫</t>
        </is>
      </c>
    </row>
    <row r="462" ht="18" customHeight="1" s="229">
      <c r="A462" s="606" t="inlineStr">
        <is>
          <t>GIFT CARDS  —  1 products</t>
        </is>
      </c>
      <c r="B462" s="568" t="n"/>
      <c r="C462" s="568" t="n"/>
      <c r="D462" s="568" t="n"/>
      <c r="E462" s="568" t="n"/>
      <c r="F462" s="568" t="n"/>
      <c r="G462" s="568" t="n"/>
      <c r="H462" s="568" t="n"/>
      <c r="I462" s="568" t="n"/>
      <c r="J462" s="568" t="n"/>
      <c r="K462" s="568" t="n"/>
      <c r="L462" s="568" t="n"/>
      <c r="M462" s="568" t="n"/>
      <c r="N462" s="568" t="n"/>
      <c r="O462" s="568" t="n"/>
      <c r="P462" s="568" t="n"/>
      <c r="Q462" s="568" t="n"/>
      <c r="R462" s="568" t="n"/>
      <c r="S462" s="568" t="n"/>
      <c r="T462" s="568" t="n"/>
      <c r="U462" s="568" t="n"/>
      <c r="V462" s="568" t="n"/>
      <c r="W462" s="568" t="n"/>
      <c r="X462" s="568" t="n"/>
      <c r="Y462" s="568" t="n"/>
      <c r="Z462" s="568" t="n"/>
      <c r="AA462" s="568" t="n"/>
      <c r="AB462" s="568" t="n"/>
      <c r="AC462" s="568" t="n"/>
    </row>
    <row r="463" ht="18" customHeight="1" s="229">
      <c r="A463" s="590" t="inlineStr">
        <is>
          <t>NEIWAI Gift Card</t>
        </is>
      </c>
      <c r="B463" s="591" t="inlineStr">
        <is>
          <t>Gift Cards</t>
        </is>
      </c>
      <c r="C463" s="592" t="inlineStr">
        <is>
          <t>REMOVE</t>
        </is>
      </c>
      <c r="D463" s="593" t="inlineStr">
        <is>
          <t>Below threshold — long tail</t>
        </is>
      </c>
      <c r="E463" s="593" t="inlineStr">
        <is>
          <t>4 — LOW (natural sellthrough)</t>
        </is>
      </c>
      <c r="F463" s="594" t="inlineStr">
        <is>
          <t>Keep</t>
        </is>
      </c>
      <c r="G463" s="593" t="inlineStr">
        <is>
          <t>Keep, Gift Card</t>
        </is>
      </c>
      <c r="H463" s="595" t="n">
        <v>2915</v>
      </c>
      <c r="I463" s="595" t="n">
        <v>3050</v>
      </c>
      <c r="J463" s="595" t="n">
        <v>-135</v>
      </c>
      <c r="K463" s="596" t="n">
        <v>0.044</v>
      </c>
      <c r="L463" s="597" t="n">
        <v>31</v>
      </c>
      <c r="M463" s="595" t="n">
        <v>94.03</v>
      </c>
      <c r="N463" s="598" t="n">
        <v>0.0016</v>
      </c>
      <c r="O463" s="598" t="n">
        <v>0.8310999999999999</v>
      </c>
      <c r="P463" s="594" t="n">
        <v>5</v>
      </c>
      <c r="Q463" s="595" t="n">
        <v>8</v>
      </c>
      <c r="R463" s="597" t="n">
        <v>30</v>
      </c>
      <c r="S463" s="597" t="n">
        <v>0</v>
      </c>
      <c r="T463" s="597" t="n">
        <v>0</v>
      </c>
      <c r="U463" s="597" t="n">
        <v>0</v>
      </c>
      <c r="V463" s="597">
        <f>S62+T62</f>
        <v/>
      </c>
      <c r="W463" s="597">
        <f>S62+T62+U62</f>
        <v/>
      </c>
      <c r="X463" s="597">
        <f>W62*Q62</f>
        <v/>
      </c>
      <c r="Y463" s="595" t="n">
        <v>50</v>
      </c>
      <c r="Z463" s="595" t="n">
        <v>50</v>
      </c>
      <c r="AA463" s="594">
        <f>IF(Y62=Z62,"No","Yes")</f>
        <v/>
      </c>
      <c r="AB463" s="594" t="e">
        <v>#N/A</v>
      </c>
      <c r="AC463" s="593" t="e">
        <v>#N/A</v>
      </c>
    </row>
    <row r="464" ht="18" customHeight="1" s="229">
      <c r="A464" s="606" t="inlineStr">
        <is>
          <t>ACCESSORIES  —  8 products</t>
        </is>
      </c>
      <c r="B464" s="568" t="n"/>
      <c r="C464" s="568" t="n"/>
      <c r="D464" s="568" t="n"/>
      <c r="E464" s="568" t="n"/>
      <c r="F464" s="568" t="n"/>
      <c r="G464" s="568" t="n"/>
      <c r="H464" s="568" t="n"/>
      <c r="I464" s="568" t="n"/>
      <c r="J464" s="568" t="n"/>
      <c r="K464" s="568" t="n"/>
      <c r="L464" s="568" t="n"/>
      <c r="M464" s="568" t="n"/>
      <c r="N464" s="568" t="n"/>
      <c r="O464" s="568" t="n"/>
      <c r="P464" s="568" t="n"/>
      <c r="Q464" s="568" t="n"/>
      <c r="R464" s="568" t="n"/>
      <c r="S464" s="568" t="n"/>
      <c r="T464" s="568" t="n"/>
      <c r="U464" s="568" t="n"/>
      <c r="V464" s="568" t="n"/>
      <c r="W464" s="568" t="n"/>
      <c r="X464" s="568" t="n"/>
      <c r="Y464" s="568" t="n"/>
      <c r="Z464" s="568" t="n"/>
      <c r="AA464" s="568" t="n"/>
      <c r="AB464" s="568" t="n"/>
      <c r="AC464" s="568" t="n"/>
    </row>
    <row r="465" ht="18" customHeight="1" s="229">
      <c r="A465" s="590" t="inlineStr">
        <is>
          <t>Women's Socks (3-Pack)</t>
        </is>
      </c>
      <c r="B465" s="591" t="inlineStr">
        <is>
          <t>Accessories</t>
        </is>
      </c>
      <c r="C465" s="592" t="inlineStr">
        <is>
          <t>REMOVE</t>
        </is>
      </c>
      <c r="D465" s="593" t="inlineStr">
        <is>
          <t>Below threshold — long tail</t>
        </is>
      </c>
      <c r="E465" s="593" t="inlineStr">
        <is>
          <t>4 — LOW (natural sellthrough)</t>
        </is>
      </c>
      <c r="F465" s="594" t="inlineStr">
        <is>
          <t>Remove</t>
        </is>
      </c>
      <c r="G465" s="593" t="inlineStr">
        <is>
          <t>OOS</t>
        </is>
      </c>
      <c r="H465" s="595" t="n">
        <v>1018.48</v>
      </c>
      <c r="I465" s="595" t="n">
        <v>1435</v>
      </c>
      <c r="J465" s="595" t="n">
        <v>-416.52</v>
      </c>
      <c r="K465" s="600" t="n">
        <v>0.29</v>
      </c>
      <c r="L465" s="597" t="n">
        <v>82</v>
      </c>
      <c r="M465" s="595" t="n">
        <v>12.42</v>
      </c>
      <c r="N465" s="598" t="n">
        <v>0.0005999999999999999</v>
      </c>
      <c r="O465" s="598" t="n">
        <v>0.9386</v>
      </c>
      <c r="P465" s="594" t="n">
        <v>1</v>
      </c>
      <c r="Q465" s="595" t="n">
        <v>8</v>
      </c>
      <c r="R465" s="597" t="n">
        <v>70</v>
      </c>
      <c r="S465" s="597" t="n">
        <v>0</v>
      </c>
      <c r="T465" s="597" t="n">
        <v>0</v>
      </c>
      <c r="U465" s="597" t="n">
        <v>0</v>
      </c>
      <c r="V465" s="597">
        <f>S177+T177</f>
        <v/>
      </c>
      <c r="W465" s="597">
        <f>S177+T177+U177</f>
        <v/>
      </c>
      <c r="X465" s="597">
        <f>W177*Q177</f>
        <v/>
      </c>
      <c r="Y465" s="595" t="n">
        <v>25</v>
      </c>
      <c r="Z465" s="595" t="n">
        <v>17.5</v>
      </c>
      <c r="AA465" s="594">
        <f>IF(Y177=Z177,"No","Yes")</f>
        <v/>
      </c>
      <c r="AB465" s="594" t="e">
        <v>#N/A</v>
      </c>
      <c r="AC465" s="593" t="e">
        <v>#N/A</v>
      </c>
    </row>
    <row r="466" ht="18" customHeight="1" s="229">
      <c r="A466" s="361" t="inlineStr">
        <is>
          <t>Crossbody Sport Bag</t>
        </is>
      </c>
      <c r="B466" s="362" t="inlineStr">
        <is>
          <t>Accessories</t>
        </is>
      </c>
      <c r="C466" s="589" t="inlineStr">
        <is>
          <t>REMOVE</t>
        </is>
      </c>
      <c r="D466" s="364" t="inlineStr">
        <is>
          <t>Very low sales (&lt;$500 in 90 days)</t>
        </is>
      </c>
      <c r="E466" s="364" t="inlineStr">
        <is>
          <t>2 — HIGH (excess inventory vs demand)</t>
        </is>
      </c>
      <c r="F466" s="365" t="inlineStr">
        <is>
          <t>Remove</t>
        </is>
      </c>
      <c r="G466" s="364" t="n"/>
      <c r="H466" s="366" t="n">
        <v>377.59</v>
      </c>
      <c r="I466" s="366" t="n">
        <v>474</v>
      </c>
      <c r="J466" s="366" t="n">
        <v>-96.41</v>
      </c>
      <c r="K466" s="380" t="n">
        <v>0.203</v>
      </c>
      <c r="L466" s="368" t="n">
        <v>6</v>
      </c>
      <c r="M466" s="366" t="n">
        <v>62.93</v>
      </c>
      <c r="N466" s="369" t="n">
        <v>0.0002</v>
      </c>
      <c r="O466" s="369" t="n">
        <v>0.9862000000000001</v>
      </c>
      <c r="P466" s="365" t="n">
        <v>2</v>
      </c>
      <c r="Q466" s="366" t="n">
        <v>8</v>
      </c>
      <c r="R466" s="368" t="n">
        <v>6</v>
      </c>
      <c r="S466" s="368" t="n">
        <v>0</v>
      </c>
      <c r="T466" s="368" t="n">
        <v>65</v>
      </c>
      <c r="U466" s="368" t="n">
        <v>0</v>
      </c>
      <c r="V466" s="368">
        <f>S312+T312</f>
        <v/>
      </c>
      <c r="W466" s="368">
        <f>S312+T312+U312</f>
        <v/>
      </c>
      <c r="X466" s="368">
        <f>W312*Q312</f>
        <v/>
      </c>
      <c r="Y466" s="366" t="n">
        <v>79</v>
      </c>
      <c r="Z466" s="366" t="n">
        <v>79</v>
      </c>
      <c r="AA466" s="365">
        <f>IF(Y312=Z312,"No","Yes")</f>
        <v/>
      </c>
      <c r="AB466" s="365" t="inlineStr">
        <is>
          <t>NA251SA6701</t>
        </is>
      </c>
      <c r="AC466" s="364" t="inlineStr">
        <is>
          <t>运动斜挎包</t>
        </is>
      </c>
    </row>
    <row r="467" ht="18" customHeight="1" s="229">
      <c r="A467" s="590" t="inlineStr">
        <is>
          <t>Barre Socks</t>
        </is>
      </c>
      <c r="B467" s="591" t="inlineStr">
        <is>
          <t>Accessories</t>
        </is>
      </c>
      <c r="C467" s="592" t="inlineStr">
        <is>
          <t>REMOVE</t>
        </is>
      </c>
      <c r="D467" s="593" t="inlineStr">
        <is>
          <t>Very low sales (&lt;$500 in 90 days)</t>
        </is>
      </c>
      <c r="E467" s="593" t="inlineStr">
        <is>
          <t>4 — LOW (natural sellthrough)</t>
        </is>
      </c>
      <c r="F467" s="594" t="inlineStr">
        <is>
          <t>Remove</t>
        </is>
      </c>
      <c r="G467" s="593" t="n"/>
      <c r="H467" s="595" t="n">
        <v>310</v>
      </c>
      <c r="I467" s="595" t="n">
        <v>420</v>
      </c>
      <c r="J467" s="595" t="n">
        <v>-96.56</v>
      </c>
      <c r="K467" s="596" t="n">
        <v>0.23</v>
      </c>
      <c r="L467" s="597" t="n">
        <v>20</v>
      </c>
      <c r="M467" s="595" t="n">
        <v>15.5</v>
      </c>
      <c r="N467" s="598" t="n">
        <v>0.0002</v>
      </c>
      <c r="O467" s="598" t="n">
        <v>0.9908</v>
      </c>
      <c r="P467" s="594" t="n">
        <v>2</v>
      </c>
      <c r="Q467" s="595" t="n">
        <v>8</v>
      </c>
      <c r="R467" s="597" t="n">
        <v>17</v>
      </c>
      <c r="S467" s="597" t="n">
        <v>0</v>
      </c>
      <c r="T467" s="597" t="n">
        <v>0</v>
      </c>
      <c r="U467" s="597" t="n">
        <v>42</v>
      </c>
      <c r="V467" s="597">
        <f>S334+T334</f>
        <v/>
      </c>
      <c r="W467" s="597">
        <f>S334+T334+U334</f>
        <v/>
      </c>
      <c r="X467" s="597">
        <f>W334*Q334</f>
        <v/>
      </c>
      <c r="Y467" s="595" t="n">
        <v>20</v>
      </c>
      <c r="Z467" s="595" t="n">
        <v>20</v>
      </c>
      <c r="AA467" s="594">
        <f>IF(Y334=Z334,"No","Yes")</f>
        <v/>
      </c>
      <c r="AB467" s="594" t="inlineStr">
        <is>
          <t>NA241SA6502</t>
        </is>
      </c>
      <c r="AC467" s="593" t="inlineStr">
        <is>
          <t>绑带芭杆袜</t>
        </is>
      </c>
    </row>
    <row r="468" ht="18" customHeight="1" s="229">
      <c r="A468" s="361" t="inlineStr">
        <is>
          <t>Active Convertible Bag</t>
        </is>
      </c>
      <c r="B468" s="362" t="inlineStr">
        <is>
          <t>Accessories</t>
        </is>
      </c>
      <c r="C468" s="589" t="inlineStr">
        <is>
          <t>REMOVE</t>
        </is>
      </c>
      <c r="D468" s="364" t="inlineStr">
        <is>
          <t>Very low sales (&lt;$500 in 90 days)</t>
        </is>
      </c>
      <c r="E468" s="364" t="inlineStr">
        <is>
          <t>4 — LOW (natural sellthrough)</t>
        </is>
      </c>
      <c r="F468" s="365" t="inlineStr">
        <is>
          <t>Remove</t>
        </is>
      </c>
      <c r="G468" s="364" t="inlineStr">
        <is>
          <t>OOS</t>
        </is>
      </c>
      <c r="H468" s="366" t="n">
        <v>259.08</v>
      </c>
      <c r="I468" s="366" t="n">
        <v>395</v>
      </c>
      <c r="J468" s="366" t="n">
        <v>-80.62</v>
      </c>
      <c r="K468" s="380" t="n">
        <v>0.204</v>
      </c>
      <c r="L468" s="368" t="n">
        <v>4</v>
      </c>
      <c r="M468" s="366" t="n">
        <v>64.77</v>
      </c>
      <c r="N468" s="369" t="n">
        <v>0.0001</v>
      </c>
      <c r="O468" s="369" t="n">
        <v>0.9933</v>
      </c>
      <c r="P468" s="365" t="n">
        <v>2</v>
      </c>
      <c r="Q468" s="366" t="n">
        <v>8</v>
      </c>
      <c r="R468" s="368" t="n">
        <v>5</v>
      </c>
      <c r="S468" s="368" t="n">
        <v>0</v>
      </c>
      <c r="T468" s="368" t="n">
        <v>0</v>
      </c>
      <c r="U468" s="368" t="n">
        <v>0</v>
      </c>
      <c r="V468" s="368">
        <f>S349+T349</f>
        <v/>
      </c>
      <c r="W468" s="368">
        <f>S349+T349+U349</f>
        <v/>
      </c>
      <c r="X468" s="368">
        <f>W349*Q349</f>
        <v/>
      </c>
      <c r="Y468" s="366" t="n">
        <v>79</v>
      </c>
      <c r="Z468" s="366" t="n">
        <v>79</v>
      </c>
      <c r="AA468" s="365">
        <f>IF(Y349=Z349,"No","Yes")</f>
        <v/>
      </c>
      <c r="AB468" s="365" t="e">
        <v>#N/A</v>
      </c>
      <c r="AC468" s="364" t="e">
        <v>#N/A</v>
      </c>
    </row>
    <row r="469" ht="18" customHeight="1" s="229">
      <c r="A469" s="590" t="inlineStr">
        <is>
          <t>Visor</t>
        </is>
      </c>
      <c r="B469" s="591" t="inlineStr">
        <is>
          <t>Accessories</t>
        </is>
      </c>
      <c r="C469" s="592" t="inlineStr">
        <is>
          <t>REMOVE</t>
        </is>
      </c>
      <c r="D469" s="593" t="inlineStr">
        <is>
          <t>Very low sales (&lt;$500 in 90 days)</t>
        </is>
      </c>
      <c r="E469" s="593" t="inlineStr">
        <is>
          <t>4 — LOW (natural sellthrough)</t>
        </is>
      </c>
      <c r="F469" s="594" t="inlineStr">
        <is>
          <t>Remove</t>
        </is>
      </c>
      <c r="G469" s="593" t="n"/>
      <c r="H469" s="595" t="n">
        <v>189.35</v>
      </c>
      <c r="I469" s="595" t="n">
        <v>280</v>
      </c>
      <c r="J469" s="595" t="n">
        <v>-90.65000000000001</v>
      </c>
      <c r="K469" s="600" t="n">
        <v>0.324</v>
      </c>
      <c r="L469" s="597" t="n">
        <v>8</v>
      </c>
      <c r="M469" s="595" t="n">
        <v>23.67</v>
      </c>
      <c r="N469" s="598" t="n">
        <v>0.0001</v>
      </c>
      <c r="O469" s="598" t="n">
        <v>0.9953</v>
      </c>
      <c r="P469" s="594" t="n">
        <v>2</v>
      </c>
      <c r="Q469" s="595" t="n">
        <v>8</v>
      </c>
      <c r="R469" s="597" t="n">
        <v>8</v>
      </c>
      <c r="S469" s="597" t="n">
        <v>0</v>
      </c>
      <c r="T469" s="597" t="n">
        <v>10</v>
      </c>
      <c r="U469" s="597" t="n">
        <v>18</v>
      </c>
      <c r="V469" s="597">
        <f>S369+T369</f>
        <v/>
      </c>
      <c r="W469" s="597">
        <f>S369+T369+U369</f>
        <v/>
      </c>
      <c r="X469" s="597">
        <f>W369*Q369</f>
        <v/>
      </c>
      <c r="Y469" s="595" t="n">
        <v>35</v>
      </c>
      <c r="Z469" s="595" t="n">
        <v>35</v>
      </c>
      <c r="AA469" s="594">
        <f>IF(Y369=Z369,"No","Yes")</f>
        <v/>
      </c>
      <c r="AB469" s="594" t="inlineStr">
        <is>
          <t>NA241SA6102</t>
        </is>
      </c>
      <c r="AC469" s="593" t="inlineStr">
        <is>
          <t>空顶帽</t>
        </is>
      </c>
    </row>
    <row r="470" ht="18" customHeight="1" s="229">
      <c r="A470" s="361" t="inlineStr">
        <is>
          <t>Abstract Pattern Cotton Socks</t>
        </is>
      </c>
      <c r="B470" s="362" t="inlineStr">
        <is>
          <t>Accessories</t>
        </is>
      </c>
      <c r="C470" s="589" t="inlineStr">
        <is>
          <t>REMOVE</t>
        </is>
      </c>
      <c r="D470" s="364" t="inlineStr">
        <is>
          <t>Very low sales (&lt;$500 in 90 days)</t>
        </is>
      </c>
      <c r="E470" s="364" t="inlineStr">
        <is>
          <t>4 — LOW (natural sellthrough)</t>
        </is>
      </c>
      <c r="F470" s="365" t="inlineStr">
        <is>
          <t>Remove</t>
        </is>
      </c>
      <c r="G470" s="364" t="inlineStr">
        <is>
          <t>OOS</t>
        </is>
      </c>
      <c r="H470" s="366" t="n">
        <v>101.64</v>
      </c>
      <c r="I470" s="366" t="n">
        <v>151.2</v>
      </c>
      <c r="J470" s="366" t="n">
        <v>-49.56</v>
      </c>
      <c r="K470" s="367" t="n">
        <v>0.328</v>
      </c>
      <c r="L470" s="368" t="n">
        <v>18</v>
      </c>
      <c r="M470" s="366" t="n">
        <v>5.65</v>
      </c>
      <c r="N470" s="369" t="n">
        <v>0.0001</v>
      </c>
      <c r="O470" s="369" t="n">
        <v>0.9986</v>
      </c>
      <c r="P470" s="365" t="n">
        <v>2</v>
      </c>
      <c r="Q470" s="366" t="n">
        <v>8</v>
      </c>
      <c r="R470" s="368" t="n">
        <v>17</v>
      </c>
      <c r="S470" s="368" t="n">
        <v>0</v>
      </c>
      <c r="T470" s="368" t="n">
        <v>0</v>
      </c>
      <c r="U470" s="368" t="n">
        <v>0</v>
      </c>
      <c r="V470" s="368">
        <f>S402+T402</f>
        <v/>
      </c>
      <c r="W470" s="368">
        <f>S402+T402+U402</f>
        <v/>
      </c>
      <c r="X470" s="368">
        <f>W402*Q402</f>
        <v/>
      </c>
      <c r="Y470" s="366" t="n">
        <v>12</v>
      </c>
      <c r="Z470" s="366" t="n">
        <v>8.4</v>
      </c>
      <c r="AA470" s="365">
        <f>IF(Y402=Z402,"No","Yes")</f>
        <v/>
      </c>
      <c r="AB470" s="365" t="e">
        <v>#N/A</v>
      </c>
      <c r="AC470" s="364" t="e">
        <v>#N/A</v>
      </c>
    </row>
    <row r="471" ht="18" customHeight="1" s="229">
      <c r="A471" s="590" t="inlineStr">
        <is>
          <t>Mousse Headband</t>
        </is>
      </c>
      <c r="B471" s="591" t="inlineStr">
        <is>
          <t>Accessories</t>
        </is>
      </c>
      <c r="C471" s="592" t="inlineStr">
        <is>
          <t>REMOVE</t>
        </is>
      </c>
      <c r="D471" s="593" t="inlineStr">
        <is>
          <t>Negligible sales (&lt;$100 in 90 days)</t>
        </is>
      </c>
      <c r="E471" s="593" t="inlineStr">
        <is>
          <t>4 — LOW (natural sellthrough)</t>
        </is>
      </c>
      <c r="F471" s="594" t="inlineStr">
        <is>
          <t>Remove</t>
        </is>
      </c>
      <c r="G471" s="593" t="inlineStr">
        <is>
          <t>Almost OOS</t>
        </is>
      </c>
      <c r="H471" s="595" t="n">
        <v>91.2</v>
      </c>
      <c r="I471" s="595" t="n">
        <v>133</v>
      </c>
      <c r="J471" s="595" t="n">
        <v>-26.6</v>
      </c>
      <c r="K471" s="596" t="n">
        <v>0.2</v>
      </c>
      <c r="L471" s="597" t="n">
        <v>6</v>
      </c>
      <c r="M471" s="595" t="n">
        <v>15.2</v>
      </c>
      <c r="N471" s="598" t="n">
        <v>0.0001</v>
      </c>
      <c r="O471" s="598" t="n">
        <v>0.9989</v>
      </c>
      <c r="P471" s="594" t="n">
        <v>2</v>
      </c>
      <c r="Q471" s="595" t="n">
        <v>8</v>
      </c>
      <c r="R471" s="597" t="n">
        <v>7</v>
      </c>
      <c r="S471" s="597" t="n">
        <v>0</v>
      </c>
      <c r="T471" s="597" t="n">
        <v>7</v>
      </c>
      <c r="U471" s="597" t="n">
        <v>0</v>
      </c>
      <c r="V471" s="597">
        <f>S405+T405</f>
        <v/>
      </c>
      <c r="W471" s="597">
        <f>S405+T405+U405</f>
        <v/>
      </c>
      <c r="X471" s="597">
        <f>W405*Q405</f>
        <v/>
      </c>
      <c r="Y471" s="595" t="n">
        <v>19</v>
      </c>
      <c r="Z471" s="595" t="n">
        <v>19</v>
      </c>
      <c r="AA471" s="594">
        <f>IF(Y405=Z405,"No","Yes")</f>
        <v/>
      </c>
      <c r="AB471" s="594" t="inlineStr">
        <is>
          <t>NA232SA6601</t>
        </is>
      </c>
      <c r="AC471" s="593" t="inlineStr">
        <is>
          <t>慕斯基础运动发带</t>
        </is>
      </c>
    </row>
    <row r="472" ht="18" customHeight="1" s="229">
      <c r="A472" s="361" t="inlineStr">
        <is>
          <t>Mesh Hairband</t>
        </is>
      </c>
      <c r="B472" s="362" t="inlineStr">
        <is>
          <t>Accessories</t>
        </is>
      </c>
      <c r="C472" s="589" t="inlineStr">
        <is>
          <t>REMOVE</t>
        </is>
      </c>
      <c r="D472" s="364" t="inlineStr">
        <is>
          <t>Negligible sales (&lt;$100 in 90 days)</t>
        </is>
      </c>
      <c r="E472" s="364" t="inlineStr">
        <is>
          <t>4 — LOW (natural sellthrough)</t>
        </is>
      </c>
      <c r="F472" s="365" t="inlineStr">
        <is>
          <t>Remove</t>
        </is>
      </c>
      <c r="G472" s="364" t="n"/>
      <c r="H472" s="366" t="n">
        <v>37.33</v>
      </c>
      <c r="I472" s="366" t="n">
        <v>76</v>
      </c>
      <c r="J472" s="366" t="n">
        <v>-23.47</v>
      </c>
      <c r="K472" s="367" t="n">
        <v>0.309</v>
      </c>
      <c r="L472" s="368" t="n">
        <v>3</v>
      </c>
      <c r="M472" s="366" t="n">
        <v>12.44</v>
      </c>
      <c r="N472" s="365" t="n">
        <v>0</v>
      </c>
      <c r="O472" s="369" t="n">
        <v>0.9989</v>
      </c>
      <c r="P472" s="365" t="n">
        <v>1</v>
      </c>
      <c r="Q472" s="366" t="n">
        <v>8</v>
      </c>
      <c r="R472" s="368" t="n">
        <v>4</v>
      </c>
      <c r="S472" s="368" t="n">
        <v>0</v>
      </c>
      <c r="T472" s="368" t="n">
        <v>1</v>
      </c>
      <c r="U472" s="368" t="n">
        <v>8</v>
      </c>
      <c r="V472" s="368">
        <f>S438+T438</f>
        <v/>
      </c>
      <c r="W472" s="368">
        <f>S438+T438+U438</f>
        <v/>
      </c>
      <c r="X472" s="368">
        <f>W438*Q438</f>
        <v/>
      </c>
      <c r="Y472" s="366" t="n">
        <v>19</v>
      </c>
      <c r="Z472" s="366" t="n">
        <v>19</v>
      </c>
      <c r="AA472" s="365">
        <f>IF(Y438=Z438,"No","Yes")</f>
        <v/>
      </c>
      <c r="AB472" s="365" t="inlineStr">
        <is>
          <t>NA241SA6601</t>
        </is>
      </c>
      <c r="AC472" s="364" t="inlineStr">
        <is>
          <t>网面发带</t>
        </is>
      </c>
    </row>
    <row r="473" ht="18" customHeight="1" s="229">
      <c r="A473" s="607" t="inlineStr">
        <is>
          <t>SAMPLE  —  1 products</t>
        </is>
      </c>
      <c r="B473" s="603" t="n"/>
      <c r="C473" s="603" t="n"/>
      <c r="D473" s="603" t="n"/>
      <c r="E473" s="603" t="n"/>
      <c r="F473" s="603" t="n"/>
      <c r="G473" s="603" t="n"/>
      <c r="H473" s="603" t="n"/>
      <c r="I473" s="603" t="n"/>
      <c r="J473" s="603" t="n"/>
      <c r="K473" s="603" t="n"/>
      <c r="L473" s="603" t="n"/>
      <c r="M473" s="603" t="n"/>
      <c r="N473" s="603" t="n"/>
      <c r="O473" s="603" t="n"/>
      <c r="P473" s="603" t="n"/>
      <c r="Q473" s="603" t="n"/>
      <c r="R473" s="603" t="n"/>
      <c r="S473" s="603" t="n"/>
      <c r="T473" s="603" t="n"/>
      <c r="U473" s="603" t="n"/>
      <c r="V473" s="603" t="n"/>
      <c r="W473" s="603" t="n"/>
      <c r="X473" s="603" t="n"/>
      <c r="Y473" s="603" t="n"/>
      <c r="Z473" s="603" t="n"/>
      <c r="AA473" s="603" t="n"/>
      <c r="AB473" s="603" t="n"/>
      <c r="AC473" s="603" t="n"/>
    </row>
    <row r="474" ht="18" customHeight="1" s="229">
      <c r="A474" s="361" t="inlineStr">
        <is>
          <t>Laid Back Ribbed Pajama Top</t>
        </is>
      </c>
      <c r="B474" s="362" t="inlineStr">
        <is>
          <t>Sample</t>
        </is>
      </c>
      <c r="C474" s="589" t="inlineStr">
        <is>
          <t>REMOVE</t>
        </is>
      </c>
      <c r="D474" s="364" t="inlineStr">
        <is>
          <t>Very low sales (&lt;$500 in 90 days)</t>
        </is>
      </c>
      <c r="E474" s="364" t="inlineStr">
        <is>
          <t>4 — LOW (natural sellthrough)</t>
        </is>
      </c>
      <c r="F474" s="365" t="inlineStr">
        <is>
          <t>Remove</t>
        </is>
      </c>
      <c r="G474" s="364" t="n"/>
      <c r="H474" s="366" t="n">
        <v>224.79</v>
      </c>
      <c r="I474" s="366" t="n">
        <v>247.8</v>
      </c>
      <c r="J474" s="366" t="n">
        <v>-23.01</v>
      </c>
      <c r="K474" s="380" t="n">
        <v>0.09300000000000001</v>
      </c>
      <c r="L474" s="368" t="n">
        <v>7</v>
      </c>
      <c r="M474" s="366" t="n">
        <v>32.11</v>
      </c>
      <c r="N474" s="369" t="n">
        <v>0.0001</v>
      </c>
      <c r="O474" s="369" t="n">
        <v>0.9945000000000001</v>
      </c>
      <c r="P474" s="365" t="n">
        <v>4</v>
      </c>
      <c r="Q474" s="366" t="n">
        <v>8</v>
      </c>
      <c r="R474" s="368" t="n">
        <v>7</v>
      </c>
      <c r="S474" s="368" t="n">
        <v>0</v>
      </c>
      <c r="T474" s="368" t="n">
        <v>26</v>
      </c>
      <c r="U474" s="368" t="n">
        <v>174</v>
      </c>
      <c r="V474" s="368">
        <f>S361+T361</f>
        <v/>
      </c>
      <c r="W474" s="368">
        <f>S361+T361+U361</f>
        <v/>
      </c>
      <c r="X474" s="368">
        <f>W361*Q361</f>
        <v/>
      </c>
      <c r="Y474" s="366" t="n">
        <v>59</v>
      </c>
      <c r="Z474" s="366" t="n">
        <v>30</v>
      </c>
      <c r="AA474" s="365">
        <f>IF(Y361=Z361,"No","Yes")</f>
        <v/>
      </c>
      <c r="AB474" s="365" t="inlineStr">
        <is>
          <t>NW221WL3305</t>
        </is>
      </c>
      <c r="AC474" s="364" t="inlineStr">
        <is>
          <t>罗纹中袖上衣</t>
        </is>
      </c>
    </row>
    <row r="475" ht="18" customHeight="1" s="229">
      <c r="A475" s="607" t="inlineStr">
        <is>
          <t>OTHER  —  18 products</t>
        </is>
      </c>
      <c r="B475" s="603" t="n"/>
      <c r="C475" s="603" t="n"/>
      <c r="D475" s="603" t="n"/>
      <c r="E475" s="603" t="n"/>
      <c r="F475" s="603" t="n"/>
      <c r="G475" s="603" t="n"/>
      <c r="H475" s="603" t="n"/>
      <c r="I475" s="603" t="n"/>
      <c r="J475" s="603" t="n"/>
      <c r="K475" s="603" t="n"/>
      <c r="L475" s="603" t="n"/>
      <c r="M475" s="603" t="n"/>
      <c r="N475" s="603" t="n"/>
      <c r="O475" s="603" t="n"/>
      <c r="P475" s="603" t="n"/>
      <c r="Q475" s="603" t="n"/>
      <c r="R475" s="603" t="n"/>
      <c r="S475" s="603" t="n"/>
      <c r="T475" s="603" t="n"/>
      <c r="U475" s="603" t="n"/>
      <c r="V475" s="603" t="n"/>
      <c r="W475" s="603" t="n"/>
      <c r="X475" s="603" t="n"/>
      <c r="Y475" s="603" t="n"/>
      <c r="Z475" s="603" t="n"/>
      <c r="AA475" s="603" t="n"/>
      <c r="AB475" s="603" t="n"/>
      <c r="AC475" s="603" t="n"/>
    </row>
    <row r="476" ht="18" customHeight="1" s="229">
      <c r="A476" s="361" t="inlineStr">
        <is>
          <t>Essential Padded Camisole - Shadow Pink</t>
        </is>
      </c>
      <c r="B476" s="362" t="n"/>
      <c r="C476" s="589" t="inlineStr">
        <is>
          <t>REMOVE</t>
        </is>
      </c>
      <c r="D476" s="364" t="inlineStr">
        <is>
          <t>Negligible sales (&lt;$100 in 90 days)</t>
        </is>
      </c>
      <c r="E476" s="364" t="inlineStr">
        <is>
          <t>4 — LOW (natural sellthrough)</t>
        </is>
      </c>
      <c r="F476" s="365" t="inlineStr">
        <is>
          <t>Remove</t>
        </is>
      </c>
      <c r="G476" s="364" t="inlineStr">
        <is>
          <t>Not an actual product</t>
        </is>
      </c>
      <c r="H476" s="366" t="n">
        <v>48.3</v>
      </c>
      <c r="I476" s="366" t="n">
        <v>48.3</v>
      </c>
      <c r="J476" s="366" t="n">
        <v>0</v>
      </c>
      <c r="K476" s="365" t="n">
        <v>0</v>
      </c>
      <c r="L476" s="368" t="n">
        <v>1</v>
      </c>
      <c r="M476" s="366" t="n">
        <v>48.3</v>
      </c>
      <c r="N476" s="365" t="n">
        <v>0</v>
      </c>
      <c r="O476" s="369" t="n">
        <v>0.9989</v>
      </c>
      <c r="P476" s="365" t="n">
        <v>0</v>
      </c>
      <c r="Q476" s="366" t="n">
        <v>8</v>
      </c>
      <c r="R476" s="368" t="n">
        <v>1</v>
      </c>
      <c r="S476" s="368" t="n">
        <v>0</v>
      </c>
      <c r="T476" s="368" t="n">
        <v>0</v>
      </c>
      <c r="U476" s="368" t="n">
        <v>0</v>
      </c>
      <c r="V476" s="368">
        <f>S432+T432</f>
        <v/>
      </c>
      <c r="W476" s="368">
        <f>S432+T432+U432</f>
        <v/>
      </c>
      <c r="X476" s="368">
        <f>W432*Q432</f>
        <v/>
      </c>
      <c r="Y476" s="368" t="e">
        <v>#N/A</v>
      </c>
      <c r="Z476" s="368" t="e">
        <v>#N/A</v>
      </c>
      <c r="AA476" s="365">
        <f>IF(Y432=Z432,"No","Yes")</f>
        <v/>
      </c>
      <c r="AB476" s="365" t="e">
        <v>#N/A</v>
      </c>
      <c r="AC476" s="364" t="e">
        <v>#N/A</v>
      </c>
    </row>
    <row r="477" ht="18" customHeight="1" s="229">
      <c r="A477" s="590" t="inlineStr">
        <is>
          <t>Essential Padded Camisole - Snow White</t>
        </is>
      </c>
      <c r="B477" s="591" t="n"/>
      <c r="C477" s="592" t="inlineStr">
        <is>
          <t>REMOVE</t>
        </is>
      </c>
      <c r="D477" s="593" t="inlineStr">
        <is>
          <t>Negligible sales (&lt;$100 in 90 days)</t>
        </is>
      </c>
      <c r="E477" s="593" t="inlineStr">
        <is>
          <t>4 — LOW (natural sellthrough)</t>
        </is>
      </c>
      <c r="F477" s="594" t="inlineStr">
        <is>
          <t>Remove</t>
        </is>
      </c>
      <c r="G477" s="593" t="inlineStr">
        <is>
          <t>Not an actual product</t>
        </is>
      </c>
      <c r="H477" s="595" t="n">
        <v>48.3</v>
      </c>
      <c r="I477" s="595" t="n">
        <v>48.3</v>
      </c>
      <c r="J477" s="595" t="n">
        <v>0</v>
      </c>
      <c r="K477" s="594" t="n">
        <v>0</v>
      </c>
      <c r="L477" s="597" t="n">
        <v>1</v>
      </c>
      <c r="M477" s="595" t="n">
        <v>48.3</v>
      </c>
      <c r="N477" s="594" t="n">
        <v>0</v>
      </c>
      <c r="O477" s="598" t="n">
        <v>0.9989</v>
      </c>
      <c r="P477" s="594" t="n">
        <v>0</v>
      </c>
      <c r="Q477" s="595" t="n">
        <v>8</v>
      </c>
      <c r="R477" s="597" t="n">
        <v>1</v>
      </c>
      <c r="S477" s="597" t="n">
        <v>0</v>
      </c>
      <c r="T477" s="597" t="n">
        <v>0</v>
      </c>
      <c r="U477" s="597" t="n">
        <v>0</v>
      </c>
      <c r="V477" s="597">
        <f>S433+T433</f>
        <v/>
      </c>
      <c r="W477" s="597">
        <f>S433+T433+U433</f>
        <v/>
      </c>
      <c r="X477" s="597">
        <f>W433*Q433</f>
        <v/>
      </c>
      <c r="Y477" s="597" t="e">
        <v>#N/A</v>
      </c>
      <c r="Z477" s="597" t="e">
        <v>#N/A</v>
      </c>
      <c r="AA477" s="594">
        <f>IF(Y433=Z433,"No","Yes")</f>
        <v/>
      </c>
      <c r="AB477" s="594" t="e">
        <v>#N/A</v>
      </c>
      <c r="AC477" s="593" t="e">
        <v>#N/A</v>
      </c>
    </row>
    <row r="478" ht="18" customHeight="1" s="229">
      <c r="A478" s="578" t="inlineStr">
        <is>
          <t>Barely Zero Fixed Cup Wavy Bra - Extended Sizes/ M-L / Sand Beige</t>
        </is>
      </c>
      <c r="B478" s="579" t="n"/>
      <c r="C478" s="580" t="inlineStr">
        <is>
          <t>KEEP — Tier 1</t>
        </is>
      </c>
      <c r="D478" s="581" t="inlineStr">
        <is>
          <t>Core Barely Zero</t>
        </is>
      </c>
      <c r="E478" s="581" t="n"/>
      <c r="F478" s="582" t="inlineStr">
        <is>
          <t>Remove</t>
        </is>
      </c>
      <c r="G478" s="581" t="inlineStr">
        <is>
          <t>Not an actual product</t>
        </is>
      </c>
      <c r="H478" s="583" t="n">
        <v>34.3</v>
      </c>
      <c r="I478" s="583" t="n">
        <v>49</v>
      </c>
      <c r="J478" s="583" t="n">
        <v>-14.7</v>
      </c>
      <c r="K478" s="584" t="n">
        <v>0.3</v>
      </c>
      <c r="L478" s="585" t="n">
        <v>1</v>
      </c>
      <c r="M478" s="583" t="n">
        <v>34.3</v>
      </c>
      <c r="N478" s="582" t="n">
        <v>0</v>
      </c>
      <c r="O478" s="586" t="n">
        <v>0.9989</v>
      </c>
      <c r="P478" s="582" t="n">
        <v>0</v>
      </c>
      <c r="Q478" s="583" t="n">
        <v>8</v>
      </c>
      <c r="R478" s="585" t="n">
        <v>1</v>
      </c>
      <c r="S478" s="585" t="n">
        <v>0</v>
      </c>
      <c r="T478" s="585" t="n">
        <v>0</v>
      </c>
      <c r="U478" s="585" t="n">
        <v>0</v>
      </c>
      <c r="V478" s="585">
        <f>S442+T442</f>
        <v/>
      </c>
      <c r="W478" s="585">
        <f>S442+T442+U442</f>
        <v/>
      </c>
      <c r="X478" s="585">
        <f>W442*Q442</f>
        <v/>
      </c>
      <c r="Y478" s="585" t="e">
        <v>#N/A</v>
      </c>
      <c r="Z478" s="585" t="e">
        <v>#N/A</v>
      </c>
      <c r="AA478" s="582">
        <f>IF(Y442=Z442,"No","Yes")</f>
        <v/>
      </c>
      <c r="AB478" s="582" t="e">
        <v>#N/A</v>
      </c>
      <c r="AC478" s="581" t="e">
        <v>#N/A</v>
      </c>
    </row>
    <row r="479" ht="18" customHeight="1" s="229">
      <c r="A479" s="569" t="inlineStr">
        <is>
          <t>Barely Zero Leggings/One Size/Black Truffle</t>
        </is>
      </c>
      <c r="B479" s="570" t="n"/>
      <c r="C479" s="571" t="inlineStr">
        <is>
          <t>KEEP — Tier 1</t>
        </is>
      </c>
      <c r="D479" s="572" t="inlineStr">
        <is>
          <t>Core Barely Zero</t>
        </is>
      </c>
      <c r="E479" s="572" t="n"/>
      <c r="F479" s="573" t="inlineStr">
        <is>
          <t>Remove</t>
        </is>
      </c>
      <c r="G479" s="572" t="inlineStr">
        <is>
          <t>Not an actual product</t>
        </is>
      </c>
      <c r="H479" s="574" t="n">
        <v>27.3</v>
      </c>
      <c r="I479" s="574" t="n">
        <v>39</v>
      </c>
      <c r="J479" s="574" t="n">
        <v>-11.7</v>
      </c>
      <c r="K479" s="575" t="n">
        <v>0.3</v>
      </c>
      <c r="L479" s="576" t="n">
        <v>1</v>
      </c>
      <c r="M479" s="574" t="n">
        <v>27.3</v>
      </c>
      <c r="N479" s="573" t="n">
        <v>0</v>
      </c>
      <c r="O479" s="577" t="n">
        <v>0.9989</v>
      </c>
      <c r="P479" s="573" t="n">
        <v>0</v>
      </c>
      <c r="Q479" s="574" t="n">
        <v>8</v>
      </c>
      <c r="R479" s="576" t="n">
        <v>1</v>
      </c>
      <c r="S479" s="576" t="n">
        <v>0</v>
      </c>
      <c r="T479" s="576" t="n">
        <v>0</v>
      </c>
      <c r="U479" s="576" t="n">
        <v>0</v>
      </c>
      <c r="V479" s="576">
        <f>S447+T447</f>
        <v/>
      </c>
      <c r="W479" s="576">
        <f>S447+T447+U447</f>
        <v/>
      </c>
      <c r="X479" s="576">
        <f>W447*Q447</f>
        <v/>
      </c>
      <c r="Y479" s="576" t="e">
        <v>#N/A</v>
      </c>
      <c r="Z479" s="576" t="e">
        <v>#N/A</v>
      </c>
      <c r="AA479" s="573">
        <f>IF(Y447=Z447,"No","Yes")</f>
        <v/>
      </c>
      <c r="AB479" s="573" t="e">
        <v>#N/A</v>
      </c>
      <c r="AC479" s="572" t="e">
        <v>#N/A</v>
      </c>
    </row>
    <row r="480" ht="18" customHeight="1" s="229">
      <c r="A480" s="578" t="inlineStr">
        <is>
          <t>N211WU2118-465 / Barely Zero Mid Waist Brief - Black Truffle</t>
        </is>
      </c>
      <c r="B480" s="579" t="n"/>
      <c r="C480" s="580" t="inlineStr">
        <is>
          <t>KEEP — Tier 1</t>
        </is>
      </c>
      <c r="D480" s="581" t="inlineStr">
        <is>
          <t>Core Barely Zero</t>
        </is>
      </c>
      <c r="E480" s="581" t="n"/>
      <c r="F480" s="582" t="inlineStr">
        <is>
          <t>Remove</t>
        </is>
      </c>
      <c r="G480" s="581" t="inlineStr">
        <is>
          <t>Not an actual product</t>
        </is>
      </c>
      <c r="H480" s="583" t="n">
        <v>0</v>
      </c>
      <c r="I480" s="583" t="n">
        <v>0</v>
      </c>
      <c r="J480" s="583" t="n">
        <v>0</v>
      </c>
      <c r="K480" s="582" t="n"/>
      <c r="L480" s="585" t="n">
        <v>0</v>
      </c>
      <c r="M480" s="585" t="n"/>
      <c r="N480" s="582" t="n">
        <v>0</v>
      </c>
      <c r="O480" s="586" t="n">
        <v>0.9989</v>
      </c>
      <c r="P480" s="582" t="n">
        <v>0</v>
      </c>
      <c r="Q480" s="583" t="n">
        <v>8</v>
      </c>
      <c r="R480" s="585" t="n">
        <v>0</v>
      </c>
      <c r="S480" s="585" t="n">
        <v>0</v>
      </c>
      <c r="T480" s="585" t="n">
        <v>0</v>
      </c>
      <c r="U480" s="585" t="n">
        <v>0</v>
      </c>
      <c r="V480" s="585">
        <f>S452+T452</f>
        <v/>
      </c>
      <c r="W480" s="585">
        <f>S452+T452+U452</f>
        <v/>
      </c>
      <c r="X480" s="585">
        <f>W452*Q452</f>
        <v/>
      </c>
      <c r="Y480" s="585" t="e">
        <v>#N/A</v>
      </c>
      <c r="Z480" s="585" t="e">
        <v>#N/A</v>
      </c>
      <c r="AA480" s="582">
        <f>IF(Y452=Z452,"No","Yes")</f>
        <v/>
      </c>
      <c r="AB480" s="582" t="e">
        <v>#N/A</v>
      </c>
      <c r="AC480" s="581" t="e">
        <v>#N/A</v>
      </c>
    </row>
    <row r="481" ht="18" customHeight="1" s="229">
      <c r="A481" s="590" t="inlineStr">
        <is>
          <t>NEIWAI ACTIVE X NYCB Ribbed Zip Cardigan / M / Nightshade</t>
        </is>
      </c>
      <c r="B481" s="591" t="n"/>
      <c r="C481" s="592" t="inlineStr">
        <is>
          <t>REMOVE</t>
        </is>
      </c>
      <c r="D481" s="593" t="inlineStr">
        <is>
          <t>NYCB collab — dead inventory, no velocity</t>
        </is>
      </c>
      <c r="E481" s="593" t="inlineStr">
        <is>
          <t>2 — HIGH (dead product)</t>
        </is>
      </c>
      <c r="F481" s="594" t="inlineStr">
        <is>
          <t>Remove</t>
        </is>
      </c>
      <c r="G481" s="593" t="inlineStr">
        <is>
          <t>Not an actual product</t>
        </is>
      </c>
      <c r="H481" s="595" t="n">
        <v>0</v>
      </c>
      <c r="I481" s="595" t="n">
        <v>159</v>
      </c>
      <c r="J481" s="595" t="n">
        <v>0</v>
      </c>
      <c r="K481" s="594" t="n">
        <v>0</v>
      </c>
      <c r="L481" s="597" t="n">
        <v>0</v>
      </c>
      <c r="M481" s="597" t="n"/>
      <c r="N481" s="594" t="n">
        <v>0</v>
      </c>
      <c r="O481" s="598" t="n">
        <v>0.9989</v>
      </c>
      <c r="P481" s="594" t="n">
        <v>0</v>
      </c>
      <c r="Q481" s="595" t="n">
        <v>8</v>
      </c>
      <c r="R481" s="597" t="n">
        <v>1</v>
      </c>
      <c r="S481" s="597" t="n">
        <v>0</v>
      </c>
      <c r="T481" s="597" t="n">
        <v>0</v>
      </c>
      <c r="U481" s="597" t="n">
        <v>0</v>
      </c>
      <c r="V481" s="597">
        <f>S454+T454</f>
        <v/>
      </c>
      <c r="W481" s="597">
        <f>S454+T454+U454</f>
        <v/>
      </c>
      <c r="X481" s="597">
        <f>W454*Q454</f>
        <v/>
      </c>
      <c r="Y481" s="597" t="e">
        <v>#N/A</v>
      </c>
      <c r="Z481" s="597" t="e">
        <v>#N/A</v>
      </c>
      <c r="AA481" s="594">
        <f>IF(Y454=Z454,"No","Yes")</f>
        <v/>
      </c>
      <c r="AB481" s="594" t="e">
        <v>#N/A</v>
      </c>
      <c r="AC481" s="593" t="e">
        <v>#N/A</v>
      </c>
    </row>
    <row r="482" ht="18" customHeight="1" s="229">
      <c r="A482" s="361" t="inlineStr">
        <is>
          <t>Maternity Leggings/S-M / Black</t>
        </is>
      </c>
      <c r="B482" s="362" t="n"/>
      <c r="C482" s="589" t="inlineStr">
        <is>
          <t>REMOVE</t>
        </is>
      </c>
      <c r="D482" s="364" t="inlineStr">
        <is>
          <t>Zero/negative sales</t>
        </is>
      </c>
      <c r="E482" s="364" t="inlineStr">
        <is>
          <t>2 — HIGH (dead product)</t>
        </is>
      </c>
      <c r="F482" s="365" t="inlineStr">
        <is>
          <t>Remove</t>
        </is>
      </c>
      <c r="G482" s="364" t="inlineStr">
        <is>
          <t>Not an actual product</t>
        </is>
      </c>
      <c r="H482" s="366" t="n">
        <v>0</v>
      </c>
      <c r="I482" s="366" t="n">
        <v>0</v>
      </c>
      <c r="J482" s="366" t="n">
        <v>0</v>
      </c>
      <c r="K482" s="365" t="n"/>
      <c r="L482" s="368" t="n">
        <v>0</v>
      </c>
      <c r="M482" s="368" t="n"/>
      <c r="N482" s="365" t="n">
        <v>0</v>
      </c>
      <c r="O482" s="369" t="n">
        <v>0.9989</v>
      </c>
      <c r="P482" s="365" t="n">
        <v>0</v>
      </c>
      <c r="Q482" s="366" t="n">
        <v>8</v>
      </c>
      <c r="R482" s="368" t="n">
        <v>0</v>
      </c>
      <c r="S482" s="368" t="n">
        <v>0</v>
      </c>
      <c r="T482" s="368" t="n">
        <v>0</v>
      </c>
      <c r="U482" s="368" t="n">
        <v>0</v>
      </c>
      <c r="V482" s="368">
        <f>S457+T457</f>
        <v/>
      </c>
      <c r="W482" s="368">
        <f>S457+T457+U457</f>
        <v/>
      </c>
      <c r="X482" s="368">
        <f>W457*Q457</f>
        <v/>
      </c>
      <c r="Y482" s="368" t="e">
        <v>#N/A</v>
      </c>
      <c r="Z482" s="368" t="e">
        <v>#N/A</v>
      </c>
      <c r="AA482" s="365">
        <f>IF(Y457=Z457,"No","Yes")</f>
        <v/>
      </c>
      <c r="AB482" s="365" t="e">
        <v>#N/A</v>
      </c>
      <c r="AC482" s="364" t="e">
        <v>#N/A</v>
      </c>
    </row>
    <row r="483" ht="18" customHeight="1" s="229">
      <c r="A483" s="590" t="inlineStr">
        <is>
          <t>NW241WL3201-123-M / Silky Knit Tank - M / Sandcastle</t>
        </is>
      </c>
      <c r="B483" s="591" t="n"/>
      <c r="C483" s="592" t="inlineStr">
        <is>
          <t>REMOVE</t>
        </is>
      </c>
      <c r="D483" s="593" t="inlineStr">
        <is>
          <t>Zero/negative sales</t>
        </is>
      </c>
      <c r="E483" s="593" t="inlineStr">
        <is>
          <t>2 — HIGH (dead product)</t>
        </is>
      </c>
      <c r="F483" s="594" t="inlineStr">
        <is>
          <t>Remove</t>
        </is>
      </c>
      <c r="G483" s="593" t="inlineStr">
        <is>
          <t>Not an actual product</t>
        </is>
      </c>
      <c r="H483" s="595" t="n">
        <v>0</v>
      </c>
      <c r="I483" s="595" t="n">
        <v>0</v>
      </c>
      <c r="J483" s="595" t="n">
        <v>0</v>
      </c>
      <c r="K483" s="594" t="n"/>
      <c r="L483" s="597" t="n">
        <v>0</v>
      </c>
      <c r="M483" s="597" t="n"/>
      <c r="N483" s="594" t="n">
        <v>0</v>
      </c>
      <c r="O483" s="598" t="n">
        <v>0.9989</v>
      </c>
      <c r="P483" s="594" t="n">
        <v>0</v>
      </c>
      <c r="Q483" s="595" t="n">
        <v>8</v>
      </c>
      <c r="R483" s="597" t="n">
        <v>0</v>
      </c>
      <c r="S483" s="597" t="n">
        <v>0</v>
      </c>
      <c r="T483" s="597" t="n">
        <v>0</v>
      </c>
      <c r="U483" s="597" t="n">
        <v>0</v>
      </c>
      <c r="V483" s="597">
        <f>S465+T465</f>
        <v/>
      </c>
      <c r="W483" s="597">
        <f>S465+T465+U465</f>
        <v/>
      </c>
      <c r="X483" s="597">
        <f>W465*Q465</f>
        <v/>
      </c>
      <c r="Y483" s="597" t="e">
        <v>#N/A</v>
      </c>
      <c r="Z483" s="597" t="e">
        <v>#N/A</v>
      </c>
      <c r="AA483" s="594">
        <f>IF(Y465=Z465,"No","Yes")</f>
        <v/>
      </c>
      <c r="AB483" s="594" t="e">
        <v>#N/A</v>
      </c>
      <c r="AC483" s="593" t="e">
        <v>#N/A</v>
      </c>
    </row>
    <row r="484" ht="18" customHeight="1" s="229">
      <c r="A484" s="361" t="inlineStr">
        <is>
          <t>NW241WL4105-123-M / Silky Knit Joggers - M / Sandcastle</t>
        </is>
      </c>
      <c r="B484" s="362" t="n"/>
      <c r="C484" s="589" t="inlineStr">
        <is>
          <t>REMOVE</t>
        </is>
      </c>
      <c r="D484" s="364" t="inlineStr">
        <is>
          <t>Zero/negative sales</t>
        </is>
      </c>
      <c r="E484" s="364" t="inlineStr">
        <is>
          <t>2 — HIGH (dead product)</t>
        </is>
      </c>
      <c r="F484" s="365" t="inlineStr">
        <is>
          <t>Remove</t>
        </is>
      </c>
      <c r="G484" s="364" t="inlineStr">
        <is>
          <t>Not an actual product</t>
        </is>
      </c>
      <c r="H484" s="366" t="n">
        <v>0</v>
      </c>
      <c r="I484" s="366" t="n">
        <v>0</v>
      </c>
      <c r="J484" s="366" t="n">
        <v>0</v>
      </c>
      <c r="K484" s="365" t="n"/>
      <c r="L484" s="368" t="n">
        <v>0</v>
      </c>
      <c r="M484" s="368" t="n"/>
      <c r="N484" s="365" t="n">
        <v>0</v>
      </c>
      <c r="O484" s="369" t="n">
        <v>0.9989</v>
      </c>
      <c r="P484" s="365" t="n">
        <v>0</v>
      </c>
      <c r="Q484" s="366" t="n">
        <v>8</v>
      </c>
      <c r="R484" s="368" t="n">
        <v>0</v>
      </c>
      <c r="S484" s="368" t="n">
        <v>0</v>
      </c>
      <c r="T484" s="368" t="n">
        <v>0</v>
      </c>
      <c r="U484" s="368" t="n">
        <v>0</v>
      </c>
      <c r="V484" s="368">
        <f>S468+T468</f>
        <v/>
      </c>
      <c r="W484" s="368">
        <f>S468+T468+U468</f>
        <v/>
      </c>
      <c r="X484" s="368">
        <f>W468*Q468</f>
        <v/>
      </c>
      <c r="Y484" s="368" t="e">
        <v>#N/A</v>
      </c>
      <c r="Z484" s="368" t="e">
        <v>#N/A</v>
      </c>
      <c r="AA484" s="365">
        <f>IF(Y468=Z468,"No","Yes")</f>
        <v/>
      </c>
      <c r="AB484" s="365" t="e">
        <v>#N/A</v>
      </c>
      <c r="AC484" s="364" t="e">
        <v>#N/A</v>
      </c>
    </row>
    <row r="485" ht="18" customHeight="1" s="229">
      <c r="A485" s="590" t="inlineStr">
        <is>
          <t>NW241WL2701-123-M / Silky Knit Hoodie - M / Sandcastle</t>
        </is>
      </c>
      <c r="B485" s="591" t="n"/>
      <c r="C485" s="592" t="inlineStr">
        <is>
          <t>REMOVE</t>
        </is>
      </c>
      <c r="D485" s="593" t="inlineStr">
        <is>
          <t>Zero/negative sales</t>
        </is>
      </c>
      <c r="E485" s="593" t="inlineStr">
        <is>
          <t>2 — HIGH (dead product)</t>
        </is>
      </c>
      <c r="F485" s="594" t="inlineStr">
        <is>
          <t>Remove</t>
        </is>
      </c>
      <c r="G485" s="593" t="inlineStr">
        <is>
          <t>Not an actual product</t>
        </is>
      </c>
      <c r="H485" s="595" t="n">
        <v>0</v>
      </c>
      <c r="I485" s="595" t="n">
        <v>0</v>
      </c>
      <c r="J485" s="595" t="n">
        <v>0</v>
      </c>
      <c r="K485" s="594" t="n"/>
      <c r="L485" s="597" t="n">
        <v>0</v>
      </c>
      <c r="M485" s="597" t="n"/>
      <c r="N485" s="594" t="n">
        <v>0</v>
      </c>
      <c r="O485" s="598" t="n">
        <v>0.9989</v>
      </c>
      <c r="P485" s="594" t="n">
        <v>0</v>
      </c>
      <c r="Q485" s="595" t="n">
        <v>8</v>
      </c>
      <c r="R485" s="597" t="n">
        <v>0</v>
      </c>
      <c r="S485" s="597" t="n">
        <v>0</v>
      </c>
      <c r="T485" s="597" t="n">
        <v>0</v>
      </c>
      <c r="U485" s="597" t="n">
        <v>0</v>
      </c>
      <c r="V485" s="597">
        <f>S470+T470</f>
        <v/>
      </c>
      <c r="W485" s="597">
        <f>S470+T470+U470</f>
        <v/>
      </c>
      <c r="X485" s="597">
        <f>W470*Q470</f>
        <v/>
      </c>
      <c r="Y485" s="597" t="e">
        <v>#N/A</v>
      </c>
      <c r="Z485" s="597" t="e">
        <v>#N/A</v>
      </c>
      <c r="AA485" s="594">
        <f>IF(Y470=Z470,"No","Yes")</f>
        <v/>
      </c>
      <c r="AB485" s="594" t="e">
        <v>#N/A</v>
      </c>
      <c r="AC485" s="593" t="e">
        <v>#N/A</v>
      </c>
    </row>
    <row r="486" ht="18" customHeight="1" s="229">
      <c r="A486" s="578" t="inlineStr">
        <is>
          <t>Barely Zero Spaghetti Strap Bra - Plein Air / N211WU1120-974</t>
        </is>
      </c>
      <c r="B486" s="579" t="n"/>
      <c r="C486" s="580" t="inlineStr">
        <is>
          <t>KEEP — Tier 1</t>
        </is>
      </c>
      <c r="D486" s="581" t="inlineStr">
        <is>
          <t>Core Barely Zero</t>
        </is>
      </c>
      <c r="E486" s="581" t="n"/>
      <c r="F486" s="582" t="inlineStr">
        <is>
          <t>Remove</t>
        </is>
      </c>
      <c r="G486" s="581" t="inlineStr">
        <is>
          <t>Not an actual product</t>
        </is>
      </c>
      <c r="H486" s="583" t="n">
        <v>0</v>
      </c>
      <c r="I486" s="583" t="n">
        <v>0</v>
      </c>
      <c r="J486" s="583" t="n">
        <v>0</v>
      </c>
      <c r="K486" s="582" t="n"/>
      <c r="L486" s="585" t="n">
        <v>0</v>
      </c>
      <c r="M486" s="585" t="n"/>
      <c r="N486" s="582" t="n">
        <v>0</v>
      </c>
      <c r="O486" s="586" t="n">
        <v>0.9989</v>
      </c>
      <c r="P486" s="582" t="n">
        <v>0</v>
      </c>
      <c r="Q486" s="583" t="n">
        <v>8</v>
      </c>
      <c r="R486" s="585" t="n">
        <v>0</v>
      </c>
      <c r="S486" s="585" t="n">
        <v>0</v>
      </c>
      <c r="T486" s="585" t="n">
        <v>0</v>
      </c>
      <c r="U486" s="585" t="n">
        <v>0</v>
      </c>
      <c r="V486" s="585">
        <f>S472+T472</f>
        <v/>
      </c>
      <c r="W486" s="585">
        <f>S472+T472+U472</f>
        <v/>
      </c>
      <c r="X486" s="585">
        <f>W472*Q472</f>
        <v/>
      </c>
      <c r="Y486" s="585" t="e">
        <v>#N/A</v>
      </c>
      <c r="Z486" s="585" t="e">
        <v>#N/A</v>
      </c>
      <c r="AA486" s="582">
        <f>IF(Y472=Z472,"No","Yes")</f>
        <v/>
      </c>
      <c r="AB486" s="582" t="e">
        <v>#N/A</v>
      </c>
      <c r="AC486" s="581" t="e">
        <v>#N/A</v>
      </c>
    </row>
    <row r="487" ht="18" customHeight="1" s="229">
      <c r="A487" s="569" t="inlineStr">
        <is>
          <t>Barely Zero Fixed Cup Wavy Bra / M-L / Warm Bread</t>
        </is>
      </c>
      <c r="B487" s="570" t="n"/>
      <c r="C487" s="571" t="inlineStr">
        <is>
          <t>KEEP — Tier 1</t>
        </is>
      </c>
      <c r="D487" s="572" t="inlineStr">
        <is>
          <t>Core Barely Zero</t>
        </is>
      </c>
      <c r="E487" s="572" t="n"/>
      <c r="F487" s="573" t="inlineStr">
        <is>
          <t>Remove</t>
        </is>
      </c>
      <c r="G487" s="572" t="inlineStr">
        <is>
          <t>Not an actual product</t>
        </is>
      </c>
      <c r="H487" s="574" t="n">
        <v>0</v>
      </c>
      <c r="I487" s="574" t="n">
        <v>49</v>
      </c>
      <c r="J487" s="574" t="n">
        <v>-14.7</v>
      </c>
      <c r="K487" s="575" t="n">
        <v>0.3</v>
      </c>
      <c r="L487" s="576" t="n">
        <v>0</v>
      </c>
      <c r="M487" s="576" t="n"/>
      <c r="N487" s="573" t="n">
        <v>0</v>
      </c>
      <c r="O487" s="577" t="n">
        <v>0.9989</v>
      </c>
      <c r="P487" s="573" t="n">
        <v>0</v>
      </c>
      <c r="Q487" s="574" t="n">
        <v>8</v>
      </c>
      <c r="R487" s="576" t="n">
        <v>1</v>
      </c>
      <c r="S487" s="576" t="n">
        <v>0</v>
      </c>
      <c r="T487" s="576" t="n">
        <v>0</v>
      </c>
      <c r="U487" s="576" t="n">
        <v>0</v>
      </c>
      <c r="V487" s="576">
        <f>S473+T473</f>
        <v/>
      </c>
      <c r="W487" s="576">
        <f>S473+T473+U473</f>
        <v/>
      </c>
      <c r="X487" s="576">
        <f>W473*Q473</f>
        <v/>
      </c>
      <c r="Y487" s="576" t="e">
        <v>#N/A</v>
      </c>
      <c r="Z487" s="576" t="e">
        <v>#N/A</v>
      </c>
      <c r="AA487" s="573">
        <f>IF(Y473=Z473,"No","Yes")</f>
        <v/>
      </c>
      <c r="AB487" s="573" t="e">
        <v>#N/A</v>
      </c>
      <c r="AC487" s="572" t="e">
        <v>#N/A</v>
      </c>
    </row>
    <row r="488" ht="18" customHeight="1" s="229">
      <c r="A488" s="361" t="inlineStr">
        <is>
          <t>Barely Zero T-Shirt Bra XS-S Peach Pure</t>
        </is>
      </c>
      <c r="B488" s="362" t="n"/>
      <c r="C488" s="589" t="inlineStr">
        <is>
          <t>REMOVE</t>
        </is>
      </c>
      <c r="D488" s="364" t="inlineStr">
        <is>
          <t>Zero/negative sales</t>
        </is>
      </c>
      <c r="E488" s="364" t="inlineStr">
        <is>
          <t>2 — HIGH (dead product)</t>
        </is>
      </c>
      <c r="F488" s="365" t="inlineStr">
        <is>
          <t>Remove</t>
        </is>
      </c>
      <c r="G488" s="364" t="inlineStr">
        <is>
          <t>Not an actual product</t>
        </is>
      </c>
      <c r="H488" s="366" t="n">
        <v>0</v>
      </c>
      <c r="I488" s="366" t="n">
        <v>0</v>
      </c>
      <c r="J488" s="366" t="n">
        <v>0</v>
      </c>
      <c r="K488" s="365" t="n"/>
      <c r="L488" s="368" t="n">
        <v>0</v>
      </c>
      <c r="M488" s="368" t="n"/>
      <c r="N488" s="365" t="n">
        <v>0</v>
      </c>
      <c r="O488" s="369" t="n">
        <v>0.9989</v>
      </c>
      <c r="P488" s="365" t="n">
        <v>0</v>
      </c>
      <c r="Q488" s="366" t="n">
        <v>8</v>
      </c>
      <c r="R488" s="368" t="n">
        <v>0</v>
      </c>
      <c r="S488" s="368" t="n">
        <v>0</v>
      </c>
      <c r="T488" s="368" t="n">
        <v>0</v>
      </c>
      <c r="U488" s="368" t="n">
        <v>0</v>
      </c>
      <c r="V488" s="368">
        <f>S475+T475</f>
        <v/>
      </c>
      <c r="W488" s="368">
        <f>S475+T475+U475</f>
        <v/>
      </c>
      <c r="X488" s="368">
        <f>W475*Q475</f>
        <v/>
      </c>
      <c r="Y488" s="368" t="e">
        <v>#N/A</v>
      </c>
      <c r="Z488" s="368" t="e">
        <v>#N/A</v>
      </c>
      <c r="AA488" s="365">
        <f>IF(Y475=Z475,"No","Yes")</f>
        <v/>
      </c>
      <c r="AB488" s="365" t="e">
        <v>#N/A</v>
      </c>
      <c r="AC488" s="364" t="e">
        <v>#N/A</v>
      </c>
    </row>
    <row r="489" ht="18" customHeight="1" s="229">
      <c r="A489" s="569" t="inlineStr">
        <is>
          <t>Barely Zero Mid Waist Brief 2.0/XS-M / Black Truffle</t>
        </is>
      </c>
      <c r="B489" s="570" t="n"/>
      <c r="C489" s="571" t="inlineStr">
        <is>
          <t>KEEP — Tier 1</t>
        </is>
      </c>
      <c r="D489" s="572" t="inlineStr">
        <is>
          <t>Core Barely Zero</t>
        </is>
      </c>
      <c r="E489" s="572" t="n"/>
      <c r="F489" s="573" t="inlineStr">
        <is>
          <t>Remove</t>
        </is>
      </c>
      <c r="G489" s="572" t="inlineStr">
        <is>
          <t>Not an actual product</t>
        </is>
      </c>
      <c r="H489" s="574" t="n">
        <v>0</v>
      </c>
      <c r="I489" s="574" t="n">
        <v>0</v>
      </c>
      <c r="J489" s="574" t="n">
        <v>0</v>
      </c>
      <c r="K489" s="573" t="n"/>
      <c r="L489" s="576" t="n">
        <v>0</v>
      </c>
      <c r="M489" s="576" t="n"/>
      <c r="N489" s="573" t="n">
        <v>0</v>
      </c>
      <c r="O489" s="577" t="n">
        <v>0.9989</v>
      </c>
      <c r="P489" s="573" t="n">
        <v>0</v>
      </c>
      <c r="Q489" s="574" t="n">
        <v>8</v>
      </c>
      <c r="R489" s="576" t="n">
        <v>0</v>
      </c>
      <c r="S489" s="576" t="n">
        <v>0</v>
      </c>
      <c r="T489" s="576" t="n">
        <v>0</v>
      </c>
      <c r="U489" s="576" t="n">
        <v>0</v>
      </c>
      <c r="V489" s="576">
        <f>S481+T481</f>
        <v/>
      </c>
      <c r="W489" s="576">
        <f>S481+T481+U481</f>
        <v/>
      </c>
      <c r="X489" s="576">
        <f>W481*Q481</f>
        <v/>
      </c>
      <c r="Y489" s="576" t="e">
        <v>#N/A</v>
      </c>
      <c r="Z489" s="576" t="e">
        <v>#N/A</v>
      </c>
      <c r="AA489" s="573">
        <f>IF(Y481=Z481,"No","Yes")</f>
        <v/>
      </c>
      <c r="AB489" s="573" t="e">
        <v>#N/A</v>
      </c>
      <c r="AC489" s="572" t="e">
        <v>#N/A</v>
      </c>
    </row>
    <row r="490" ht="18" customHeight="1" s="229">
      <c r="A490" s="361" t="inlineStr">
        <is>
          <t>Barely Zero Plunge Bra - One Size / Plein Air</t>
        </is>
      </c>
      <c r="B490" s="362" t="n"/>
      <c r="C490" s="589" t="inlineStr">
        <is>
          <t>REMOVE</t>
        </is>
      </c>
      <c r="D490" s="364" t="inlineStr">
        <is>
          <t>Zero/negative sales</t>
        </is>
      </c>
      <c r="E490" s="364" t="inlineStr">
        <is>
          <t>2 — HIGH (dead product)</t>
        </is>
      </c>
      <c r="F490" s="365" t="inlineStr">
        <is>
          <t>Remove</t>
        </is>
      </c>
      <c r="G490" s="364" t="inlineStr">
        <is>
          <t>Not an actual product</t>
        </is>
      </c>
      <c r="H490" s="366" t="n">
        <v>0</v>
      </c>
      <c r="I490" s="366" t="n">
        <v>0</v>
      </c>
      <c r="J490" s="366" t="n">
        <v>0</v>
      </c>
      <c r="K490" s="365" t="n"/>
      <c r="L490" s="368" t="n">
        <v>0</v>
      </c>
      <c r="M490" s="368" t="n"/>
      <c r="N490" s="365" t="n">
        <v>0</v>
      </c>
      <c r="O490" s="369" t="n">
        <v>0.9989</v>
      </c>
      <c r="P490" s="365" t="n">
        <v>0</v>
      </c>
      <c r="Q490" s="366" t="n">
        <v>8</v>
      </c>
      <c r="R490" s="368" t="n">
        <v>0</v>
      </c>
      <c r="S490" s="368" t="n">
        <v>0</v>
      </c>
      <c r="T490" s="368" t="n">
        <v>0</v>
      </c>
      <c r="U490" s="368" t="n">
        <v>0</v>
      </c>
      <c r="V490" s="368">
        <f>S482+T482</f>
        <v/>
      </c>
      <c r="W490" s="368">
        <f>S482+T482+U482</f>
        <v/>
      </c>
      <c r="X490" s="368">
        <f>W482*Q482</f>
        <v/>
      </c>
      <c r="Y490" s="368" t="e">
        <v>#N/A</v>
      </c>
      <c r="Z490" s="368" t="e">
        <v>#N/A</v>
      </c>
      <c r="AA490" s="365">
        <f>IF(Y482=Z482,"No","Yes")</f>
        <v/>
      </c>
      <c r="AB490" s="365" t="e">
        <v>#N/A</v>
      </c>
      <c r="AC490" s="364" t="e">
        <v>#N/A</v>
      </c>
    </row>
    <row r="491" ht="18" customHeight="1" s="229">
      <c r="A491" s="590" t="inlineStr">
        <is>
          <t>Barely Zero Plunge Bra - One Size / Black</t>
        </is>
      </c>
      <c r="B491" s="591" t="n"/>
      <c r="C491" s="592" t="inlineStr">
        <is>
          <t>REMOVE</t>
        </is>
      </c>
      <c r="D491" s="593" t="inlineStr">
        <is>
          <t>Zero/negative sales</t>
        </is>
      </c>
      <c r="E491" s="593" t="inlineStr">
        <is>
          <t>2 — HIGH (dead product)</t>
        </is>
      </c>
      <c r="F491" s="594" t="inlineStr">
        <is>
          <t>Remove</t>
        </is>
      </c>
      <c r="G491" s="593" t="inlineStr">
        <is>
          <t>Not an actual product</t>
        </is>
      </c>
      <c r="H491" s="595" t="n">
        <v>0</v>
      </c>
      <c r="I491" s="595" t="n">
        <v>0</v>
      </c>
      <c r="J491" s="595" t="n">
        <v>0</v>
      </c>
      <c r="K491" s="594" t="n"/>
      <c r="L491" s="597" t="n">
        <v>0</v>
      </c>
      <c r="M491" s="597" t="n"/>
      <c r="N491" s="594" t="n">
        <v>0</v>
      </c>
      <c r="O491" s="598" t="n">
        <v>0.9989</v>
      </c>
      <c r="P491" s="594" t="n">
        <v>0</v>
      </c>
      <c r="Q491" s="595" t="n">
        <v>8</v>
      </c>
      <c r="R491" s="597" t="n">
        <v>0</v>
      </c>
      <c r="S491" s="597" t="n">
        <v>0</v>
      </c>
      <c r="T491" s="597" t="n">
        <v>0</v>
      </c>
      <c r="U491" s="597" t="n">
        <v>0</v>
      </c>
      <c r="V491" s="597">
        <f>S484+T484</f>
        <v/>
      </c>
      <c r="W491" s="597">
        <f>S484+T484+U484</f>
        <v/>
      </c>
      <c r="X491" s="597">
        <f>W484*Q484</f>
        <v/>
      </c>
      <c r="Y491" s="597" t="e">
        <v>#N/A</v>
      </c>
      <c r="Z491" s="597" t="e">
        <v>#N/A</v>
      </c>
      <c r="AA491" s="594">
        <f>IF(Y484=Z484,"No","Yes")</f>
        <v/>
      </c>
      <c r="AB491" s="594" t="e">
        <v>#N/A</v>
      </c>
      <c r="AC491" s="593" t="e">
        <v>#N/A</v>
      </c>
    </row>
    <row r="492" ht="18" customHeight="1" s="229">
      <c r="A492" s="361" t="inlineStr">
        <is>
          <t>Active Ballet Stirrup Drawstring Leggings S / Black</t>
        </is>
      </c>
      <c r="B492" s="362" t="n"/>
      <c r="C492" s="589" t="inlineStr">
        <is>
          <t>REMOVE</t>
        </is>
      </c>
      <c r="D492" s="364" t="inlineStr">
        <is>
          <t>Zero/negative sales</t>
        </is>
      </c>
      <c r="E492" s="364" t="inlineStr">
        <is>
          <t>2 — HIGH (dead product)</t>
        </is>
      </c>
      <c r="F492" s="365" t="inlineStr">
        <is>
          <t>Remove</t>
        </is>
      </c>
      <c r="G492" s="364" t="inlineStr">
        <is>
          <t>Not an actual product</t>
        </is>
      </c>
      <c r="H492" s="366" t="n">
        <v>0</v>
      </c>
      <c r="I492" s="366" t="n">
        <v>0</v>
      </c>
      <c r="J492" s="366" t="n">
        <v>0</v>
      </c>
      <c r="K492" s="365" t="n"/>
      <c r="L492" s="368" t="n">
        <v>1</v>
      </c>
      <c r="M492" s="366" t="n">
        <v>0</v>
      </c>
      <c r="N492" s="365" t="n">
        <v>0</v>
      </c>
      <c r="O492" s="369" t="n">
        <v>0.9989</v>
      </c>
      <c r="P492" s="365" t="n">
        <v>0</v>
      </c>
      <c r="Q492" s="366" t="n">
        <v>8</v>
      </c>
      <c r="R492" s="368" t="n">
        <v>1</v>
      </c>
      <c r="S492" s="368" t="n">
        <v>0</v>
      </c>
      <c r="T492" s="368" t="n">
        <v>0</v>
      </c>
      <c r="U492" s="368" t="n">
        <v>0</v>
      </c>
      <c r="V492" s="368">
        <f>S486+T486</f>
        <v/>
      </c>
      <c r="W492" s="368">
        <f>S486+T486+U486</f>
        <v/>
      </c>
      <c r="X492" s="368">
        <f>W486*Q486</f>
        <v/>
      </c>
      <c r="Y492" s="368" t="e">
        <v>#N/A</v>
      </c>
      <c r="Z492" s="368" t="e">
        <v>#N/A</v>
      </c>
      <c r="AA492" s="365">
        <f>IF(Y486=Z486,"No","Yes")</f>
        <v/>
      </c>
      <c r="AB492" s="365" t="e">
        <v>#N/A</v>
      </c>
      <c r="AC492" s="364" t="e">
        <v>#N/A</v>
      </c>
    </row>
    <row r="493" ht="18" customHeight="1" s="229">
      <c r="A493" s="590" t="inlineStr">
        <is>
          <t>Bra Pad replacement</t>
        </is>
      </c>
      <c r="B493" s="591" t="n"/>
      <c r="C493" s="592" t="inlineStr">
        <is>
          <t>REMOVE</t>
        </is>
      </c>
      <c r="D493" s="593" t="inlineStr">
        <is>
          <t>Zero/negative sales</t>
        </is>
      </c>
      <c r="E493" s="593" t="inlineStr">
        <is>
          <t>1 — URGENT (high inventory, no sales)</t>
        </is>
      </c>
      <c r="F493" s="594" t="inlineStr">
        <is>
          <t>Keep</t>
        </is>
      </c>
      <c r="G493" s="593" t="inlineStr">
        <is>
          <t>Keep for CX use</t>
        </is>
      </c>
      <c r="H493" s="595" t="n">
        <v>-3</v>
      </c>
      <c r="I493" s="595" t="n">
        <v>18</v>
      </c>
      <c r="J493" s="595" t="n">
        <v>-12</v>
      </c>
      <c r="K493" s="600" t="n">
        <v>0.667</v>
      </c>
      <c r="L493" s="597" t="n">
        <v>3</v>
      </c>
      <c r="M493" s="595" t="n">
        <v>-1</v>
      </c>
      <c r="N493" s="594" t="n">
        <v>0</v>
      </c>
      <c r="O493" s="598" t="n">
        <v>0.9989</v>
      </c>
      <c r="P493" s="594" t="n">
        <v>5</v>
      </c>
      <c r="Q493" s="595" t="n">
        <v>8</v>
      </c>
      <c r="R493" s="597" t="n">
        <v>5</v>
      </c>
      <c r="S493" s="597" t="n">
        <v>0</v>
      </c>
      <c r="T493" s="597" t="n">
        <v>982</v>
      </c>
      <c r="U493" s="597" t="n">
        <v>0</v>
      </c>
      <c r="V493" s="597">
        <f>S487+T487</f>
        <v/>
      </c>
      <c r="W493" s="597">
        <f>S487+T487+U487</f>
        <v/>
      </c>
      <c r="X493" s="597">
        <f>W487*Q487</f>
        <v/>
      </c>
      <c r="Y493" s="597" t="e">
        <v>#N/A</v>
      </c>
      <c r="Z493" s="597" t="e">
        <v>#N/A</v>
      </c>
      <c r="AA493" s="594">
        <f>IF(Y487=Z487,"No","Yes")</f>
        <v/>
      </c>
      <c r="AB493" s="594" t="inlineStr">
        <is>
          <t>MB20220418</t>
        </is>
      </c>
      <c r="AC493" s="593" t="e">
        <v>#N/A</v>
      </c>
    </row>
    <row r="494" ht="18" customHeight="1" s="229">
      <c r="A494" s="608" t="inlineStr">
        <is>
          <t>BUNDLE3  —  1 products</t>
        </is>
      </c>
      <c r="B494" s="568" t="n"/>
      <c r="C494" s="568" t="n"/>
      <c r="D494" s="568" t="n"/>
      <c r="E494" s="568" t="n"/>
      <c r="F494" s="568" t="n"/>
      <c r="G494" s="568" t="n"/>
      <c r="H494" s="568" t="n"/>
      <c r="I494" s="568" t="n"/>
      <c r="J494" s="568" t="n"/>
      <c r="K494" s="568" t="n"/>
      <c r="L494" s="568" t="n"/>
      <c r="M494" s="568" t="n"/>
      <c r="N494" s="568" t="n"/>
      <c r="O494" s="568" t="n"/>
      <c r="P494" s="568" t="n"/>
      <c r="Q494" s="568" t="n"/>
      <c r="R494" s="568" t="n"/>
      <c r="S494" s="568" t="n"/>
      <c r="T494" s="568" t="n"/>
      <c r="U494" s="568" t="n"/>
      <c r="V494" s="568" t="n"/>
      <c r="W494" s="568" t="n"/>
      <c r="X494" s="568" t="n"/>
      <c r="Y494" s="568" t="n"/>
      <c r="Z494" s="568" t="n"/>
      <c r="AA494" s="568" t="n"/>
      <c r="AB494" s="568" t="n"/>
      <c r="AC494" s="568" t="n"/>
    </row>
    <row r="495" ht="18" customHeight="1" s="229">
      <c r="A495" s="569" t="inlineStr">
        <is>
          <t>Barely Zero Spaghetti Strap Bra Trio</t>
        </is>
      </c>
      <c r="B495" s="570" t="inlineStr">
        <is>
          <t>Bundle3</t>
        </is>
      </c>
      <c r="C495" s="571" t="inlineStr">
        <is>
          <t>KEEP — Tier 1</t>
        </is>
      </c>
      <c r="D495" s="572" t="inlineStr">
        <is>
          <t>Core Barely Zero</t>
        </is>
      </c>
      <c r="E495" s="572" t="n"/>
      <c r="F495" s="573" t="inlineStr">
        <is>
          <t>Remove</t>
        </is>
      </c>
      <c r="G495" s="572" t="inlineStr">
        <is>
          <t>Old bundle product, ignore</t>
        </is>
      </c>
      <c r="H495" s="574" t="n">
        <v>0</v>
      </c>
      <c r="I495" s="574" t="n">
        <v>0</v>
      </c>
      <c r="J495" s="574" t="n">
        <v>0</v>
      </c>
      <c r="K495" s="573" t="n"/>
      <c r="L495" s="576" t="n">
        <v>0</v>
      </c>
      <c r="M495" s="576" t="n"/>
      <c r="N495" s="573" t="n">
        <v>0</v>
      </c>
      <c r="O495" s="577" t="n">
        <v>0.9989</v>
      </c>
      <c r="P495" s="573" t="n">
        <v>2</v>
      </c>
      <c r="Q495" s="574" t="n">
        <v>8</v>
      </c>
      <c r="R495" s="576" t="n">
        <v>0</v>
      </c>
      <c r="S495" s="576" t="n">
        <v>0</v>
      </c>
      <c r="T495" s="576" t="n">
        <v>0</v>
      </c>
      <c r="U495" s="576" t="n">
        <v>0</v>
      </c>
      <c r="V495" s="576">
        <f>S471+T471</f>
        <v/>
      </c>
      <c r="W495" s="576">
        <f>S471+T471+U471</f>
        <v/>
      </c>
      <c r="X495" s="576">
        <f>W471*Q471</f>
        <v/>
      </c>
      <c r="Y495" s="574" t="n">
        <v>39</v>
      </c>
      <c r="Z495" s="574" t="n">
        <v>31.5</v>
      </c>
      <c r="AA495" s="573">
        <f>IF(Y471=Z471,"No","Yes")</f>
        <v/>
      </c>
      <c r="AB495" s="573" t="e">
        <v>#N/A</v>
      </c>
      <c r="AC495" s="572" t="e">
        <v>#N/A</v>
      </c>
    </row>
    <row r="496" ht="18" customHeight="1" s="229">
      <c r="A496" s="608" t="inlineStr">
        <is>
          <t>BUNDLE  —  1 products</t>
        </is>
      </c>
      <c r="B496" s="568" t="n"/>
      <c r="C496" s="568" t="n"/>
      <c r="D496" s="568" t="n"/>
      <c r="E496" s="568" t="n"/>
      <c r="F496" s="568" t="n"/>
      <c r="G496" s="568" t="n"/>
      <c r="H496" s="568" t="n"/>
      <c r="I496" s="568" t="n"/>
      <c r="J496" s="568" t="n"/>
      <c r="K496" s="568" t="n"/>
      <c r="L496" s="568" t="n"/>
      <c r="M496" s="568" t="n"/>
      <c r="N496" s="568" t="n"/>
      <c r="O496" s="568" t="n"/>
      <c r="P496" s="568" t="n"/>
      <c r="Q496" s="568" t="n"/>
      <c r="R496" s="568" t="n"/>
      <c r="S496" s="568" t="n"/>
      <c r="T496" s="568" t="n"/>
      <c r="U496" s="568" t="n"/>
      <c r="V496" s="568" t="n"/>
      <c r="W496" s="568" t="n"/>
      <c r="X496" s="568" t="n"/>
      <c r="Y496" s="568" t="n"/>
      <c r="Z496" s="568" t="n"/>
      <c r="AA496" s="568" t="n"/>
      <c r="AB496" s="568" t="n"/>
      <c r="AC496" s="568" t="n"/>
    </row>
    <row r="497" ht="18" customHeight="1" s="229">
      <c r="A497" s="590" t="inlineStr">
        <is>
          <t>Barely Zero Fixed Cup Clasp Bra Bundle</t>
        </is>
      </c>
      <c r="B497" s="591" t="inlineStr">
        <is>
          <t>Bundle</t>
        </is>
      </c>
      <c r="C497" s="592" t="inlineStr">
        <is>
          <t>REMOVE</t>
        </is>
      </c>
      <c r="D497" s="593" t="inlineStr">
        <is>
          <t>Bundle/Gift Set — low velocity</t>
        </is>
      </c>
      <c r="E497" s="593" t="inlineStr">
        <is>
          <t>2 — HIGH (dead product)</t>
        </is>
      </c>
      <c r="F497" s="594" t="inlineStr">
        <is>
          <t>Remove</t>
        </is>
      </c>
      <c r="G497" s="593" t="inlineStr">
        <is>
          <t>Old bundle product, ignore</t>
        </is>
      </c>
      <c r="H497" s="595" t="n">
        <v>0</v>
      </c>
      <c r="I497" s="595" t="n">
        <v>0</v>
      </c>
      <c r="J497" s="595" t="n">
        <v>0</v>
      </c>
      <c r="K497" s="594" t="n"/>
      <c r="L497" s="597" t="n">
        <v>0</v>
      </c>
      <c r="M497" s="597" t="n"/>
      <c r="N497" s="594" t="n">
        <v>0</v>
      </c>
      <c r="O497" s="598" t="n">
        <v>0.9989</v>
      </c>
      <c r="P497" s="594" t="n">
        <v>1</v>
      </c>
      <c r="Q497" s="595" t="n">
        <v>8</v>
      </c>
      <c r="R497" s="597" t="n">
        <v>0</v>
      </c>
      <c r="S497" s="597" t="n">
        <v>0</v>
      </c>
      <c r="T497" s="597" t="n">
        <v>0</v>
      </c>
      <c r="U497" s="597" t="n">
        <v>0</v>
      </c>
      <c r="V497" s="597">
        <f>S479+T479</f>
        <v/>
      </c>
      <c r="W497" s="597">
        <f>S479+T479+U479</f>
        <v/>
      </c>
      <c r="X497" s="597">
        <f>W479*Q479</f>
        <v/>
      </c>
      <c r="Y497" s="595" t="n">
        <v>49</v>
      </c>
      <c r="Z497" s="595" t="n">
        <v>44.25</v>
      </c>
      <c r="AA497" s="594">
        <f>IF(Y479=Z479,"No","Yes")</f>
        <v/>
      </c>
      <c r="AB497" s="594" t="e">
        <v>#N/A</v>
      </c>
      <c r="AC497" s="593" t="e">
        <v>#N/A</v>
      </c>
    </row>
  </sheetData>
  <autoFilter ref="A1:AC487"/>
  <pageMargins left="0.75" right="0.75" top="1" bottom="1" header="0.5" footer="0.5"/>
</worksheet>
</file>

<file path=xl/worksheets/sheet8.xml><?xml version="1.0" encoding="utf-8"?>
<worksheet xmlns="http://schemas.openxmlformats.org/spreadsheetml/2006/main">
  <sheetPr>
    <tabColor rgb="005B4A8A"/>
    <outlinePr summaryBelow="1" summaryRight="1"/>
    <pageSetUpPr/>
  </sheetPr>
  <dimension ref="A1:J841"/>
  <sheetViews>
    <sheetView showGridLines="0" workbookViewId="0">
      <pane ySplit="3" topLeftCell="A4" activePane="bottomLeft" state="frozen"/>
      <selection pane="bottomLeft" activeCell="A1" sqref="A1"/>
    </sheetView>
  </sheetViews>
  <sheetFormatPr baseColWidth="8" defaultRowHeight="15"/>
  <cols>
    <col width="36" customWidth="1" style="229" min="1" max="1"/>
    <col width="11" customWidth="1" style="229" min="2" max="2"/>
    <col width="9" customWidth="1" style="229" min="3" max="3"/>
    <col width="9" customWidth="1" style="229" min="4" max="4"/>
    <col width="8" customWidth="1" style="229" min="5" max="5"/>
    <col width="60" customWidth="1" style="229" min="6" max="6"/>
    <col width="55" customWidth="1" style="229" min="7" max="7"/>
    <col width="28" customWidth="1" style="229" min="8" max="8"/>
    <col width="22" customWidth="1" style="229" min="9" max="9"/>
    <col width="38" customWidth="1" style="229" min="10" max="10"/>
  </cols>
  <sheetData>
    <row r="1" ht="26" customHeight="1" s="229">
      <c r="A1" s="877" t="inlineStr">
        <is>
          <t>PRODUCT DESCRIPTIONS</t>
        </is>
      </c>
      <c r="B1" s="843" t="n"/>
      <c r="C1" s="843" t="n"/>
      <c r="D1" s="843" t="n"/>
      <c r="E1" s="843" t="n"/>
      <c r="F1" s="843" t="n"/>
      <c r="G1" s="843" t="n"/>
      <c r="H1" s="843" t="n"/>
      <c r="I1" s="843" t="n"/>
      <c r="J1" s="843" t="n"/>
    </row>
    <row r="2" ht="18" customHeight="1" s="229">
      <c r="A2" s="878" t="inlineStr">
        <is>
          <t>838 products  |  Source: neiwai.life  |  Feb 2026</t>
        </is>
      </c>
      <c r="B2" s="879" t="n"/>
      <c r="C2" s="879" t="n"/>
      <c r="D2" s="879" t="n"/>
      <c r="E2" s="879" t="n"/>
      <c r="F2" s="879" t="n"/>
      <c r="G2" s="879" t="n"/>
      <c r="H2" s="879" t="n"/>
      <c r="I2" s="879" t="n"/>
      <c r="J2" s="879" t="n"/>
    </row>
    <row r="3" ht="40" customHeight="1" s="229">
      <c r="A3" s="550" t="inlineStr">
        <is>
          <t>Product Name</t>
        </is>
      </c>
      <c r="B3" s="553" t="inlineStr">
        <is>
          <t>Type</t>
        </is>
      </c>
      <c r="C3" s="553" t="inlineStr">
        <is>
          <t>List Price</t>
        </is>
      </c>
      <c r="D3" s="553" t="inlineStr">
        <is>
          <t>Current Price</t>
        </is>
      </c>
      <c r="E3" s="553" t="inlineStr">
        <is>
          <t>On Sale?</t>
        </is>
      </c>
      <c r="F3" s="550" t="inlineStr">
        <is>
          <t>Product Description</t>
        </is>
      </c>
      <c r="G3" s="550" t="inlineStr">
        <is>
          <t>Key Features</t>
        </is>
      </c>
      <c r="H3" s="550" t="inlineStr">
        <is>
          <t>Materials</t>
        </is>
      </c>
      <c r="I3" s="550" t="inlineStr">
        <is>
          <t>Tags</t>
        </is>
      </c>
      <c r="J3" s="550" t="inlineStr">
        <is>
          <t>Handle (URL)</t>
        </is>
      </c>
    </row>
    <row r="4" ht="42" customHeight="1" s="229">
      <c r="A4" s="880" t="inlineStr">
        <is>
          <t>Essential Bandeau Bra 4.0</t>
        </is>
      </c>
      <c r="B4" s="881" t="inlineStr">
        <is>
          <t>Underwear</t>
        </is>
      </c>
      <c r="C4" s="882" t="n">
        <v>59</v>
      </c>
      <c r="D4" s="882" t="n">
        <v>59</v>
      </c>
      <c r="E4" s="881" t="inlineStr"/>
      <c r="F4" s="883" t="inlineStr">
        <is>
          <t>Designed for effortless strapless wear, the Essential Bandeau Bra 4.0 combines breathable support with a sleek, modern look. Lightweight and secure, it's made for strapless days, open necklines, and zero second thoughts.</t>
        </is>
      </c>
      <c r="G4" s="884" t="n"/>
      <c r="H4" s="885" t="n"/>
      <c r="I4" s="886" t="inlineStr">
        <is>
          <t>13.02.27, 26AW</t>
        </is>
      </c>
      <c r="J4" s="887" t="inlineStr">
        <is>
          <t>essential-bandeau-bra-4-0</t>
        </is>
      </c>
    </row>
    <row r="5" ht="56" customHeight="1" s="229">
      <c r="A5" s="888" t="inlineStr">
        <is>
          <t>Pure Comfort Ribbed Plunge Bra 2.0</t>
        </is>
      </c>
      <c r="B5" s="889" t="inlineStr">
        <is>
          <t>Underwear</t>
        </is>
      </c>
      <c r="C5" s="890" t="n">
        <v>49</v>
      </c>
      <c r="D5" s="890" t="n">
        <v>49</v>
      </c>
      <c r="E5" s="889" t="inlineStr"/>
      <c r="F5" s="891" t="inlineStr">
        <is>
          <t>The Pure Comfort Ribbed Plunge Bra 2.0 refines the iconic ribbed triangle cup with a thoughtfully engineered crossover design that enhances shape while staying effortlessly gentle on the skin. A balance of structure and softness, making it a reliable everyday essential to our Pure Comfort collection.</t>
        </is>
      </c>
      <c r="G5" s="892" t="n"/>
      <c r="H5" s="893" t="n"/>
      <c r="I5" s="894" t="inlineStr">
        <is>
          <t>13.02.27, 26AW</t>
        </is>
      </c>
      <c r="J5" s="895" t="inlineStr">
        <is>
          <t>pure-comfort-ribbed-plunge-bra-2-0</t>
        </is>
      </c>
    </row>
    <row r="6" ht="42" customHeight="1" s="229">
      <c r="A6" s="880" t="inlineStr">
        <is>
          <t>Seamless Modal Briefs 3-Pack</t>
        </is>
      </c>
      <c r="B6" s="881" t="inlineStr">
        <is>
          <t>Underwear</t>
        </is>
      </c>
      <c r="C6" s="882" t="n">
        <v>30</v>
      </c>
      <c r="D6" s="882" t="n">
        <v>30</v>
      </c>
      <c r="E6" s="881" t="inlineStr"/>
      <c r="F6" s="883" t="inlineStr">
        <is>
          <t>Meet your everyday smooth layer. The Seamless Modal Briefs 3-Pack delivers barely-there comfort and a clean, line-free finish that disappears under anything you wear.</t>
        </is>
      </c>
      <c r="G6" s="884" t="n"/>
      <c r="H6" s="885" t="n"/>
      <c r="I6" s="886" t="inlineStr">
        <is>
          <t>13.02.27, 26AW</t>
        </is>
      </c>
      <c r="J6" s="887" t="inlineStr">
        <is>
          <t>seamless-modal-brief-3-pack</t>
        </is>
      </c>
    </row>
    <row r="7" ht="56" customHeight="1" s="229">
      <c r="A7" s="888" t="inlineStr">
        <is>
          <t>Pure Comfort Ribbed Triangle Bra 2.0</t>
        </is>
      </c>
      <c r="B7" s="889" t="inlineStr">
        <is>
          <t>Underwear</t>
        </is>
      </c>
      <c r="C7" s="890" t="n">
        <v>49</v>
      </c>
      <c r="D7" s="890" t="n">
        <v>49</v>
      </c>
      <c r="E7" s="889" t="inlineStr"/>
      <c r="F7" s="891" t="inlineStr">
        <is>
          <t>The Pure Comfort Ribbed Triangle Bra you loved, now refreshed. Meet the new 2.0 edition, still soft, breathable, &amp; now updated with a refined ribbed texture. A dreamy new addition to our Pure Comfort collection and the glow-up your top drawer has been waiting for.</t>
        </is>
      </c>
      <c r="G7" s="892" t="n"/>
      <c r="H7" s="893" t="n"/>
      <c r="I7" s="894" t="inlineStr">
        <is>
          <t>26.01.27, 26AW</t>
        </is>
      </c>
      <c r="J7" s="895" t="inlineStr">
        <is>
          <t>pure-comfort-ribbed-triangle-bra-2-0</t>
        </is>
      </c>
    </row>
    <row r="8" ht="42" customHeight="1" s="229">
      <c r="A8" s="880" t="inlineStr">
        <is>
          <t>Modal Silk Briefs 3-Pack</t>
        </is>
      </c>
      <c r="B8" s="881" t="inlineStr">
        <is>
          <t>Underwear</t>
        </is>
      </c>
      <c r="C8" s="882" t="n">
        <v>39</v>
      </c>
      <c r="D8" s="882" t="n">
        <v>39</v>
      </c>
      <c r="E8" s="881" t="inlineStr"/>
      <c r="F8" s="883" t="inlineStr">
        <is>
          <t>Experience a new level of softness with our Modal Silk Briefs (3-pack). Light, silky, and whisper-soft, they bring a cooling, breathable touch to every layer of your day.</t>
        </is>
      </c>
      <c r="G8" s="884" t="n"/>
      <c r="H8" s="885" t="n"/>
      <c r="I8" s="886" t="inlineStr">
        <is>
          <t>26.01.23, 26AW, Bundle Collection, Category_Underwear, Category_Underwear/Bottoms, Category_Underwear/Bottoms/Panties, Category_Underwear/Bottoms/Panties/Mid Waist, Category_Underwear/Bottoms/Panties/Shapewear, Feature_Best Seller, Feature_New Arrivals, HR-CX, XS - XL Brief</t>
        </is>
      </c>
      <c r="J8" s="887" t="inlineStr">
        <is>
          <t>modal-silk-briefs-3-pack</t>
        </is>
      </c>
    </row>
    <row r="9" ht="56" customHeight="1" s="229">
      <c r="A9" s="888" t="inlineStr">
        <is>
          <t>Barely Zero Cooling Clasp Bra</t>
        </is>
      </c>
      <c r="B9" s="889" t="inlineStr">
        <is>
          <t>Underwear</t>
        </is>
      </c>
      <c r="C9" s="890" t="n">
        <v>55</v>
      </c>
      <c r="D9" s="890" t="n">
        <v>55</v>
      </c>
      <c r="E9" s="889" t="inlineStr"/>
      <c r="F9" s="891" t="inlineStr">
        <is>
          <t>Slip into our Barely Zero Cooling Clasp Bra and feel the whisper-soft drape of silk designed to flatter every curve. With a smooth clasp-back and a naturally cool, airy finish, it creates an elegant, second-skin embrace wherever your day leads.</t>
        </is>
      </c>
      <c r="G9" s="892" t="inlineStr">
        <is>
          <t>• Soft clasp-back closure: Minimal hardware and seamless edges designed to disappear under tops, knits, and dresses. • Adaptive 360° stretch: Spandex-infused for excellent stretch, strong resilience, and shape retention through repeated wear. • Lightweight with a natural sheen: Smooth, cooling, and ultra-soft on the skin for warm spring and summer days.</t>
        </is>
      </c>
      <c r="H9" s="893" t="inlineStr">
        <is>
          <t>69% Polyamide, 31% Spandex</t>
        </is>
      </c>
      <c r="I9" s="894" t="inlineStr">
        <is>
          <t>26.01.23, 26AW, BZ Fixed Cup Bra Size, Category_Bras/Everyday, Category_Bras/High Support, Category_Bras/Plunge, Category_Lingerie/Wireless Bra, Category_Underwear, Category_Underwear/Tops, Category_Underwear/Tops/Wireless Bra, Category_Underwear/Tops/Wireless Bra/Demi, Category_Underwear/Tops/Wireless Bra/Seamless, Category_Underwear/Tops/Wireless Bra/Soft-Cup, Collection_Barely Zero/Bras, Feature_Best Seller, Feature_New Arrivals, Lingerie/Wireless Bras/Plunge, Sized BZ Bras, SML Size Bras</t>
        </is>
      </c>
      <c r="J9" s="895" t="inlineStr">
        <is>
          <t>barely-zero-cooling-clasp-bra</t>
        </is>
      </c>
    </row>
    <row r="10" ht="56" customHeight="1" s="229">
      <c r="A10" s="880" t="inlineStr">
        <is>
          <t>Barely Zero Red Plaid Bra - Holiday Limited Edition</t>
        </is>
      </c>
      <c r="B10" s="881" t="inlineStr">
        <is>
          <t>Underwear</t>
        </is>
      </c>
      <c r="C10" s="882" t="n">
        <v>49</v>
      </c>
      <c r="D10" s="882" t="n">
        <v>49</v>
      </c>
      <c r="E10" s="881" t="inlineStr"/>
      <c r="F10" s="883" t="inlineStr">
        <is>
          <t>Blending festive charm with everyday comfort, this limited-edition piece features a classic holiday plaid on our signature adaptive-fit silhouette. Inspired by Barely Zero's barely-there feel, delivering effortless comfort made for cozy days and cheerful celebrations.</t>
        </is>
      </c>
      <c r="G10" s="884" t="inlineStr">
        <is>
          <t>• Anchored Cups: Provide soft natural shaping and lightly supported lift without shifting throughout the day. • Seamless Finish: Smooth edges and stretchy fabrication create an invisible look under sweaters, dresses, and seasonal layers. • Pair with our Barely Zero seamless underwear for the perfect no-show holiday set.</t>
        </is>
      </c>
      <c r="H10" s="885" t="inlineStr">
        <is>
          <t>68% Polyamide, 32% Spandex</t>
        </is>
      </c>
      <c r="I10" s="886" t="inlineStr">
        <is>
          <t>25.12.05, 26SS, BZ Fixed Cup Bra Size, BZ Spaghetti Bra, Category_Bras/Everyday, Category_Bras/Light Support, Category_Lingerie/Wireless Bra, Category_Underwear/Tops/Wireless Bra, Category_Underwear/Tops/Wireless Bra/Seamless, Collection_Barely Zero, Collection_Barely Zero/Bras, Collection_Valentine, Feature_Best Seller, Feature_New Arrivals</t>
        </is>
      </c>
      <c r="J10" s="887" t="inlineStr">
        <is>
          <t>barely-zero-red-plaid-bra</t>
        </is>
      </c>
    </row>
    <row r="11" ht="56" customHeight="1" s="229">
      <c r="A11" s="888" t="inlineStr">
        <is>
          <t>Featherlight Push Up Bra</t>
        </is>
      </c>
      <c r="B11" s="889" t="inlineStr">
        <is>
          <t>Underwear</t>
        </is>
      </c>
      <c r="C11" s="890" t="n">
        <v>49</v>
      </c>
      <c r="D11" s="890" t="n">
        <v>49</v>
      </c>
      <c r="E11" s="889" t="inlineStr"/>
      <c r="F11" s="891" t="inlineStr">
        <is>
          <t>Our Featherlight Push Up Bra redefines the art of lift with effortless elegance. Its low V-neckline and molded cups enhances your natural shape with subtle, flattering curves, while soft push-up padding adds just the right amount of boost without digging or pinching.</t>
        </is>
      </c>
      <c r="G11" s="892" t="n"/>
      <c r="H11" s="893" t="n"/>
      <c r="I11" s="894" t="inlineStr">
        <is>
          <t>23SS A3 Size Bra, 25.08.29, 25AW, Category_Bras/Everyday, Category_Bras/Medium Support, Category_Bras/Plunge, Category_Underwear/Tops/Wireless Bra, Category_Underwear/Tops/Wireless Bra/Push-Up, Category_Underwear/Tops/Wireless Bra/Seamless, Category_Underwear/Tops/Wireless Bra/Soft-Cup, Feature_Best Seller, Feature_New Arrivals</t>
        </is>
      </c>
      <c r="J11" s="895" t="inlineStr">
        <is>
          <t>featherlight-push-up-bra</t>
        </is>
      </c>
    </row>
    <row r="12" ht="56" customHeight="1" s="229">
      <c r="A12" s="880" t="inlineStr">
        <is>
          <t>Barely Zero Fixed Cup Wavy Clasp Bra</t>
        </is>
      </c>
      <c r="B12" s="881" t="inlineStr">
        <is>
          <t>Underwear</t>
        </is>
      </c>
      <c r="C12" s="882" t="n">
        <v>59</v>
      </c>
      <c r="D12" s="882" t="n">
        <v>59</v>
      </c>
      <c r="E12" s="881" t="inlineStr"/>
      <c r="F12" s="883" t="inlineStr">
        <is>
          <t>A fresh update to a Barely Zero classic, this Fixed Cup Wavy Clasp Bra introduces subtle upgrades with thoughtful design details. Features a wave-inspired clasp, enhanced adjustability, and our signature Bisous Cups‚Ñ¢ and Flo Support‚Ñ¢ for breathable, stay-put shaping and skin-loving support.</t>
        </is>
      </c>
      <c r="G12" s="884" t="n"/>
      <c r="H12" s="885" t="n"/>
      <c r="I12" s="886" t="inlineStr">
        <is>
          <t>25.08.29, 25AW, BZ Fixed Cup Bra Size, Category_Bras/Everyday, Category_Bras/High Support, Category_Bras/Plunge, Category_Lingerie/Wireless Bra, Category_Underwear, Category_Underwear/Tops, Category_Underwear/Tops/Wireless Bra, Category_Underwear/Tops/Wireless Bra/Seamless, Category_Underwear/Tops/Wireless Bra/Soft-Cup, Collection_Barely Zero, Collection_Barely Zero/Bras, Feature_Best Seller, Feature_New Arrivals, Sized BZ Bras</t>
        </is>
      </c>
      <c r="J12" s="887" t="inlineStr">
        <is>
          <t>barely-zero-fixed-cup-wavy-clasp-bra</t>
        </is>
      </c>
    </row>
    <row r="13" ht="56" customHeight="1" s="229">
      <c r="A13" s="888" t="inlineStr">
        <is>
          <t>Barely Zero Anchored Cup Curve Bra</t>
        </is>
      </c>
      <c r="B13" s="889" t="inlineStr">
        <is>
          <t>Underwear</t>
        </is>
      </c>
      <c r="C13" s="890" t="n">
        <v>49</v>
      </c>
      <c r="D13" s="890" t="n">
        <v>49</v>
      </c>
      <c r="E13" s="889" t="inlineStr"/>
      <c r="F13" s="891" t="inlineStr">
        <is>
          <t>Enjoy wire-free comfort without compromising on support! Our Barely Zero Anchored Cup Curve Bra is your everyday essential designed for movement, motherhood, and everything in between. With wider straps, anchored cups, and a stay-put fit, bringing together form, function, and freedom.</t>
        </is>
      </c>
      <c r="G13" s="892" t="n"/>
      <c r="H13" s="893" t="n"/>
      <c r="I13" s="894" t="inlineStr">
        <is>
          <t>25.08.15, 25AW, BZ Curve Bra, BZ Fixed Cup Curve Size Bra, Categeory_Underwear, Category_Bras/Everyday, Category_Bras/Medium Support, Category_Underwear, Category_Underwear/Tops, Category_Underwear/Tops/Wireless Bra, Category_Underwear/Tops/Wireless Bra/Seamless, Collection_Barely Zero, Collection_Barely Zero/Bras</t>
        </is>
      </c>
      <c r="J13" s="895" t="inlineStr">
        <is>
          <t>barely-zero-anchored-cup-curve-bra</t>
        </is>
      </c>
    </row>
    <row r="14" ht="56" customHeight="1" s="229">
      <c r="A14" s="880" t="inlineStr">
        <is>
          <t>Pure Comfort Soft Modal Triangle Bra 4.0</t>
        </is>
      </c>
      <c r="B14" s="881" t="inlineStr">
        <is>
          <t>Underwear</t>
        </is>
      </c>
      <c r="C14" s="882" t="n">
        <v>49</v>
      </c>
      <c r="D14" s="882" t="n">
        <v>49</v>
      </c>
      <c r="E14" s="881" t="inlineStr"/>
      <c r="F14" s="883" t="inlineStr">
        <is>
          <t>Introducing the upgraded Pure Comfort Soft Modal Triangle Bra 4.0. The newest addition to our signature Pure Comfort collection. Now with improved semi-fixed cups for softer support, breathable front keyhole detail, and convertible straps with a soft, secure clasp. It's pure comfort, thoughtfully upgraded.</t>
        </is>
      </c>
      <c r="G14" s="884" t="inlineStr">
        <is>
          <t>• Signature blend of soft, breathable, and eco-friendly fabrics: TENCEL‚Ñ¢ Modal, cotton, &amp; LYCRA¬Æ Spandex. • Features triangle cups that are tacked to the bra for easy washing and a natural fit. For those who prefer removable padding, the stitches can easily be removed. • Upgraded Newly Sculpted Bra Pads: designed to reduce visual flaring and minimize gapping, providing a more secure and flattering fit.</t>
        </is>
      </c>
      <c r="H14" s="885" t="inlineStr">
        <is>
          <t>45% Modal, 45% Cotton, 10% LYCRA¬Æ Spandex • Care instructions: For best results, hand wash in cold water. Lay flat to dry. Do not iron</t>
        </is>
      </c>
      <c r="I14" s="886" t="inlineStr">
        <is>
          <t>25.08.08, 25AW, Category_Bras/Cotton, Category_Bras/Everyday, Category_Bras/Medium Support, Category_Lingerie/Wireless Bra, Category_Underwear, Category_Underwear/Tops, Category_Underwear/Tops/Wireless Bra, Category_Underwear/Tops/Wireless Bra/Seamless, Category_Underwear/Tops/Wireless Bra/Triangle, Collection_Pure Comfort, Fabric_Lingerie/Tencel, Fabric_Lounge/Tencel Modal, Feature_Best Seller, Feature_New Arrivals, Pure Comfort Size Bra, SML Size Bra</t>
        </is>
      </c>
      <c r="J14" s="887" t="inlineStr">
        <is>
          <t>pure-comfort-soft-modal-triangle-bra-4-0</t>
        </is>
      </c>
    </row>
    <row r="15" ht="56" customHeight="1" s="229">
      <c r="A15" s="896" t="inlineStr">
        <is>
          <t>Mid-Rise Bootcut Jeans</t>
        </is>
      </c>
      <c r="B15" s="897" t="inlineStr">
        <is>
          <t>Loungewear</t>
        </is>
      </c>
      <c r="C15" s="898" t="n">
        <v>189</v>
      </c>
      <c r="D15" s="898" t="n">
        <v>189</v>
      </c>
      <c r="E15" s="897" t="inlineStr"/>
      <c r="F15" s="899" t="inlineStr">
        <is>
          <t>From casual Fridays to weekend coffee runs, our Mid-Rise Bootcut Jeans blends laid-back style with everyday polish. Crafted from ultra-soft, eco-certified Italian stretch denim, offering you lasting comfort and a subtle flare that sparks effortless movement and sophistication to any outfit.</t>
        </is>
      </c>
      <c r="G15" s="900" t="inlineStr">
        <is>
          <t>• Timeless bootcut design elongates the legs and pairs effortlessly with boots, flats, or sneakers. • A modern take on a classic shape, they feature a gentle flare and a perfectly balanced mid-rise waist. • Detailed with tonal stitching, external logo patches at the back pockets, and clean hardware for an understated, polished look.</t>
        </is>
      </c>
      <c r="H15" s="901" t="inlineStr">
        <is>
          <t>90% Cotton, 8% Elastomultiester, 2% Spandex • Care instructions: For best results, hand wash with a light detergent in cold water</t>
        </is>
      </c>
      <c r="I15" s="902" t="inlineStr">
        <is>
          <t>25.08.08, 25AW, Category_Daywear/Pants, Category_Lounge, Category_Lounge/Bottoms, Category_Lounge/Bottoms/Non-Elastic, Category_Lounge/Pants, Feature_New Arrivals, Function_Lounge/Casual, Non-Elastic Lounge Bottoms</t>
        </is>
      </c>
      <c r="J15" s="903" t="inlineStr">
        <is>
          <t>mid-rise-bootcut-jeans</t>
        </is>
      </c>
    </row>
    <row r="16" ht="56" customHeight="1" s="229">
      <c r="A16" s="888" t="inlineStr">
        <is>
          <t>Barely Zero Light Brief</t>
        </is>
      </c>
      <c r="B16" s="889" t="inlineStr">
        <is>
          <t>Underwear</t>
        </is>
      </c>
      <c r="C16" s="890" t="n">
        <v>19</v>
      </c>
      <c r="D16" s="890" t="n">
        <v>19</v>
      </c>
      <c r="E16" s="889" t="inlineStr"/>
      <c r="F16" s="891" t="inlineStr">
        <is>
          <t>From workouts to wind-downs, our Barely Zero Light Brief keeps up with your every move. With built-in silicone grip along the rim and a no-pinch back panel, it keeps everything in place. This brief is non-restrictive, breathable, and sleek under everything, making it your new go-to for invisible support.</t>
        </is>
      </c>
      <c r="G16" s="892" t="n"/>
      <c r="H16" s="893" t="n"/>
      <c r="I16" s="894" t="inlineStr">
        <is>
          <t>25.08.01, 25AW, BZ One Size Brief, Category_Underwear, Category_Underwear/Bottoms, Category_Underwear/Bottoms/Panties, Category_Underwear/Bottoms/Panties/Mid Waist, Collection_Barely Zero, Collection_Barely Zero/Underwear, Feature_Best Seller, HR-CX</t>
        </is>
      </c>
      <c r="J16" s="895" t="inlineStr">
        <is>
          <t>barely-zero-light-brief</t>
        </is>
      </c>
    </row>
    <row r="17" ht="56" customHeight="1" s="229">
      <c r="A17" s="904" t="inlineStr">
        <is>
          <t>Ballet Boucl√© Yarn Leg Warmers</t>
        </is>
      </c>
      <c r="B17" s="905" t="inlineStr">
        <is>
          <t>Active</t>
        </is>
      </c>
      <c r="C17" s="906" t="n">
        <v>55</v>
      </c>
      <c r="D17" s="906" t="n">
        <v>55</v>
      </c>
      <c r="E17" s="905" t="inlineStr"/>
      <c r="F17" s="907" t="inlineStr">
        <is>
          <t>Our Ballet Boucl√© Yarn Leg Warmers are crafted for clean lines and cozy comfort, reimagined in a performance-grade boucl√© wool blend. Whether you're layering over tights or under trousers, it's a nod to the ski-ready knits of the season, with the grace of ballet tradition.</t>
        </is>
      </c>
      <c r="G17" s="908" t="inlineStr">
        <is>
          <t>• Made from a soft, durable blend of Acrylic, Nylon, and Wool for breathable warmth and everyday wear. • The high-stretch knit construction offers a snug yet flexible fit that stays in place as you move. • The foldable, scrunchable design makes it easy to fold up or down giving you a variety of ballet-inspired looks.</t>
        </is>
      </c>
      <c r="H17" s="909" t="inlineStr">
        <is>
          <t>47% Wool, 31% Acrylic, 22% Nylon • Care instructions: For best results, hand wash with a light detergent in cold water</t>
        </is>
      </c>
      <c r="I17" s="910" t="inlineStr">
        <is>
          <t>25.08.01, 25AW, Activity_Active/Ballet, Category_Active, Category_Active/Accessories, Category_Active/Ballet, Category_Lounge/Accessories, Feature_New Arrivals, Leg Warmers</t>
        </is>
      </c>
      <c r="J17" s="911" t="inlineStr">
        <is>
          <t>ballet-boucle-yarn-leg-warmers</t>
        </is>
      </c>
    </row>
    <row r="18" ht="56" customHeight="1" s="229">
      <c r="A18" s="912" t="inlineStr">
        <is>
          <t>Ribbed Light Support Fixed Cup Sports Bra</t>
        </is>
      </c>
      <c r="B18" s="913" t="inlineStr">
        <is>
          <t>Active</t>
        </is>
      </c>
      <c r="C18" s="914" t="n">
        <v>75</v>
      </c>
      <c r="D18" s="914" t="n">
        <v>75</v>
      </c>
      <c r="E18" s="913" t="inlineStr"/>
      <c r="F18" s="915" t="inlineStr">
        <is>
          <t>A fresh take on comfort, our Ribbed Light Support Fixed Cup Sports Bra is lightweight, breathable, and ultra-stretchy. Designed for softness, subtle support, and is the perfect everyday piece‚Äîwhether you're stretching, lounging, or layering.</t>
        </is>
      </c>
      <c r="G18" s="916" t="inlineStr">
        <is>
          <t>• Quick-drying and breathable for low-impact activities. • Designed with a seamless V-shaped back providing targeted support, greater freedom of movement, and reduced slippage off shoulders. • The fixed cups enhance shaping and eliminate the need for adjustments offering a more secure feel.</t>
        </is>
      </c>
      <c r="H18" s="917" t="inlineStr">
        <is>
          <t>77% Nylon, 23% Spandex • Care instructions: For best results, hand wash with a light detergent in cold water</t>
        </is>
      </c>
      <c r="I18" s="918" t="inlineStr">
        <is>
          <t>25.07.25, 25AW, Active/Shop All, Activity_Active/Ballet, Activity_Active/Ballet&amp;Dance, Activity_Active/Dance, Activity_Active/Gym, Activity_Active/Outdoor, Activity_Active/Pilates, Activity_Active/Running, Activity_Active/Yoga, Category_Active, Category_Active/Ballet, Category_Active/Core, Category_Active/Sport Bra &amp; Top, Category_Active/Sports Bra, Category_Active/Tops, Feature_New Arrivals</t>
        </is>
      </c>
      <c r="J18" s="919" t="inlineStr">
        <is>
          <t>ribbed-light-support-fixed-cup-sports-bra</t>
        </is>
      </c>
    </row>
    <row r="19" ht="56" customHeight="1" s="229">
      <c r="A19" s="904" t="inlineStr">
        <is>
          <t>Ribbed Mousse Padded Long Sleeve T-Shirt</t>
        </is>
      </c>
      <c r="B19" s="905" t="inlineStr">
        <is>
          <t>Active</t>
        </is>
      </c>
      <c r="C19" s="906" t="n">
        <v>99</v>
      </c>
      <c r="D19" s="906" t="n">
        <v>99</v>
      </c>
      <c r="E19" s="905" t="inlineStr"/>
      <c r="F19" s="907" t="inlineStr">
        <is>
          <t>Our Ribbed Mousse Padded Long Sleeve T-shirt merges graceful styling with technical design, featuring built-in chest pads and a layered shoulder structure inspired by classic dancewear. A soft ribbed texture and long sleeve silhouette made for movement and expression.</t>
        </is>
      </c>
      <c r="G19" s="908" t="inlineStr">
        <is>
          <t>• Built-in chest pads and shoulder panels for light support and structure. • Crafted from breathable, quick-drying fabric and features thumb holes for improved grip and a streamlined silhouette. • Designed with convertible sleeves you can tie at the waist or shoulders for a versatile bolero-style look.</t>
        </is>
      </c>
      <c r="H19" s="909" t="inlineStr">
        <is>
          <t>77% Nylon, 23% Spandex • Care instructions: For best results, hand wash with a light detergent in cold water</t>
        </is>
      </c>
      <c r="I19" s="910" t="inlineStr">
        <is>
          <t>25.07.25, 25AW, Active/Ballet/Tops, Active/Bras &amp; Tops, Active/Shop All, Active/Sports Bras &amp;Tops, Activity_Active/Ballet, Activity_Active/Ballet&amp;Dance, Activity_Active/Dance, Activity_Active/Gym, Activity_Active/Outdoor, Activity_Active/Pilates, Activity_Active/Yoga, Category_Active, Category_Active/Ballet, Category_Active/Sport Bra &amp; Top, Category_Active/Tops, Feature_New Arrivals</t>
        </is>
      </c>
      <c r="J19" s="911" t="inlineStr">
        <is>
          <t>ribbed-mousse-padded-long-sleeve-t-shirt</t>
        </is>
      </c>
    </row>
    <row r="20" ht="42" customHeight="1" s="229">
      <c r="A20" s="912" t="inlineStr">
        <is>
          <t>Double Mesh Fixed Cup Dance Bra Top</t>
        </is>
      </c>
      <c r="B20" s="913" t="inlineStr">
        <is>
          <t>Active</t>
        </is>
      </c>
      <c r="C20" s="914" t="n">
        <v>85</v>
      </c>
      <c r="D20" s="914" t="n">
        <v>85</v>
      </c>
      <c r="E20" s="913" t="inlineStr"/>
      <c r="F20" s="915" t="inlineStr">
        <is>
          <t>Designed for graceful movement, our Double Mesh Fixed Cup Dance Bra Top offers breathable support with a structured, feminine silhouette. Its dual-layer mesh and fixed cups create a secure fit that moves with you through every pose.</t>
        </is>
      </c>
      <c r="G20" s="916" t="inlineStr">
        <is>
          <t>• Dual mesh layers with light inner support and pleated texture. • Breathable mesh construction keeps you cool and dry. • Smooth, wire-free silhouette for layering ease and fixed cup pads for unrestricted motion.</t>
        </is>
      </c>
      <c r="H20" s="917" t="inlineStr">
        <is>
          <t>80% Nylon, 20% Spandex • Care instructions: For best results, hand wash with a light detergent in cold water</t>
        </is>
      </c>
      <c r="I20" s="918" t="inlineStr">
        <is>
          <t>25.07.25, 25AW, Active/Ballet/Tops, Active/Bras &amp; Tops, Active/Bras &amp; Tops/Sports Bra, Active/Sports Bras &amp;Tops, Activity_Active/Ballet, Activity_Active/Ballet&amp;Dance, Activity_Active/Dance, Activity_Active/Gym, Activity_Active/Pilates, Activity_Active/Yoga, Category_Active, Category_Active/Ballet, Category_Active/Tops, Feature_New Arrivals</t>
        </is>
      </c>
      <c r="J20" s="919" t="inlineStr">
        <is>
          <t>double-mesh-fixed-cup-dance-bra-top</t>
        </is>
      </c>
    </row>
    <row r="21" ht="42" customHeight="1" s="229">
      <c r="A21" s="904" t="inlineStr">
        <is>
          <t>Knot Dance Leggings</t>
        </is>
      </c>
      <c r="B21" s="905" t="inlineStr">
        <is>
          <t>Active</t>
        </is>
      </c>
      <c r="C21" s="906" t="n">
        <v>99</v>
      </c>
      <c r="D21" s="906" t="n">
        <v>99</v>
      </c>
      <c r="E21" s="905" t="inlineStr"/>
      <c r="F21" s="907" t="inlineStr">
        <is>
          <t>Our Knot Dance Leggings combine graceful design with modern performance. Engineered from brushed double-sided fabric, they deliver softness, support, and all-day performance making these leggings a must-have for dance, yoga, and beyond.</t>
        </is>
      </c>
      <c r="G21" s="908" t="inlineStr">
        <is>
          <t>• Statement ankle knot design at hem for a stylish upgrade. • The soft brushed fabric hugs the body with a barely-there feel while offering breathability and flexibility. • The center-seam-free front offers a smoother, more flattering fit with no awkward bunching and is perfect for both active movement and styling.</t>
        </is>
      </c>
      <c r="H21" s="909" t="inlineStr">
        <is>
          <t>80% Polyamide, 20% Spandex • Care instructions: For best results, hand wash with a light detergent in cold water</t>
        </is>
      </c>
      <c r="I21" s="910" t="inlineStr">
        <is>
          <t>25.07.11, 25AW, Active/Shop All, Activity_Active/Ballet, Activity_Active/Ballet&amp;Dance, Activity_Active/Dance, Activity_Active/Gym, Activity_Active/Jogging, Activity_Active/Outdoor, Activity_Active/Pilates, Activity_Active/Running, Activity_Active/Yoga, Category_Active, Category_Active/Ballet, Category_Active/Core, Category_Active/Leggings, Category_Active/Leggings &amp; Skirt, Feature_New Arrival, Feature_New Arrivals</t>
        </is>
      </c>
      <c r="J21" s="911" t="inlineStr">
        <is>
          <t>knot-dance-leggings</t>
        </is>
      </c>
    </row>
    <row r="22" ht="42" customHeight="1" s="229">
      <c r="A22" s="880" t="inlineStr">
        <is>
          <t>Barely Zero Anchored Cup Classic Bra - TikTok</t>
        </is>
      </c>
      <c r="B22" s="881" t="inlineStr">
        <is>
          <t>Underwear</t>
        </is>
      </c>
      <c r="C22" s="882" t="n">
        <v>39</v>
      </c>
      <c r="D22" s="882" t="n">
        <v>39</v>
      </c>
      <c r="E22" s="881" t="inlineStr"/>
      <c r="F22" s="883" t="inlineStr">
        <is>
          <t>Elevate your confidence with our Barely Zero Fixed Cup Classic Bra offering effortless comfort &amp; natural support. Designed for a "barely-there" feel with gentle shaping and fixed cups, making it an essential bra for your wardrobe.</t>
        </is>
      </c>
      <c r="G22" s="884" t="inlineStr">
        <is>
          <t>• Anchored cups provide soft, natural shaping and support‚Äîsecurely sewn in place to prevent shifting, ensuring effortless comfort all day long. • Wide shoulder straps enhance support and comfort, ideal for larger busts. • Smooth and simple design ensures a seamless and almost invisible feel for a no-show look under fitted clothing.</t>
        </is>
      </c>
      <c r="H22" s="885" t="inlineStr">
        <is>
          <t>68% Polyamide, 32% Spandex • Care instructions: For best results, hand wash with a light detergent in cold water</t>
        </is>
      </c>
      <c r="I22" s="886" t="inlineStr">
        <is>
          <t>25.02.07, 25SS, BZ Classic Bra, Categeory_Underwear, Category_Bras/Everyday, Category_Bras/Medium Support, Category_Lingerie/Wireless Bra, Category_Underwear, Category_Underwear/Tops, Category_Underwear/Tops/Wireless Bra, Collection_Barely Zero, Collection_Barely Zero/Bras, Collection_Barely Zero/Underwear, Feature_Best Seller, Feature_New Arrival, Tariff Final Sale, US Evergreen, US Inventory, US Main</t>
        </is>
      </c>
      <c r="J22" s="887" t="inlineStr">
        <is>
          <t>barely-zero-anchored-cup-classic-bra-tiktok</t>
        </is>
      </c>
    </row>
    <row r="23" ht="56" customHeight="1" s="229">
      <c r="A23" s="888" t="inlineStr">
        <is>
          <t>Barely Zero Anchored Cup Spaghetti Strap Bra - TikTok</t>
        </is>
      </c>
      <c r="B23" s="889" t="inlineStr">
        <is>
          <t>Underwear</t>
        </is>
      </c>
      <c r="C23" s="890" t="n">
        <v>39</v>
      </c>
      <c r="D23" s="890" t="n">
        <v>39</v>
      </c>
      <c r="E23" s="889" t="inlineStr"/>
      <c r="F23" s="891" t="inlineStr">
        <is>
          <t>The latest edition to our Barely Zero collection is designed for all-day ease with a blend of effortless comfort and support. Our new Barely Zero Anchored Cup Spaghetti Strap Bra is a staple for any closet. The seamless one-size fit adapts effortlessly to your body for a second-skin feel.</t>
        </is>
      </c>
      <c r="G23" s="892" t="inlineStr">
        <is>
          <t>• Adaptive Fit Technology: One-size design comfortably adapts to different body shapes and sizes. • Anchored cups provide soft, natural shaping and support‚Äîsecurely sewn in place to prevent shifting, ensuring effortless comfort all day long. •Pair with our Barely Zero seamless underwear for an invisible, no-show finish under any outfit.</t>
        </is>
      </c>
      <c r="H23" s="893" t="inlineStr">
        <is>
          <t>68% Polyamide, 32% Spandex • Care instructions: For best results, hand wash with a light detergent in cold water</t>
        </is>
      </c>
      <c r="I23" s="894" t="inlineStr">
        <is>
          <t>25.02.07, 25SS, BZ Spaghetti Bra, Categeory_Underwear, Category_Bras/Medium Support, Category_Lingerie/Wireless Bra, Category_Lounge/Tops, Category_Underwear, Category_Underwear/Tops, Category_Underwear/Tops/Wireless Bra, Collection_Barely Zero, Collection_Barely Zero/Bras, Collection_Barely Zero/Underwear, Feature_Best Seller, Feature_New Arrival, Tariff Final Sale, US Evergreen, US Inventory, US Main</t>
        </is>
      </c>
      <c r="J23" s="895" t="inlineStr">
        <is>
          <t>barely-zero-anchored-cup-spaghetti-strap-bra-tiktok</t>
        </is>
      </c>
    </row>
    <row r="24" ht="56" customHeight="1" s="229">
      <c r="A24" s="912" t="inlineStr">
        <is>
          <t>Mousse Flare Leggings</t>
        </is>
      </c>
      <c r="B24" s="913" t="inlineStr">
        <is>
          <t>Active</t>
        </is>
      </c>
      <c r="C24" s="914" t="n">
        <v>119</v>
      </c>
      <c r="D24" s="914" t="n">
        <v>119</v>
      </c>
      <c r="E24" s="913" t="inlineStr"/>
      <c r="F24" s="915" t="inlineStr">
        <is>
          <t>Our Mousse Flare Leggings feature a flattering full-length, slightly flared silhouette designed to support effortless movement while sculpting and smoothing from waist to hem. Making it the perfect piece to seamlessly transitions from studio to street.</t>
        </is>
      </c>
      <c r="G24" s="916" t="inlineStr">
        <is>
          <t>•Double-sided brushed Mousse fabric: Ultra-soft, delicate texture that feels smooth against the skin. • With side pockets and a wide, stay-put waistband, these leggings sculpt the waist while keeping your essentials close. •Moisture-wicking &amp; quick-drying: Actively pulls sweat away to keep you cool and dry.</t>
        </is>
      </c>
      <c r="H24" s="917" t="inlineStr">
        <is>
          <t>80% Nylon, 20% Spandex • Care instructions: For best results, hand wash with a light detergent in cold water</t>
        </is>
      </c>
      <c r="I24" s="918" t="inlineStr">
        <is>
          <t>25.07.11, 25AW, Activity_Active/Ballet, Activity_Active/Ballet&amp;Dance, Activity_Active/Dance, Activity_Active/Gym, Activity_Active/Outdoor, Activity_Active/Pilates, Activity_Active/Yoga, Category_Active, Category_Active/Ballet, Category_Active/Joggers, Category_Active/Leggings, Feature_New Arrival, Feature_New Arrivals</t>
        </is>
      </c>
      <c r="J24" s="919" t="inlineStr">
        <is>
          <t>mousse-flare-leggings</t>
        </is>
      </c>
    </row>
    <row r="25" ht="56" customHeight="1" s="229">
      <c r="A25" s="904" t="inlineStr">
        <is>
          <t>2-Pack Ankle Socks</t>
        </is>
      </c>
      <c r="B25" s="905" t="inlineStr">
        <is>
          <t>Active</t>
        </is>
      </c>
      <c r="C25" s="906" t="n">
        <v>25</v>
      </c>
      <c r="D25" s="906" t="n">
        <v>25</v>
      </c>
      <c r="E25" s="905" t="inlineStr"/>
      <c r="F25" s="907" t="inlineStr">
        <is>
          <t>Our 2-Pack Ankle Socks deliver everyday comfort with breathable support, crafted from soft long-staple cotton yarn. Designed with plush terry cushioning and breathable mesh zones, they're ideal for everything from morning walks to cozy nights in.</t>
        </is>
      </c>
      <c r="G25" s="908" t="inlineStr">
        <is>
          <t>• Terry-lined sole and heel for added plushness. • Breathable mesh panels for all-day ventilation • Enhanced elastic cuffs for a secure, no-slip fit.</t>
        </is>
      </c>
      <c r="H25" s="909" t="inlineStr">
        <is>
          <t>68% Cotton, 27% Nylon, 5% Spandex • Care instructions: For best results, hand wash with a light detergent in cold water</t>
        </is>
      </c>
      <c r="I25" s="910" t="inlineStr">
        <is>
          <t>25.07.11, 25AW, Active/Shop All, Activity_Active/Ballet, Activity_Active/Dance, Activity_Active/Gym, Activity_Active/Jogging, Activity_Active/Outdoor, Activity_Active/Running, Activity_Active/Tennis, Bundle Collection, Category_Active, Category_Active/Accessories, Category_Active/Ballet, Category_Active/Core, Category_Lounge/Accessories, Feature_New Arrivals, Womens Socks</t>
        </is>
      </c>
      <c r="J25" s="911" t="inlineStr">
        <is>
          <t>2-pack-ankle-socks</t>
        </is>
      </c>
    </row>
    <row r="26" ht="56" customHeight="1" s="229">
      <c r="A26" s="912" t="inlineStr">
        <is>
          <t>Cargo Pants</t>
        </is>
      </c>
      <c r="B26" s="913" t="inlineStr">
        <is>
          <t>Active</t>
        </is>
      </c>
      <c r="C26" s="914" t="n">
        <v>125</v>
      </c>
      <c r="D26" s="914" t="n">
        <v>125</v>
      </c>
      <c r="E26" s="913" t="inlineStr"/>
      <c r="F26" s="915" t="inlineStr">
        <is>
          <t>Our Cargo Pants combine the structure of classic workwear with a sleek, modern silhouette. The relaxed, straight-leg shape flatters the figure, while zippered cargo pockets lend a bold, street-style finish. Striking the perfect balance between function and everyday comfort.</t>
        </is>
      </c>
      <c r="G26" s="916" t="inlineStr">
        <is>
          <t>•Moisture-wicking &amp; quick-drying: Keeps you dry and cool throughout the day, even during commutes or light activity • 3D zippered cargo pockets: Adds functional storage and a statement utility detail to both pant legs. •Versatile styling: Easily pairs with tanks, oversized shirts, or sporty outerwear for different occasions</t>
        </is>
      </c>
      <c r="H26" s="917" t="inlineStr">
        <is>
          <t>78% Nylon, 22% Spandex • Care instructions: For best results, hand wash with a light detergent in cold water</t>
        </is>
      </c>
      <c r="I26" s="918" t="inlineStr">
        <is>
          <t>25.07.11, 25AW, Active/Shop All, Activity_Active/Dance, Activity_Active/Gym, Activity_Active/Outdoor, Category_Active, Category_Active/Core, Category_Active/Joggers, Feature_New Arrival, Feature_New Arrivals</t>
        </is>
      </c>
      <c r="J26" s="919" t="inlineStr">
        <is>
          <t>cargo-pants</t>
        </is>
      </c>
    </row>
    <row r="27" ht="126" customHeight="1" s="229">
      <c r="A27" s="880" t="inlineStr">
        <is>
          <t>Barely Zero Camisole - TikTok</t>
        </is>
      </c>
      <c r="B27" s="881" t="inlineStr">
        <is>
          <t>Underwear</t>
        </is>
      </c>
      <c r="C27" s="882" t="n">
        <v>49</v>
      </c>
      <c r="D27" s="882" t="n">
        <v>49</v>
      </c>
      <c r="E27" s="881" t="inlineStr"/>
      <c r="F27" s="883" t="inlineStr">
        <is>
          <t>The support and comfort you love from Barely Zero is now available in a cami! This wardrobe essential features built-in support and provides a smooth, seamless fit for effortless layering. • Features built-in shelf bra with fixed cups and adjustable straps for staple support and easy care. • Seamless edges create an invisible finish under tops. • Made from our best-selling CloudFit fabric: soft, ultra-elastic, and moisture-wicking. Doesn't dig in or show lines, even under tight clothing!• Materials: 67% CloudFit nylon blend, 33% Spandex • For best results, we recommend handwashing in cool water. Hang or lay flat to dry in a cool, shaded place.</t>
        </is>
      </c>
      <c r="G27" s="884" t="n"/>
      <c r="H27" s="885" t="n"/>
      <c r="I27" s="886" t="inlineStr">
        <is>
          <t>24.7.25, 24AW, Category_Lounge, Category_Lounge/Tees&amp;Tanks, Category_Lounge/Tops, Collection_Barely Zero, Feature_Best Seller, Feature_New Arrivals, Priority Products, US Evergreen, US Inventory, US Main</t>
        </is>
      </c>
      <c r="J27" s="887" t="inlineStr">
        <is>
          <t>barely-zero-camisole-tiktok</t>
        </is>
      </c>
    </row>
    <row r="28" ht="112" customHeight="1" s="229">
      <c r="A28" s="888" t="inlineStr">
        <is>
          <t>Bandeau Bra - TikTok</t>
        </is>
      </c>
      <c r="B28" s="889" t="inlineStr">
        <is>
          <t>Underwear</t>
        </is>
      </c>
      <c r="C28" s="890" t="n">
        <v>38</v>
      </c>
      <c r="D28" s="890" t="n">
        <v>38</v>
      </c>
      <c r="E28" s="889" t="inlineStr"/>
      <c r="F28" s="891" t="inlineStr">
        <is>
          <t>This isn't your average Bandeau Bra. Thoughtfully engineered with fixed shaping, breathable stretch, and stay-put technology. With three ways to wear it, it offers clean lines and quiet confidence for every day. • Removable thin straps that can be worn in 3 ways: bandeau, regular, or cross-back. • Silicone support strips grip without pressure for all-day comfort. • Sculpted one-piece padding provides stable support during movement and a smooth, natural shape.• Materials: 65% Nylon, 35% Spandex • Care instructions: For best results, hand wash with a light detergent in cold water. Hang or lay flat to dry away from direct sunlight.</t>
        </is>
      </c>
      <c r="G28" s="892" t="n"/>
      <c r="H28" s="893" t="n"/>
      <c r="I28" s="894" t="inlineStr">
        <is>
          <t>23SS A3 Size Bra, 25SS, Category_Bras/Everyday, Category_Bras/Medium Support, Category_Lingerie, Category_Underwear, Category_Underwear/Tops/Wireless Bra, Category_Underwear/Tops/Wireless Bra/Seamless, Feature_Best Seller, Feature_New Arrivals</t>
        </is>
      </c>
      <c r="J28" s="895" t="inlineStr">
        <is>
          <t>bandeau-bra-tiktok</t>
        </is>
      </c>
    </row>
    <row r="29" ht="56" customHeight="1" s="229">
      <c r="A29" s="880" t="inlineStr">
        <is>
          <t>UltraFlex Light Bra</t>
        </is>
      </c>
      <c r="B29" s="881" t="inlineStr">
        <is>
          <t>Underwear</t>
        </is>
      </c>
      <c r="C29" s="882" t="n">
        <v>38</v>
      </c>
      <c r="D29" s="882" t="n">
        <v>38</v>
      </c>
      <c r="E29" s="881" t="inlineStr"/>
      <c r="F29" s="883" t="inlineStr">
        <is>
          <t>Our Ultraflex Light Bra is crafted from ultra-soft, lightweight fabric that feels as smooth as butter against your skin. Designed for effortless everyday wear, its sleek silhouette and featherlight support make it ideal for both lounging and layering in warmer weather.</t>
        </is>
      </c>
      <c r="G29" s="884" t="inlineStr">
        <is>
          <t>• Fixed cup pads with dual front shoulder straps and adjustable back straps. • Seamless molded surface with no back clasp for a smooth, traceless look. • Lightweight design with breathable, quick-dry performance.</t>
        </is>
      </c>
      <c r="H29" s="885" t="inlineStr">
        <is>
          <t>75% Polyamide, 25% Spandex • Care instructions: For best results, hand wash with a light detergent in cold water</t>
        </is>
      </c>
      <c r="I29" s="886" t="inlineStr">
        <is>
          <t>23SS A3 Size Bra, 25.06.13, 25SS, Category_Bras/Light Support, Category_Lingerie/Wireless Bra, Category_Underwear, Category_Underwear/Tops, Category_Underwear/Tops/Wireless Bra, Category_Underwear/Tops/Wireless Bra/Seamless, Feature_Best Seller, Feature_New Arrivals</t>
        </is>
      </c>
      <c r="J29" s="887" t="inlineStr">
        <is>
          <t>ultraflex-light-bra</t>
        </is>
      </c>
    </row>
    <row r="30" ht="56" customHeight="1" s="229">
      <c r="A30" s="888" t="inlineStr">
        <is>
          <t>UltraFlex Light Mid Waist Brief 3-Pack</t>
        </is>
      </c>
      <c r="B30" s="889" t="inlineStr">
        <is>
          <t>Underwear</t>
        </is>
      </c>
      <c r="C30" s="890" t="n">
        <v>30</v>
      </c>
      <c r="D30" s="890" t="n">
        <v>30</v>
      </c>
      <c r="E30" s="889" t="inlineStr"/>
      <c r="F30" s="891" t="inlineStr">
        <is>
          <t>Discover ultimate comfort and flexibility with the UltraFlex Light Mid-Waist Briefs (3-Pack). Crafted with delicate feather-light fabric and a seamless finish, these briefs are smooth, supportive, and subtly sculpting. Perfectly stretchy, keeping you cool and confident from morning to night.</t>
        </is>
      </c>
      <c r="G30" s="892" t="inlineStr">
        <is>
          <t>• Designed without elastic for a gentle, non-binding fit around the waist and legs. • Moisture-wicking cotton lining for fresh, breathable wear. • High-stretch fabric with full hip coverage and a seamless finish.</t>
        </is>
      </c>
      <c r="H30" s="893" t="inlineStr">
        <is>
          <t>75% Polyamide, 25% Spandex • Care instructions: For best results, hand wash with a light detergent in cold water</t>
        </is>
      </c>
      <c r="I30" s="894" t="inlineStr">
        <is>
          <t>23 XS-XL Briefs, 25.05.21, 25SS, Bundle Collection, Category_Lingerie/Brief, Category_Lingerie/Brief/Mid Waist, Category_Underwear, Category_Underwear/Bottoms, Category_Underwear/Bottoms/Panties, Category_Underwear/Bottoms/Panties/Mid Waist, Feature_Best Seller, Feature_New Arrivals, HR-CX</t>
        </is>
      </c>
      <c r="J30" s="895" t="inlineStr">
        <is>
          <t>ultraflex-light-mid-waist-brief-3-pack</t>
        </is>
      </c>
    </row>
    <row r="31" ht="42" customHeight="1" s="229">
      <c r="A31" s="880" t="inlineStr">
        <is>
          <t>Bandeau Bra</t>
        </is>
      </c>
      <c r="B31" s="881" t="inlineStr">
        <is>
          <t>Underwear</t>
        </is>
      </c>
      <c r="C31" s="882" t="n">
        <v>38</v>
      </c>
      <c r="D31" s="882" t="n">
        <v>38</v>
      </c>
      <c r="E31" s="881" t="inlineStr"/>
      <c r="F31" s="883" t="inlineStr">
        <is>
          <t>This isn't your average Bandeau Bra. Thoughtfully engineered with fixed shaping, breathable stretch, and stay-put technology. With three ways to wear it, it offers clean lines and quiet confidence for every day.</t>
        </is>
      </c>
      <c r="G31" s="884" t="n"/>
      <c r="H31" s="885" t="n"/>
      <c r="I31" s="886" t="inlineStr">
        <is>
          <t>23SS A3 Size Bra, 25SS, Category_Bras/Everyday, Category_Bras/Medium Support, Category_Lingerie, Category_Underwear, Category_Underwear/Tops/Wireless Bra, Category_Underwear/Tops/Wireless Bra/Seamless, Feature_Best Seller, Feature_New Arrivals</t>
        </is>
      </c>
      <c r="J31" s="887" t="inlineStr">
        <is>
          <t>bandeau-bra</t>
        </is>
      </c>
    </row>
    <row r="32" ht="70" customHeight="1" s="229">
      <c r="A32" s="904" t="inlineStr">
        <is>
          <t>Strappy One-Piece Swimsuit</t>
        </is>
      </c>
      <c r="B32" s="905" t="inlineStr">
        <is>
          <t>Active</t>
        </is>
      </c>
      <c r="C32" s="906" t="n">
        <v>135</v>
      </c>
      <c r="D32" s="906" t="n">
        <v>135</v>
      </c>
      <c r="E32" s="905" t="inlineStr"/>
      <c r="F32" s="907" t="inlineStr">
        <is>
          <t>Crafted from soft nylon interwoven with ultra-fine gold silk, our Strappy One-Piece Swimsuit offers a subtle shimmer and luxurious feel. With a seamless silhouette, flattering waist detail, and adjustable strappy back, it brings effortless elegance to any summer escape. Fit tip: If you're in between sizes, we recommend sizing up.</t>
        </is>
      </c>
      <c r="G32" s="908" t="inlineStr">
        <is>
          <t>• Soft gold-threaded fabric with a soft shimmer finish for a dreamy vacation glow. • Seamless front-to-back panel and removable cups for a refined silhouette and smooth, skin-friendly touch. • Adjustable pull-through straps and waistline contouring details for a custom fit.</t>
        </is>
      </c>
      <c r="H32" s="909" t="inlineStr">
        <is>
          <t>65% Polyamide, 21% Spandex, 14% Polyester • Care instructions: For best results, hand wash with like colors in cold water</t>
        </is>
      </c>
      <c r="I32" s="910" t="inlineStr">
        <is>
          <t>25.04.18, 25SS, Activity_Active/Swim, Category_Active, Category_Active/Swimwear, Category_Active/Swimwear/One_Piece, Feature_New Arrivals, Tariff Final Sale</t>
        </is>
      </c>
      <c r="J32" s="911" t="inlineStr">
        <is>
          <t>strappy-one-piece-swimsuit</t>
        </is>
      </c>
    </row>
    <row r="33" ht="56" customHeight="1" s="229">
      <c r="A33" s="912" t="inlineStr">
        <is>
          <t>Ballet Drawstring Joggers</t>
        </is>
      </c>
      <c r="B33" s="913" t="inlineStr">
        <is>
          <t>Active</t>
        </is>
      </c>
      <c r="C33" s="914" t="n">
        <v>119</v>
      </c>
      <c r="D33" s="914" t="n">
        <v>119</v>
      </c>
      <c r="E33" s="913" t="inlineStr"/>
      <c r="F33" s="915" t="inlineStr">
        <is>
          <t>Inspired by ballet aesthetics, our Ballet Drawstring Joggers offer a graceful balance between style and function. Featuring a relaxed yet structured fit with adjustable details, these pants provide freedom of movement, breathability, and a sleek, feminine silhouette.</t>
        </is>
      </c>
      <c r="G33" s="916" t="inlineStr">
        <is>
          <t>• Elastic waistband with adjustable drawstring ensures a secure and flexible fit for different body types. • Adjustable drawstring cuffs customize the fit for a tapered or relaxed look. • Moisture-wicking four-way stretch fabric allows for a smooth, breathable, and flexible material, enhancing mobility and comfort.</t>
        </is>
      </c>
      <c r="H33" s="917" t="inlineStr">
        <is>
          <t>81% Polyamide, 19% Spandex • Care instructions: For best results, hand wash with a light detergent in cold water</t>
        </is>
      </c>
      <c r="I33" s="918" t="inlineStr">
        <is>
          <t>25.03.14, 25SS, Activity_Active/Ballet, Activity_Active/Ballet&amp;Dance, Activity_Active/Gym, Activity_Active/Jogging, Category_Active, Category_Active/Joggers, Tariff Final Sale</t>
        </is>
      </c>
      <c r="J33" s="919" t="inlineStr">
        <is>
          <t>ballet-drawstring-joggers-2</t>
        </is>
      </c>
    </row>
    <row r="34" ht="56" customHeight="1" s="229">
      <c r="A34" s="904" t="inlineStr">
        <is>
          <t>Mousse Fixed Cup Light Support Sports Bra</t>
        </is>
      </c>
      <c r="B34" s="905" t="inlineStr">
        <is>
          <t>Active</t>
        </is>
      </c>
      <c r="C34" s="906" t="n">
        <v>75</v>
      </c>
      <c r="D34" s="906" t="n">
        <v>75</v>
      </c>
      <c r="E34" s="905" t="inlineStr"/>
      <c r="F34" s="907" t="inlineStr">
        <is>
          <t>Our Mousse Fixed Cup Light Support Sports Bra is designed to provide comfortable and secure support for low-impact activities. Featuring a sleek, seamless front and a unique back cutout, this bra combines style and functionality for effortless all-day wear.</t>
        </is>
      </c>
      <c r="G34" s="908" t="inlineStr">
        <is>
          <t>• Offers gentle support and lift for Yoga, Pilates, and other low-intensity activities. • Built-in elastic band for a smooth, skin-hugging fit. • Features fixed cups and V-shaped back straps for non-restrictive movement &amp; comfort.</t>
        </is>
      </c>
      <c r="H34" s="909" t="inlineStr">
        <is>
          <t>81% Polyamide, 19% Spandex • Care instructions: For best results, hand wash with a light detergent in cold water</t>
        </is>
      </c>
      <c r="I34" s="910" t="inlineStr">
        <is>
          <t>25.03.14, 25SS, Active/Bras &amp; Tops/Sports Bra, Active/Sports Bras &amp;Tops, Activity_Active/Gym, Activity_Active/Jogging, Activity_Active/Running, Activity_Active/Yoga, B1 Sports Bra, Category_Active, Category_Active/Core, Category_Active/Sport Bra &amp; Top, Category_Active/Sports Bra, Category_Bras/Light Support, Tariff Final Sale</t>
        </is>
      </c>
      <c r="J34" s="911" t="inlineStr">
        <is>
          <t>mousse-fixed-cup-light-support-sports-bra-2</t>
        </is>
      </c>
    </row>
    <row r="35" ht="56" customHeight="1" s="229">
      <c r="A35" s="912" t="inlineStr">
        <is>
          <t>Mousse Biker Shorts</t>
        </is>
      </c>
      <c r="B35" s="913" t="inlineStr">
        <is>
          <t>Active</t>
        </is>
      </c>
      <c r="C35" s="914" t="n">
        <v>89</v>
      </c>
      <c r="D35" s="914" t="n">
        <v>89</v>
      </c>
      <c r="E35" s="913" t="inlineStr"/>
      <c r="F35" s="915" t="inlineStr">
        <is>
          <t>Our Mousse Biker Shorts offer exceptional comfort and breathability, designed for cycling or daily sports activities. Made with breathable, soft-touch mousse fabric, delivering all-day ease that feels great on the skin and tailored for a flattering fit made to move with you.</t>
        </is>
      </c>
      <c r="G35" s="916" t="inlineStr">
        <is>
          <t>• Arc-shaped back detailed stitching enhances the hip shape. • High-waisted with hidden waistband pockets for small necessities. • Dual Sensation‚Äîsoft and brushed on the outside, cool and sleek next to skin.</t>
        </is>
      </c>
      <c r="H35" s="917" t="inlineStr">
        <is>
          <t>81% Polyamide, 19% Spandex • Care instructions: For best results, hand wash with a light detergent in cold water</t>
        </is>
      </c>
      <c r="I35" s="918" t="inlineStr">
        <is>
          <t>25.03.14, 25SS, Activity_Active/Gym, Activity_Active/Jogging, Activity_Active/Outdoor, Activity_Active/Running, Category_Active, Category_Active/Core, Category_Active/Leggings, Category_Active/Shorts, Tariff Final Sale</t>
        </is>
      </c>
      <c r="J35" s="919" t="inlineStr">
        <is>
          <t>mousse-biker-shorts</t>
        </is>
      </c>
    </row>
    <row r="36" ht="56" customHeight="1" s="229">
      <c r="A36" s="904" t="inlineStr">
        <is>
          <t>Mousse Fixed Cup Racerback Sports Bra</t>
        </is>
      </c>
      <c r="B36" s="905" t="inlineStr">
        <is>
          <t>Active</t>
        </is>
      </c>
      <c r="C36" s="906" t="n">
        <v>75</v>
      </c>
      <c r="D36" s="906" t="n">
        <v>75</v>
      </c>
      <c r="E36" s="905" t="inlineStr"/>
      <c r="F36" s="907" t="inlineStr">
        <is>
          <t>Designed for low-impact activities, our Mousse Fixed Cup Racerback Sports Bra features a sleek high-neck silhouette with a stylish open-back strap design for a balance of coverage and elegance. Built-in fixed cups provide light shaping and support maintaining a smooth, natural look created to move with you.</t>
        </is>
      </c>
      <c r="G36" s="908" t="inlineStr">
        <is>
          <t>• Fixed teardrop-shaped cups prevents cup shifting. • Racerback style with elastic straps allows for more flexibility &amp; support during physical activities. • Soft, Moisture-Wicking Mousse Fabric offers a four-way stretch to ensure comfortability, softness, and all-day ease.</t>
        </is>
      </c>
      <c r="H36" s="909" t="inlineStr">
        <is>
          <t>81% Polyamide, 19% Spandex • Care instructions: For best results, hand wash with a light detergent in cold water</t>
        </is>
      </c>
      <c r="I36" s="910" t="inlineStr">
        <is>
          <t>25.03.14, 25SS, Activity_Active/Gym, Activity_Active/Jogging, Activity_Active/Outdoor, Activity_Active/Running, Activity_Active/Yoga, B1 Sports Bra, Category_Active, Category_Active/Core, Category_Active/Sport Bra &amp; Top, Category_Active/Sports Bra, Category_Bras/Light Support, Tariff Final Sale</t>
        </is>
      </c>
      <c r="J36" s="911" t="inlineStr">
        <is>
          <t>mousse-fixed-cup-racerback-sports-bra</t>
        </is>
      </c>
    </row>
    <row r="37" ht="56" customHeight="1" s="229">
      <c r="A37" s="912" t="inlineStr">
        <is>
          <t>Soft Touch Dance Tee</t>
        </is>
      </c>
      <c r="B37" s="913" t="inlineStr">
        <is>
          <t>Active</t>
        </is>
      </c>
      <c r="C37" s="914" t="n">
        <v>55</v>
      </c>
      <c r="D37" s="914" t="n">
        <v>55</v>
      </c>
      <c r="E37" s="913" t="inlineStr"/>
      <c r="F37" s="915" t="inlineStr">
        <is>
          <t>Designed for effortless movement and all-day comfort, the Soft Touch Dance Tee features a relaxed fit and breathable, moisture-wicking fabric. Delicate pleats and a cotton-like softness make it perfect for layering or wearing solo with a chic, sporty touch.</t>
        </is>
      </c>
      <c r="G37" s="916" t="inlineStr">
        <is>
          <t>• Delicate pleated detailing at the chest adds an additional layer of elegance. • Moisture-Wicking &amp; Quick-Drying fabric–keeping you cool and fresh during activity. • Features a reflective logo to enhance visibility in low-light settings for added safety.</t>
        </is>
      </c>
      <c r="H37" s="917" t="inlineStr">
        <is>
          <t>100% Polyester • Care instructions: For best results, hand wash with a light detergent in cold water</t>
        </is>
      </c>
      <c r="I37" s="918" t="inlineStr">
        <is>
          <t>25.03.14, 25SS, Activity_Active/Ballet&amp;Dance, Activity_Active/Gym, Category_Active, Category_Active/Ballet, Category_Active/Sport Bra &amp; Top, Category_Active/Tops, Tariff Final Sale</t>
        </is>
      </c>
      <c r="J37" s="919" t="inlineStr">
        <is>
          <t>soft-touch-dance-tee</t>
        </is>
      </c>
    </row>
    <row r="38" ht="56" customHeight="1" s="229">
      <c r="A38" s="920" t="inlineStr">
        <is>
          <t>Crossbody Sport Bag</t>
        </is>
      </c>
      <c r="B38" s="921" t="inlineStr">
        <is>
          <t>Accessories</t>
        </is>
      </c>
      <c r="C38" s="922" t="n">
        <v>79</v>
      </c>
      <c r="D38" s="922" t="n">
        <v>79</v>
      </c>
      <c r="E38" s="921" t="inlineStr"/>
      <c r="F38" s="923" t="inlineStr">
        <is>
          <t>Designed for movement, our Crossbody Sport Bag is a stylish and functional essential for your active lifestyle. Wear it crossbody or over the shoulder for effortless movement and for hands-free action. Its structured design maintains its shape while staying comfortable to carry for those on-the-go days!</t>
        </is>
      </c>
      <c r="G38" s="924" t="inlineStr">
        <is>
          <t>• Adjustable non-slip strap ensures a secure and comfortable fit for all-day wear. • Spacious &amp; Organized–multiple compartments for easy storage of essentials. Width 12.5" Height 15.7" • Water-Repellent Fabric–protects belongings from light rain and accidental spills.</t>
        </is>
      </c>
      <c r="H38" s="925" t="inlineStr">
        <is>
          <t>81% Polyamide, 19% Spandex • Care instructions: For best results, hand wash with a light detergent in cold water</t>
        </is>
      </c>
      <c r="I38" s="926" t="inlineStr">
        <is>
          <t>25.03.14, 25SS, Active Bag, Category_Active, Category_Active/Accessories, Tariff Final Sale</t>
        </is>
      </c>
      <c r="J38" s="927" t="inlineStr">
        <is>
          <t>crossbody-sport-bag</t>
        </is>
      </c>
    </row>
    <row r="39" ht="56" customHeight="1" s="229">
      <c r="A39" s="904" t="inlineStr">
        <is>
          <t>Modal Dance Wide Leg Pants</t>
        </is>
      </c>
      <c r="B39" s="905" t="inlineStr">
        <is>
          <t>Active</t>
        </is>
      </c>
      <c r="C39" s="906" t="n">
        <v>115</v>
      </c>
      <c r="D39" s="906" t="n">
        <v>115</v>
      </c>
      <c r="E39" s="905" t="inlineStr"/>
      <c r="F39" s="907" t="inlineStr">
        <is>
          <t>Our Modal Dance Wide-Leg Pants offer a soft, flowing fit, providing freedom of movement without any feeling of restraint. The natural pleats create a sleek and flattering fit that enhances your figure comfortably. Effortlessly transition from dance studios to everyday wear &amp; combine elegance with practicality.</t>
        </is>
      </c>
      <c r="G39" s="908" t="inlineStr">
        <is>
          <t>• Flowy Wide-Leg Silhouette–offering both style and ease of movement. • Elastic Waistband for a flexible fit, making it suitable for various body shapes. • Style with our Modal Pleated Dance Tank Top for effortless monochromatic look.</t>
        </is>
      </c>
      <c r="H39" s="909" t="inlineStr">
        <is>
          <t>78% Modal, 13% Silk, 9% Spandex • Care instructions: For best results, hand wash with a light detergent in cold water</t>
        </is>
      </c>
      <c r="I39" s="910" t="inlineStr">
        <is>
          <t>25.03.14, 25SS, Activity_Active/Ballet, Activity_Active/Ballet&amp;Dance, Activity_Active/Dance, Activity_Active/Pilates, Activity_Active/Yoga, Category_Active, Category_Active/Ballet, Category_Active/Joggers, Tariff Final Sale</t>
        </is>
      </c>
      <c r="J39" s="911" t="inlineStr">
        <is>
          <t>modal-dance-wide-leg-pants</t>
        </is>
      </c>
    </row>
    <row r="40" ht="56" customHeight="1" s="229">
      <c r="A40" s="912" t="inlineStr">
        <is>
          <t>Modal Pleated Dance Tank Top</t>
        </is>
      </c>
      <c r="B40" s="913" t="inlineStr">
        <is>
          <t>Active</t>
        </is>
      </c>
      <c r="C40" s="914" t="n">
        <v>75</v>
      </c>
      <c r="D40" s="914" t="n">
        <v>75</v>
      </c>
      <c r="E40" s="913" t="inlineStr"/>
      <c r="F40" s="915" t="inlineStr">
        <is>
          <t>Combining elegance with comfort, our Modal Pleated Dance Tank Top showcases the softness and femininity of ballet-inspired design. The pleated detailing adds a touch of sophistication, whether you're practicing dance, hitting the gym, or styling it for everyday wear, this top adapts to your lifestyle effortlessly.</t>
        </is>
      </c>
      <c r="G40" s="916" t="inlineStr">
        <is>
          <t>• Retro cross-back design inspired by 90s ballet style. • Center pleats on the front and sides for a sleek and effortless look. • Smooth, breathable, and lightweight Modal fabric that drapes beautifully while ensuring all-day comfort.</t>
        </is>
      </c>
      <c r="H40" s="917" t="inlineStr">
        <is>
          <t>78% Modal, 13% Silk, 9% Spandex • Care instructions: For best results, hand wash with a light detergent in cold water</t>
        </is>
      </c>
      <c r="I40" s="918" t="inlineStr">
        <is>
          <t>25.03.14, 25SS, Active/Ballet/Tops, Activity_Active/Ballet, Activity_Active/Ballet&amp;Dance, Activity_Active/Dance, Activity_Active/Pilates, Activity_Active/Yoga, Category_Active/Ballet, Category_Active/Tops, Tariff Final Sale</t>
        </is>
      </c>
      <c r="J40" s="919" t="inlineStr">
        <is>
          <t>modal-pleated-dance-tank-top</t>
        </is>
      </c>
    </row>
    <row r="41" ht="56" customHeight="1" s="229">
      <c r="A41" s="904" t="inlineStr">
        <is>
          <t>Mousse Dance Wide-Leg Pants</t>
        </is>
      </c>
      <c r="B41" s="905" t="inlineStr">
        <is>
          <t>Active</t>
        </is>
      </c>
      <c r="C41" s="906" t="n">
        <v>119</v>
      </c>
      <c r="D41" s="906" t="n">
        <v>119</v>
      </c>
      <c r="E41" s="905" t="inlineStr"/>
      <c r="F41" s="907" t="inlineStr">
        <is>
          <t>Crafted from ultra-soft, moisture-wicking Mousse fabric, our Mousse Dance Wide-Leg Pants are designed to keep you cool and comfortable throughout your day with a tailored yet relaxed fit. Perfect for training or everyday wear, this piece blends style and function seamlessly.</t>
        </is>
      </c>
      <c r="G41" s="908" t="inlineStr">
        <is>
          <t>• Adjustable drawstring waistband offers a customized fit, enhancing comfort while adding a refined, versatile touch to your look. • Wide-Leg Silhouette enhances mobility while creating an effortlessly elegant, figure-flattering drape. • Soft, Moisture-Wicking Mousse Fabric offers a four-way stretch to ensure comfortability, softness, and all-day ease.</t>
        </is>
      </c>
      <c r="H41" s="909" t="inlineStr">
        <is>
          <t>81% Polyamide, 19% Spandex • Care instructions: For best results, hand wash with a light detergent in cold water</t>
        </is>
      </c>
      <c r="I41" s="910" t="inlineStr">
        <is>
          <t>25.02.21, 25SS, Category_Active, Category_Active/Joggers, Feature_New Arrival, Tariff Final Sale</t>
        </is>
      </c>
      <c r="J41" s="911" t="inlineStr">
        <is>
          <t>mousse-dance-wide-leg-pants</t>
        </is>
      </c>
    </row>
    <row r="42" ht="56" customHeight="1" s="229">
      <c r="A42" s="888" t="inlineStr">
        <is>
          <t>Barely Zero Anchored Cup Spaghetti Strap Bra</t>
        </is>
      </c>
      <c r="B42" s="889" t="inlineStr">
        <is>
          <t>Underwear</t>
        </is>
      </c>
      <c r="C42" s="890" t="n">
        <v>39</v>
      </c>
      <c r="D42" s="890" t="n">
        <v>39</v>
      </c>
      <c r="E42" s="889" t="inlineStr"/>
      <c r="F42" s="891" t="inlineStr">
        <is>
          <t>The latest edition to our Barely Zero collection is designed for all-day ease with a blend of effortless comfort and support. Our new Barely Zero Anchored Cup Spaghetti Strap Bra is a staple for any closet. The seamless one-size fit adapts effortlessly to your body for a second-skin feel.</t>
        </is>
      </c>
      <c r="G42" s="892" t="inlineStr">
        <is>
          <t>• Custom Fit: Adaptive Fit Technology allows the one-size design to comfortably conform to different body shapes and sizes. • Secure Cups: Anchored cups offer soft, natural shaping and are discreetly secured at the base to stay gently in place, ensuring effortless comfort from morning to night. • Invisible Look: Pairs perfectly with Barely Zero seamless underwear to create an invisible, no-show finish under any outfit.</t>
        </is>
      </c>
      <c r="H42" s="893" t="inlineStr">
        <is>
          <t>68% Polyamide, 32% Spandex • Care instructions: For best results, hand wash with a light detergent in cold water</t>
        </is>
      </c>
      <c r="I42" s="894" t="inlineStr">
        <is>
          <t>25.02.07, 25SS, BZ Spaghetti Bra, Categeory_Underwear, Category_Bras/Medium Support, Category_Lingerie/Wireless Bra, Category_Underwear, Category_Underwear/Tops, Category_Underwear/Tops/Wireless Bra, Collection_Barely Zero, Collection_Barely Zero/Bras, Collection_Barely Zero/Underwear, Feature_Best Seller, Feature_New Arrival, US Evergreen, US Inventory, US Main</t>
        </is>
      </c>
      <c r="J42" s="895" t="inlineStr">
        <is>
          <t>barely-zero-anchored-cup-spaghetti-strap-bra</t>
        </is>
      </c>
    </row>
    <row r="43" ht="42" customHeight="1" s="229">
      <c r="A43" s="880" t="inlineStr">
        <is>
          <t>Barely Zero Anchored Cup Classic Bra</t>
        </is>
      </c>
      <c r="B43" s="881" t="inlineStr">
        <is>
          <t>Underwear</t>
        </is>
      </c>
      <c r="C43" s="882" t="n">
        <v>39</v>
      </c>
      <c r="D43" s="882" t="n">
        <v>39</v>
      </c>
      <c r="E43" s="881" t="inlineStr"/>
      <c r="F43" s="883" t="inlineStr">
        <is>
          <t>Elevate your confidence with our Barely Zero Anchored Cup Classic Bra offering effortless comfort &amp; natural support. Designed for a "barely-there" feel with gentle shaping and anchored cups, making it an essential bra for your wardrobe.</t>
        </is>
      </c>
      <c r="G43" s="884" t="inlineStr">
        <is>
          <t>• Secure Cups: Anchored cups provide soft, natural shaping and are discreetly secured at the base to stay gently in place, ensuring effortless comfort from morning to night. • Shoulder Comfort: Wide shoulder straps distribute weight to enhance support and ease strain, making this an ideal choice for larger busts. • Invisible Lines: A smooth and simple design creates a seamless, "barely-there" feel for a completely no-show look under fitted clothing</t>
        </is>
      </c>
      <c r="H43" s="885" t="inlineStr">
        <is>
          <t>68% Polyamide, 32% Spandex • Care instructions: For best results, hand wash with a light detergent in cold water</t>
        </is>
      </c>
      <c r="I43" s="886" t="inlineStr">
        <is>
          <t>25.02.07, 25SS, BZ Classic Bra, Categeory_Underwear, Category_Bras/Everyday, Category_Bras/Medium Support, Category_Lingerie/Wireless Bra, Category_Underwear, Category_Underwear/Tops, Category_Underwear/Tops/Wireless Bra, Collection_Barely Zero, Collection_Barely Zero/Bras, Collection_Barely Zero/Underwear, Feature_Best Seller, Feature_New Arrival, Tariff Final Sale, US Evergreen, US Inventory, US Main</t>
        </is>
      </c>
      <c r="J43" s="887" t="inlineStr">
        <is>
          <t>barely-zero-anchored-cup-classic-bra</t>
        </is>
      </c>
    </row>
    <row r="44" ht="56" customHeight="1" s="229">
      <c r="A44" s="888" t="inlineStr">
        <is>
          <t>UltraFlex Cotton Triangle Cup Bra</t>
        </is>
      </c>
      <c r="B44" s="889" t="inlineStr">
        <is>
          <t>Underwear</t>
        </is>
      </c>
      <c r="C44" s="890" t="n">
        <v>45</v>
      </c>
      <c r="D44" s="890" t="n">
        <v>45</v>
      </c>
      <c r="E44" s="889" t="inlineStr"/>
      <c r="F44" s="891" t="inlineStr">
        <is>
          <t>Our UltraFlex Cotton Triangle Cup Bra is crafted with super-elastic cotton, combining exceptional softness, breathability, and flexibility. Its minimalist design and adaptive fit ensure effortless comfort and natural shaping for all-day wear.</t>
        </is>
      </c>
      <c r="G44" s="892" t="inlineStr">
        <is>
          <t>• Designed with a semi-fixed triangle cup structure, providing a secure, flattering fit while ensuring the pads stay in place for worry-free support. • Adjustable shoulder straps that provides extra comfort without friction or pressure. •Super-elastic, breathable 360° UltraFlex fabric adapts to different body shapes while maintaining durability and stretch recovery.</t>
        </is>
      </c>
      <c r="H44" s="893" t="inlineStr">
        <is>
          <t>88% Cotton, 12% Spandex • Care instructions: For best results, hand wash with a light detergent in cold water</t>
        </is>
      </c>
      <c r="I44" s="894" t="inlineStr">
        <is>
          <t>23SS A3 Size Bra, 25.02.21, 25SS, Category_Bras/Light Support, Category_Underwear, Category_Underwear/Tops, Category_Underwear/Tops/Wireless Bra, Fabric_Underwear/Cotton, Feature_Best Seller, Feature_New Arrivals, Tariff Final Sale</t>
        </is>
      </c>
      <c r="J44" s="895" t="inlineStr">
        <is>
          <t>ultraflex-cotton-triangle-cup-bra</t>
        </is>
      </c>
    </row>
    <row r="45" ht="56" customHeight="1" s="229">
      <c r="A45" s="928" t="inlineStr">
        <is>
          <t>UltraFlex Cotton Basic Tee</t>
        </is>
      </c>
      <c r="B45" s="929" t="inlineStr">
        <is>
          <t>Loungewear</t>
        </is>
      </c>
      <c r="C45" s="930" t="n">
        <v>39</v>
      </c>
      <c r="D45" s="930" t="n">
        <v>39</v>
      </c>
      <c r="E45" s="929" t="inlineStr"/>
      <c r="F45" s="931" t="inlineStr">
        <is>
          <t>Crafted from innovative UltraFlex super-elastic cotton, this tee blends premium imported cotton with advanced weaving technology for superior softness and stretch. Designed for all-day comfort &amp; a sleek, flattering fit that pairs effortlessly with any look.</t>
        </is>
      </c>
      <c r="G45" s="932" t="inlineStr">
        <is>
          <t>• Precision-cut edges with M-seam stitching enhances stretchability to ensure a smooth, second-skin feel. • Features a timeless &amp; classic round neckline • Made from soft, high-elastic fabric, offering gentle support and effortless versatility, making it the perfect basic tee for layering or wearing on its own.</t>
        </is>
      </c>
      <c r="H45" s="933" t="inlineStr">
        <is>
          <t>88% Cotton, 12% Spandex • Care instructions: For best results, hand wash with a light detergent in cold water</t>
        </is>
      </c>
      <c r="I45" s="934" t="inlineStr">
        <is>
          <t>25.02.21, 25SS, Category_Lounge, Category_Lounge/Tees&amp;Tanks, Category_Lounge/Top, Category_Lounge/Tops, Fabric_Lounge/Cotton, Feature_Best Seller, Feature_New Arrivals, Tariff Final Sale</t>
        </is>
      </c>
      <c r="J45" s="935" t="inlineStr">
        <is>
          <t>ultraflex-cotton-basic-tee</t>
        </is>
      </c>
    </row>
    <row r="46" ht="56" customHeight="1" s="229">
      <c r="A46" s="896" t="inlineStr">
        <is>
          <t>UltraFlex Cotton Padded Camisole</t>
        </is>
      </c>
      <c r="B46" s="897" t="inlineStr">
        <is>
          <t>Loungewear</t>
        </is>
      </c>
      <c r="C46" s="898" t="n">
        <v>39</v>
      </c>
      <c r="D46" s="898" t="n">
        <v>39</v>
      </c>
      <c r="E46" s="897" t="inlineStr"/>
      <c r="F46" s="899" t="inlineStr">
        <is>
          <t>Crafted from our 360° UltraFlex Fabric-Premium long-fiber cotton, blending premium imported cotton with advanced weaving technology. Our UltraFlex Cotton Padded Camisole is designed for all-day comfort, a seamless fit, and the perfect choice for effortless layering.</t>
        </is>
      </c>
      <c r="G46" s="900" t="inlineStr">
        <is>
          <t>• Sewn-in chest pads provides a smooth, stable fit, ensuring all-day comfort without cup shifting. •Built-in elastic shoulder straps provide lasting support without adjustment buckles • Can be layered or worn as an undershirt for maximum comfort.</t>
        </is>
      </c>
      <c r="H46" s="901" t="inlineStr">
        <is>
          <t>88% Cotton, 12% Spandex • Care instructions: For best results, hand wash with a light detergent in cold water</t>
        </is>
      </c>
      <c r="I46" s="902" t="inlineStr">
        <is>
          <t>25.02.21, 25SS, Category_Lingerie/BRApparel/Cami, Category_Lounge, Category_Lounge/Tees&amp;Tanks, Category_Lounge/Top, Category_Lounge/Tops, Fabric_Lounge/Cotton, Feature_Best Seller, Feature_New Arrivals, Tariff Final Sale</t>
        </is>
      </c>
      <c r="J46" s="903" t="inlineStr">
        <is>
          <t>ultraflex-cotton-padded-camisole</t>
        </is>
      </c>
    </row>
    <row r="47" ht="56" customHeight="1" s="229">
      <c r="A47" s="880" t="inlineStr">
        <is>
          <t>UltraFlex Cotton Low Waist Briefs (2-Pack)</t>
        </is>
      </c>
      <c r="B47" s="881" t="inlineStr">
        <is>
          <t>Underwear</t>
        </is>
      </c>
      <c r="C47" s="882" t="n">
        <v>29</v>
      </c>
      <c r="D47" s="882" t="n">
        <v>29</v>
      </c>
      <c r="E47" s="881" t="inlineStr"/>
      <c r="F47" s="883" t="inlineStr">
        <is>
          <t>Discover ultimate comfort and flexibility with the UltraFlex Cotton Low Waist Briefs (2-Pack). Featuring UltraFlex Cotton Series, this set blends imported high-quality cotton and special weaving technology to deliver unmatched softness, elasticity, and comfort.</t>
        </is>
      </c>
      <c r="G47" s="884" t="inlineStr">
        <is>
          <t>• Made with UltraFlex super-elastic cotton, independently developed, for superior stretch and rebound. • Combines premium cotton and advanced weaving technology for a soft, breathable, and supportive fit. • Low-rise design with M-seam construction for maximum flexibility and seamless comfort.</t>
        </is>
      </c>
      <c r="H47" s="885" t="inlineStr">
        <is>
          <t>89% Cotton, 11% Spandex • Care instructions: For best results, hand wash with a light detergent in cold water</t>
        </is>
      </c>
      <c r="I47" s="886" t="inlineStr">
        <is>
          <t>23 XS-XL Briefs, 25.02.07, 25SS, Bundle Collection, Category_Lingerie/Brief, Category_Lingerie/Brief/Low Waist, Category_Underwear, Category_Underwear/Bottoms, Category_Underwear/Bottoms/Panties, Category_Underwear/Bottoms/Panties/Low Waist, Fabric_Underwear/Cotton, Feature_Best Seller, Feature_New Arrivals, HR-CX, Tariff Final Sale</t>
        </is>
      </c>
      <c r="J47" s="887" t="inlineStr">
        <is>
          <t>ultraflex-cotton-low-waist-briefs-2-pack</t>
        </is>
      </c>
    </row>
    <row r="48" ht="56" customHeight="1" s="229">
      <c r="A48" s="888" t="inlineStr">
        <is>
          <t>UltraFlex Cotton Mid Waist Briefs (3-Pack)</t>
        </is>
      </c>
      <c r="B48" s="889" t="inlineStr">
        <is>
          <t>Underwear</t>
        </is>
      </c>
      <c r="C48" s="890" t="n">
        <v>39</v>
      </c>
      <c r="D48" s="890" t="n">
        <v>39</v>
      </c>
      <c r="E48" s="889" t="inlineStr"/>
      <c r="F48" s="891" t="inlineStr">
        <is>
          <t>Experience all-day comfort with the UltraFlex Cotton Mid Waist Briefs (3-Pack). Featuring the UltraFlex Cotton Series, this set blends imported high-quality cotton and special weaving technology, offering the perfect blend of breathability and support for all-day wear.</t>
        </is>
      </c>
      <c r="G48" s="892" t="inlineStr">
        <is>
          <t>• Mid-waist design provides a secure and flattering fit. • Crafted with Ultraflex Cotton, an ultra-soft, high-stretch cotton for enhanced comfort. • Seamless edges for a smooth, comfortable finish.</t>
        </is>
      </c>
      <c r="H48" s="893" t="inlineStr">
        <is>
          <t>89%Cotton, 11%Spandex • Care instructions: For best results, hand wash with a light detergent in cold water</t>
        </is>
      </c>
      <c r="I48" s="894" t="inlineStr">
        <is>
          <t>23 XS-XL Briefs, 25.02.07, 25SS, Bundle Collection, Category_Lingerie/Brief, Category_Lingerie/Brief/Mid Waist, Category_Underwear, Category_Underwear/Bottoms, Category_Underwear/Bottoms/Panties, Category_Underwear/Bottoms/Panties/Mid Waist, Fabric_Underwear/Cotton, Feature_Best Seller, Feature_New Arrivals, HR-CX, Tariff Final Sale</t>
        </is>
      </c>
      <c r="J48" s="895" t="inlineStr">
        <is>
          <t>ultraflex-cotton-mid-waist-briefs-3-pack</t>
        </is>
      </c>
    </row>
    <row r="49" ht="42" customHeight="1" s="229">
      <c r="A49" s="912" t="inlineStr">
        <is>
          <t>Cross-Back Dance Sports Bra</t>
        </is>
      </c>
      <c r="B49" s="913" t="inlineStr">
        <is>
          <t>Active</t>
        </is>
      </c>
      <c r="C49" s="914" t="n">
        <v>49</v>
      </c>
      <c r="D49" s="914" t="n">
        <v>49</v>
      </c>
      <c r="E49" s="913" t="inlineStr"/>
      <c r="F49" s="915" t="inlineStr">
        <is>
          <t>Dance through your day with the Cross-Back Dance Sports Bra. Featuring a retro-inspired cross-back design and soft, breathable fabric, this bra is perfect for both low-impact workouts and everyday wear.</t>
        </is>
      </c>
      <c r="G49" s="916" t="inlineStr">
        <is>
          <t>• Retro cross-back design inspired by 90s ballet style. • Center pleats for a sleek and effortless look. • Woven 4-way stretch fabric is smooth, soft, and lightweight.</t>
        </is>
      </c>
      <c r="H49" s="917" t="inlineStr">
        <is>
          <t>70% Polyamide, 30% Spandex • Care instructions: For best results, hand wash with a light detergent in cold water</t>
        </is>
      </c>
      <c r="I49" s="918" t="inlineStr">
        <is>
          <t>25.02.07, 25SS, Activity_Active/Ballet, Activity_Active/Ballet&amp;Dance, Activity_Active/Dance, Activity_Active/Gym, Activity_Active/Jogging, Activity_Active/Pilates, Activity_Active/Running, Activity_Active/Tennis, Activity_Active/Yoga, B1 Sports Bra, Category_Active, Category_Active/Sports Bra, Category_Active/Tops, Tariff Final Sale</t>
        </is>
      </c>
      <c r="J49" s="919" t="inlineStr">
        <is>
          <t>cross-back-dance-sports-bra</t>
        </is>
      </c>
    </row>
    <row r="50" ht="42" customHeight="1" s="229">
      <c r="A50" s="880" t="inlineStr">
        <is>
          <t>Swan Cup V-Line Bra</t>
        </is>
      </c>
      <c r="B50" s="881" t="inlineStr">
        <is>
          <t>Underwear</t>
        </is>
      </c>
      <c r="C50" s="882" t="n">
        <v>45</v>
      </c>
      <c r="D50" s="882" t="n">
        <v>45</v>
      </c>
      <c r="E50" s="881" t="inlineStr"/>
      <c r="F50" s="883" t="inlineStr">
        <is>
          <t>The Swan Cup V-Line Bra redefines comfort with a sleek, innovative design that seamlessly blends elegance and functionality. Designed for versatility, it's perfect for everyday wear or light activity, keeping you confident and comfortable.</t>
        </is>
      </c>
      <c r="G50" s="884" t="inlineStr">
        <is>
          <t>• Lightweight and flexible construction adapts to your shape for a smooth, barely-there feel. •The molded cup design gently lifts and shapes, for a graceful curve and seamless support that moves with you. •Soft inner pads support structure to provide natural shaping, balanced pressure distribution, and exceptional comfort. • Features adjustable straps and back hook-and-eye closure.</t>
        </is>
      </c>
      <c r="H50" s="885" t="inlineStr">
        <is>
          <t>70% Polyamide, 30% Spandex • Care instructions: For best results, hand wash with a light detergent in cold water</t>
        </is>
      </c>
      <c r="I50" s="886" t="inlineStr">
        <is>
          <t>23SS A3 Size Bra, 25.02.02, 25SS, Category_Bras/High Support, Category_Underwear, Category_Underwear/Tops, Category_Underwear/Tops/Wireless Bra, Collection_Valentine, Feature_Best Seller, Tariff Final Sale</t>
        </is>
      </c>
      <c r="J50" s="887" t="inlineStr">
        <is>
          <t>swan-cup-v-line-bra</t>
        </is>
      </c>
    </row>
    <row r="51" ht="42" customHeight="1" s="229">
      <c r="A51" s="904" t="inlineStr">
        <is>
          <t>Mousse Light Support Leggings</t>
        </is>
      </c>
      <c r="B51" s="905" t="inlineStr">
        <is>
          <t>Active</t>
        </is>
      </c>
      <c r="C51" s="906" t="n">
        <v>89</v>
      </c>
      <c r="D51" s="906" t="n">
        <v>89</v>
      </c>
      <c r="E51" s="905" t="inlineStr"/>
      <c r="F51" s="907" t="inlineStr">
        <is>
          <t>Discover unparalleled comfort and support with the Mousse Light Support Leggings. Designed for Yoga, Pilates, and other low-impact activities, these leggings offer a perfect blend of fit, style, and functionality.</t>
        </is>
      </c>
      <c r="G51" s="908" t="inlineStr">
        <is>
          <t>• Crafted from soft, lightly brushed fabric for a breathable, skin-friendly feel. • Features reflective accents for added visibility and sporty elegance. • V-shaped back design enhances and flatters your natural silhouette.</t>
        </is>
      </c>
      <c r="H51" s="909" t="inlineStr">
        <is>
          <t>81% Polyamide, 19% Spandex • Care instructions: For best results, hand wash with a light detergent in cold water</t>
        </is>
      </c>
      <c r="I51" s="910" t="inlineStr">
        <is>
          <t>25.02.02, 25SS, Activity_Active/Ballet, Activity_Active/Dance, Activity_Active/Gym, Activity_Active/Outdoor, Activity_Active/Running, Activity_Active/Yoga, Category_Active, Category_Active/Leggings, Category_Active/Leggings &amp; Skirt, Tariff Final Sale</t>
        </is>
      </c>
      <c r="J51" s="911" t="inlineStr">
        <is>
          <t>mousse-light-support-leggings</t>
        </is>
      </c>
    </row>
    <row r="52" ht="42" customHeight="1" s="229">
      <c r="A52" s="912" t="inlineStr">
        <is>
          <t>Dance Ruched Long Sleeve Top</t>
        </is>
      </c>
      <c r="B52" s="913" t="inlineStr">
        <is>
          <t>Active</t>
        </is>
      </c>
      <c r="C52" s="914" t="n">
        <v>99</v>
      </c>
      <c r="D52" s="914" t="n">
        <v>99</v>
      </c>
      <c r="E52" s="913" t="inlineStr"/>
      <c r="F52" s="915" t="inlineStr">
        <is>
          <t>The Dance Ruched Long Sleeve Top blends grace and comfort, inspired by classic ballet aesthetics. Perfect for layering or wearing on its own, it adds elegance to any outfit.</t>
        </is>
      </c>
      <c r="G52" s="916" t="inlineStr">
        <is>
          <t>•Elegant ruching detail adds a touch of sophistication. •Soft, breathable fabric for ultimate comfort. •Wide neckline offers flexible styling options.</t>
        </is>
      </c>
      <c r="H52" s="917" t="inlineStr">
        <is>
          <t>50% Cotton, 36% Modal, 14% Spandex • Care instructions: For best results, hand wash with a light detergent in cold water</t>
        </is>
      </c>
      <c r="I52" s="918" t="inlineStr">
        <is>
          <t>25.02.02, 25SS, Activity_Active/Ballet, Activity_Active/Ballet&amp;Dance, Category_Active, Category_Active/Sport Bra &amp; Top, Category_Active/Tops, Tariff Final Sale</t>
        </is>
      </c>
      <c r="J52" s="919" t="inlineStr">
        <is>
          <t>wool-blend-long-sleeve-top</t>
        </is>
      </c>
    </row>
    <row r="53" ht="168" customHeight="1" s="229">
      <c r="A53" s="888" t="inlineStr">
        <is>
          <t>Barely Zero Mid Waist Brief 2.0 - TikTok</t>
        </is>
      </c>
      <c r="B53" s="889" t="inlineStr">
        <is>
          <t>Underwear</t>
        </is>
      </c>
      <c r="C53" s="890" t="n">
        <v>19</v>
      </c>
      <c r="D53" s="890" t="n">
        <v>19</v>
      </c>
      <c r="E53" s="889" t="inlineStr"/>
      <c r="F53" s="891" t="inlineStr">
        <is>
          <t>The Barely Zero Mid Waist Brief 2.0, the latest brief in our revolutionary Barely Zero Collection, is the first to feature two sizes designed to better adapt to a wider range of body types! • Classic mid-rise cut for f ull coverage and comfort all day &amp; night. • Leg openings feature bonded edge to help keep brief in place. A vailable in two options for a wide range of sizes and body types. • Made from our famous moisture-wicking, odor-reducing CloudFit blend, complete with a 100% cotton lining. • Materials: 67% CloudFit nylon blend, 33% Spandex; lining: 100% cotton • To lengthen its wear-life, we recommend handwashing your Barely Zero. Dissolve a gentle detergent in cold water (86 °F /30 °C max ) and fully immerse the underwear. Gently press/knead it, then rinse (soak no longer than 5 minutes). Hang or lay flat to dry in a cool, shaded place. If you choose to use a washing machine, please use a laundry bag.</t>
        </is>
      </c>
      <c r="G53" s="892" t="n"/>
      <c r="H53" s="893" t="n"/>
      <c r="I53" s="894" t="inlineStr">
        <is>
          <t>22SS 5.13, 22SS 6.24, BZ Sized Brief, Category_Lingerie/Brief/Mid Waist, Category_Underwear, Category_Underwear/Bottoms, Category_Underwear/Bottoms/Panties, Category_Underwear/Bottoms/Panties/Mid Waist, Collection_Barely Zero, Collection_Barely Zero/Underwear, Feature_Best Seller, HR-CX, LBD23, Priority Products</t>
        </is>
      </c>
      <c r="J53" s="895" t="inlineStr">
        <is>
          <t>barely-zero-mid-waist-brief-2-0-tiktok</t>
        </is>
      </c>
    </row>
    <row r="54" ht="196" customHeight="1" s="229">
      <c r="A54" s="880" t="inlineStr">
        <is>
          <t>Barely Zero Low Waist Brief - TikTok</t>
        </is>
      </c>
      <c r="B54" s="881" t="inlineStr">
        <is>
          <t>Underwear</t>
        </is>
      </c>
      <c r="C54" s="882" t="n">
        <v>15</v>
      </c>
      <c r="D54" s="882" t="n">
        <v>15</v>
      </c>
      <c r="E54" s="881" t="inlineStr"/>
      <c r="F54" s="883" t="inlineStr">
        <is>
          <t>From the moment you put it on, the Barely Zero Low Waist Brief adapts to fit your body and continues to adapt through all life's natural changes. Fit tip: based on customer feedback, this brief best fits customers who wear up to a size M in underwear. For a wider size range, check out the Barely Zero Mid Waist Brief 2.0 ! • Moderate coverage &amp; seamless comfort where you need it most, all day and night. • T ailored for a close, comfortable fit that doesn't dig in or show lines, even under tight clothing! Complete with a 100% cotton lining. • Made from CloudFit: a soft, ultra-elastic blend that's breathable &amp; moisture-wicking for all-day skin comfort. Now with improved odor reduction! • Materials: 68% CloudFit nylon blend, 32% Spandex; Lining: 100% cotton • To lengthen its wear-life, we recommend handwashing your Barely Zero. Dissolve a gentle detergent in cold water (86 °F /30 °C max ) and fully immerse the underwear. Gently press/knead it, then rinse (soak no longer than 5 minutes). Hang or lay flat to dry in a cool, shaded place. If you choose to use a washing machine, please use a laundry bag.</t>
        </is>
      </c>
      <c r="G54" s="884" t="n"/>
      <c r="H54" s="885" t="n"/>
      <c r="I54" s="886" t="inlineStr">
        <is>
          <t>2022 Title Update, 22SS 2.25, 22SS 5.27, BZ Brief, BZ One Size Brief, Canada, Categeory_Underwear, Category_Lingerie, Category_Lingerie/Brief, Category_Lingerie/Brief/Low Waist, Category_Lingerie/Fayewong, Category_Underwear, Category_Underwear/Bottoms, Category_Underwear/Bottoms/Panties, Category_Underwear/Bottoms/Panties/Low Waist, Collection_2021 Barely Zero, Collection_2021BarelyZero, Collection_Barely Zero, Collection_Barely Zero/Underwear, Feature_Best Seller, HR-CX, LBD23, Priority Products</t>
        </is>
      </c>
      <c r="J54" s="887" t="inlineStr">
        <is>
          <t>barely-zero-low-waist-brief-tiktok</t>
        </is>
      </c>
    </row>
    <row r="55" ht="196" customHeight="1" s="229">
      <c r="A55" s="888" t="inlineStr">
        <is>
          <t>Barely Zero Mid Waist Brief - TikTok</t>
        </is>
      </c>
      <c r="B55" s="889" t="inlineStr">
        <is>
          <t>Underwear</t>
        </is>
      </c>
      <c r="C55" s="890" t="n">
        <v>15</v>
      </c>
      <c r="D55" s="890" t="n">
        <v>15</v>
      </c>
      <c r="E55" s="889" t="inlineStr"/>
      <c r="F55" s="891" t="inlineStr">
        <is>
          <t>The Barely Zero Mid Waist Brief adapts to your body better than ever before and continues to adapt through your body's natural changes. Fit tip: based on customer feedback, this brief best fits customers who wear up to a size M in underwear. For a wider size range, check out the Barely Zero Mid Waist Brief 2.0 ! • F ull coverage &amp; comfort where you need it most, all day and all night. • T ailored for a close, comfortable fit that doesn't dig in or show lines, even under tight clothing! Complete with a 100% cotton lining. • Made from CloudFit: a soft, ultra-elastic blend that's breathable &amp; moisture-wicking for all-day skin comfort. Now with improved odor reduction! • Materials: 68% CloudFit nylon blend, 32% Spandex; Lining: 100% cotton • To lengthen its wear-life, we recommend handwashing your Barely Zero. Dissolve a gentle detergent in cold water (86 °F /30 °C max ) and fully immerse the underwear. Gently press/knead it, then rinse (soak no longer than 5 minutes). Hang or lay flat to dry in a cool, shaded place. If you choose to use a washing machine, please use a laundry bag.</t>
        </is>
      </c>
      <c r="G55" s="892" t="n"/>
      <c r="H55" s="893" t="n"/>
      <c r="I55" s="894" t="inlineStr">
        <is>
          <t>2022 Title Update, BZ Brief, BZ One Size Brief, Canada, Categeory_Underwear, Category_Lingerie, Category_Lingerie/Brief, Category_Lingerie/Brief/Mid Waist, Category_Lingerie/Fayewong, Category_Underwear, Category_Underwear/Bottoms, Category_Underwear/Bottoms/Panties, Category_Underwear/Bottoms/Panties/Mid Waist, Collection_2021 Barely Zero, Collection_Barely Zero, Collection_Barely Zero/Underwear, Collection_Holiday Red, Feature_Best Seller, HR-CX, LBD23, NY Sample Sale Upstair, NY Underwear, Priority Products</t>
        </is>
      </c>
      <c r="J55" s="895" t="inlineStr">
        <is>
          <t>barely-zero-mid-waist-brief-tiktok</t>
        </is>
      </c>
    </row>
    <row r="56" ht="196" customHeight="1" s="229">
      <c r="A56" s="880" t="inlineStr">
        <is>
          <t>Barely Zero Classic Bra - TikTok</t>
        </is>
      </c>
      <c r="B56" s="881" t="inlineStr">
        <is>
          <t>Underwear</t>
        </is>
      </c>
      <c r="C56" s="882" t="n">
        <v>39</v>
      </c>
      <c r="D56" s="882" t="n">
        <v>39</v>
      </c>
      <c r="E56" s="881" t="inlineStr"/>
      <c r="F56" s="883" t="inlineStr">
        <is>
          <t>Experience unparalleled comfort and fit with the one-size Barely Zero Classic Bra. Made from buttery, stretchy CloudFit fabric, this bra fits seamlessly under clothes and ensures freedom of movement all day long. • Comfortably fits a wide range of bra sizes - the ultimate bra for nursing, fluctuating sizes, and easy gifting! Please see the size guide for detailed sizing guidance. • Removable chest padding, clasp-free pull over style. Tailored for a close, comfortable fit that doesn't dig in or show lines, even under tight clothing! • Made from CloudFit: a soft, ultra-elastic blend that's breathable &amp; moisture-wicking for all-day skin comfort. Now with improved odor reduction! • Materials: 68% CloudFit nylon blend, 32% Spandex • To preserve and lengthen its wear-life, we recommend handwashing your Barely Zero. Dissolve a gentle detergent in cold water (86 °F /30 °C max ) and fully immerse the underwear. Gently press/knead it, then rinse (soak no longer than 5 minutes). Hang or lay flat to dry in a cool, shaded place. If you choose to use a washing machine, we recommend using a laundry bag.</t>
        </is>
      </c>
      <c r="G56" s="884" t="n"/>
      <c r="H56" s="885" t="n"/>
      <c r="I56" s="886" t="inlineStr">
        <is>
          <t>2022 Title Update, bundle_2_2021-barely-zero-your-size-is-the-size-classic-wireless-bra-bundle, bundle_3_2021-barely-zero-your-size-is-the-size-classic-wireless-bra-trio, BZ Classic Bra, Canada, Categeory_Underwear, Category_Bras/Everyday, Category_Bras/Medium Support, Category_Bras/Nursing, Category_Lingerie, Category_Lingerie/Fayewong, Category_Lingerie/Wireless Bra, Category_Underwear, Category_Underwear/Tops, Category_Underwear/Tops/Wireless Bra, Category_Underwear/Tops/Wireless Bra/Seamless, Collection_2021 Barely Zero, Collection_Barely Zero, Collection_Barely Zero/Bras, Collection_Holiday Red, Cup_A_C, Cup_B_D, Cup_C_Plus, Feature_Best Seller, LBD23, NY Sample Sale Upstair, NY Underwear, Priority Products</t>
        </is>
      </c>
      <c r="J56" s="887" t="inlineStr">
        <is>
          <t>barely-zero-classic-bra-tiktok</t>
        </is>
      </c>
    </row>
    <row r="57" ht="42" customHeight="1" s="229">
      <c r="A57" s="888" t="inlineStr">
        <is>
          <t>Barely Zero Spaghetti Strap Bra - TikTok</t>
        </is>
      </c>
      <c r="B57" s="889" t="inlineStr">
        <is>
          <t>Underwear</t>
        </is>
      </c>
      <c r="C57" s="890" t="n">
        <v>39</v>
      </c>
      <c r="D57" s="890" t="n">
        <v>39</v>
      </c>
      <c r="E57" s="889" t="inlineStr"/>
      <c r="F57" s="891" t="inlineStr">
        <is>
          <t>The bra that put us on the map. Embraced by all body types, our bestselling Barely Zero Spaghetti Strap Bra is the ultimate everyday bra, offering invisible wear under clothing without compromising comfort or support.</t>
        </is>
      </c>
      <c r="G57" s="892" t="inlineStr">
        <is>
          <t>Comfortably fits a wide range of bra sizes - the ultimate bra for nursing, fluctuating sizes, and easy gifting! Please see the size guide for detailed sizing guidance.</t>
        </is>
      </c>
      <c r="H57" s="893" t="n"/>
      <c r="I57" s="894" t="inlineStr">
        <is>
          <t>2022 Title Update, 22SS 2.25, BZ Spaghetti Bra, Canada, Category_Bras/Everyday, Category_Bras/Medium Support, Category_Bras/Nursing, Category_Lingerie, Category_Lingerie/Fayewong, Category_Lingerie/Wireless Bra, Category_Underwear, Category_Underwear/Tops, Category_Underwear/Tops/Wireless Bra, Category_Underwear/Tops/Wireless Bra/Seamless, Collection_2021 Barely Zero, Collection_Barely Zero, Collection_Barely Zero/Bras, Collection_Holiday Red, Cup_A_C, Cup_B_D, Cup_C_Plus, Feature_Best Seller, LBD23, NY Sample Sale Upstair, NY Underwear, Priority Products</t>
        </is>
      </c>
      <c r="J57" s="895" t="inlineStr">
        <is>
          <t>barely-zero-spaghetti-strap-bra-tiktok</t>
        </is>
      </c>
    </row>
    <row r="58" ht="28" customHeight="1" s="229">
      <c r="A58" s="880" t="inlineStr">
        <is>
          <t>Barely Zero Plunge Bra Red Gift Set</t>
        </is>
      </c>
      <c r="B58" s="881" t="inlineStr">
        <is>
          <t>Underwear</t>
        </is>
      </c>
      <c r="C58" s="882" t="n">
        <v>55</v>
      </c>
      <c r="D58" s="882" t="n">
        <v>55</v>
      </c>
      <c r="E58" s="881" t="inlineStr"/>
      <c r="F58" s="883" t="inlineStr">
        <is>
          <t>Let Joy Bloom! This festive, ready-to-gift set includes one Barely Zero Plunge Bra &amp; Low Waist Brief in a limited-edition red.</t>
        </is>
      </c>
      <c r="G58" s="884" t="inlineStr">
        <is>
          <t>• The one-size Barely Zero Plunge Bra c omfortably fits a wide range of bra sizes and f eatures fixed cups and a lower neckline ideal for low-cut tops. • The Barely Zero Low Waist Brief features a size-adaptive full-coverage cut and 100% cotton lining. • Made from CloudFit: a soft, ultra-elastic blend that's breathable &amp; moisture-wicking for all-day skin comfort.</t>
        </is>
      </c>
      <c r="H58" s="885" t="inlineStr">
        <is>
          <t>Bra: 67% CloudFit nylon blend, 33% Spandex ; Brief: 68% CloudFit nylon blend, 32% Spandex; lining: 100% cotton</t>
        </is>
      </c>
      <c r="I58" s="886" t="inlineStr">
        <is>
          <t>24.10.25, 24AW, Bundle Collection, Category_Underwear/Tops/Wireless Bra, Collection_Barely Zero, Collection_Barely Zero/Bras, Collection_Barely Zero/Underwear, Collection_Valentine, Feature_Best Seller, HR-CX, Plunge Gift Set, Tariff Final Sale, US Inventory</t>
        </is>
      </c>
      <c r="J58" s="887" t="inlineStr">
        <is>
          <t>barely-zero-plunge-bra-red-gift-set</t>
        </is>
      </c>
    </row>
    <row r="59" ht="28" customHeight="1" s="229">
      <c r="A59" s="888" t="inlineStr">
        <is>
          <t>Barely Zero Spaghetti Strap Bra Red Gift Set</t>
        </is>
      </c>
      <c r="B59" s="889" t="inlineStr">
        <is>
          <t>Underwear</t>
        </is>
      </c>
      <c r="C59" s="890" t="n">
        <v>55</v>
      </c>
      <c r="D59" s="890" t="n">
        <v>55</v>
      </c>
      <c r="E59" s="889" t="inlineStr"/>
      <c r="F59" s="891" t="inlineStr">
        <is>
          <t>New Year, New Comfort! T his festive, ready-to-gift set includes a one-size Barely Zero Spaghetti Strap Wireless Bra &amp; Low Waist Brief in a limited-edition red.</t>
        </is>
      </c>
      <c r="G59" s="892" t="inlineStr">
        <is>
          <t>• The Barely Zero Spaghetti Strap Wireless Bra c omfortably fits a wide range of bra sizes, making it the ultimate bra for nursing, fluctuating weight, and easy gifting. Featuring removable cups, this pullover style has no clasps or wires for a smooth fit. • The Barely Zero Low Waist Brief features a size-adaptive full-coverage cut and 100% cotton lining. • Made from CloudFit: a soft, ultra-elastic blend that's breathable &amp; moisture-wicking for all-day skin comfort.</t>
        </is>
      </c>
      <c r="H59" s="893" t="inlineStr">
        <is>
          <t>Bra: 68% CloudFit nylon blend, 32% Spandex; Brief: 68% CloudFit nylon blend, 32% Spandex; lining: 100% cotton</t>
        </is>
      </c>
      <c r="I59" s="894" t="inlineStr">
        <is>
          <t>24.10.25, 24AW, Bundle Collection, BZ Spaghetti Set, Collection_Barely Zero, Collection_Barely Zero/Bras, Collection_Barely Zero/Underwear, Collection_Valentine, Feature_Best Seller, HR-CX, Tariff Final Sale</t>
        </is>
      </c>
      <c r="J59" s="895" t="inlineStr">
        <is>
          <t>barely-zero-spaghetti-strap-bra-red-gift-set</t>
        </is>
      </c>
    </row>
    <row r="60" ht="42" customHeight="1" s="229">
      <c r="A60" s="904" t="inlineStr">
        <is>
          <t>Hooded Coat</t>
        </is>
      </c>
      <c r="B60" s="905" t="inlineStr">
        <is>
          <t>Active</t>
        </is>
      </c>
      <c r="C60" s="906" t="n">
        <v>325</v>
      </c>
      <c r="D60" s="906" t="n">
        <v>325</v>
      </c>
      <c r="E60" s="905" t="inlineStr"/>
      <c r="F60" s="907" t="inlineStr">
        <is>
          <t>Stay comfortable and dry in our relaxed Hooded Coat! An inner plush lining and adjustable drawstring cord ensure warmth during snowy and rainy adventures, making it ideal for outdoor activities or urban strolls!</t>
        </is>
      </c>
      <c r="G60" s="908" t="inlineStr">
        <is>
          <t>• The relaxed fit and plush inner lining offer a cozy feel, perfect for layering and ensuring comfort during chilly days. • Stay dry in light rain and wet conditions with the water-repellent fabric, making it a practical choice for unpredictable weather. The back length is 28.5" in size M. • The drawcord waist allows you to adjust the fit, providing a flattering silhouette while keeping the jacket snug against the elements.</t>
        </is>
      </c>
      <c r="H60" s="909" t="inlineStr">
        <is>
          <t>100% Polyester • Care instructions: Hand wash in cool water. Line dry in the shade. Do not iron</t>
        </is>
      </c>
      <c r="I60" s="910" t="inlineStr">
        <is>
          <t>24.10.11, 24AW, Activity_Active/Outdoor, Activity_Active/Snow, Category_Active, Category_Active/Outerwear, Category_Active/Tops, Tariff Final Sale</t>
        </is>
      </c>
      <c r="J60" s="911" t="inlineStr">
        <is>
          <t>hooded-coat</t>
        </is>
      </c>
    </row>
    <row r="61" ht="56" customHeight="1" s="229">
      <c r="A61" s="928" t="inlineStr">
        <is>
          <t>Classic Cozy Pajama Pants 2.0 SAMPLE</t>
        </is>
      </c>
      <c r="B61" s="929" t="inlineStr">
        <is>
          <t>Loungewear</t>
        </is>
      </c>
      <c r="C61" s="930" t="n">
        <v>68</v>
      </c>
      <c r="D61" s="930" t="n">
        <v>34</v>
      </c>
      <c r="E61" s="936" t="inlineStr">
        <is>
          <t>Yes</t>
        </is>
      </c>
      <c r="F61" s="931" t="inlineStr">
        <is>
          <t>We spend one-third of our lives in bed. In the right pajamas, you'll enjoy every minute of it! Our Classic Cozy Pajama Pants are m ade from a TENCEL‚Ñ¢ Modal blend that's silky soft - quite literally the PJs of your dreams. This item is FINAL SALE and cannot be returned or exchanged.</t>
        </is>
      </c>
      <c r="G61" s="932" t="inlineStr">
        <is>
          <t>• A comfortable, relaxed fit that's perfect for sleeping in late. Go ahead, hit the "snooze" button again. • TENCEL‚Ñ¢ Modal-based fabric blend that's l ightweight &amp; breathable. Feels like a cross between silk &amp; cashmere! • Size M is 37.4" in length. Features straight legs, an elastic waistband, and color-matched decorative buttons.</t>
        </is>
      </c>
      <c r="H61" s="933" t="inlineStr">
        <is>
          <t>57% Modal, 20% viscose, 19% acrylic, 4% Spandex • Care instructions: For best results, machine wash on gentle cycle. Tumble dry on low heat or hang to dry</t>
        </is>
      </c>
      <c r="I61" s="934" t="inlineStr">
        <is>
          <t>hide-bis, HR-CX, no-returns</t>
        </is>
      </c>
      <c r="J61" s="935" t="inlineStr">
        <is>
          <t>classic-cozy-pajama-pants-2-0-g2-1</t>
        </is>
      </c>
    </row>
    <row r="62" ht="56" customHeight="1" s="229">
      <c r="A62" s="880" t="inlineStr">
        <is>
          <t>Belle Lace Wireless Bra - G2</t>
        </is>
      </c>
      <c r="B62" s="881" t="inlineStr">
        <is>
          <t>Underwear</t>
        </is>
      </c>
      <c r="C62" s="882" t="n">
        <v>48</v>
      </c>
      <c r="D62" s="882" t="n">
        <v>20</v>
      </c>
      <c r="E62" s="937" t="inlineStr">
        <is>
          <t>Yes</t>
        </is>
      </c>
      <c r="F62" s="883" t="inlineStr">
        <is>
          <t>The Belle Lace Wireless Bra delivers full coverage and support with refined lace accents and a vintage look - perfect as an everyday bra but also well-suited for special occasions! Fit tip: If you're in between sizes, we recommend sizing up. This item is FINAL SALE and cannot be returned or exchanged</t>
        </is>
      </c>
      <c r="G62" s="884" t="inlineStr">
        <is>
          <t>• Double-row buckle &amp; straps for extra stability and support. • Full-bodied construction, flexible Spandex blend, &amp; removable padding. • Elegant style &amp; comfort to elevate your underwear drawer!</t>
        </is>
      </c>
      <c r="H62" s="885" t="inlineStr">
        <is>
          <t>lace: 74% polyamide, 26% Spandex; base: 70% nylon, 30% Spandex • Care instructions: For best results, hand wash in cold water with like colors (allow to soak no longer than 5 minutes). Do not iron or tumble dry</t>
        </is>
      </c>
      <c r="I62" s="886" t="inlineStr">
        <is>
          <t>hide-bis, HR-CX, no-returns</t>
        </is>
      </c>
      <c r="J62" s="887" t="inlineStr">
        <is>
          <t>belle-lace-wireless-bra-g2</t>
        </is>
      </c>
    </row>
    <row r="63" ht="42" customHeight="1" s="229">
      <c r="A63" s="912" t="inlineStr">
        <is>
          <t>NEIWAI ACTIVE X NYCB Fleece Neck Warmer</t>
        </is>
      </c>
      <c r="B63" s="913" t="inlineStr">
        <is>
          <t>Active</t>
        </is>
      </c>
      <c r="C63" s="914" t="n">
        <v>55</v>
      </c>
      <c r="D63" s="914" t="n">
        <v>55</v>
      </c>
      <c r="E63" s="913" t="inlineStr"/>
      <c r="F63" s="915" t="inlineStr">
        <is>
          <t>Experience warmth and comfort with our Polartec Fleece 100 Neck Warmer! Lightweight and breathable, it provides excellent insulation while wicking moisture, making it perfect for outdoor adventures or everyday wear. Stay cozy in style!</t>
        </is>
      </c>
      <c r="G63" s="916" t="inlineStr">
        <is>
          <t>• Features an adjustable drawcord, allowing for a customizable fit for maximum comfort and warmth. • Lightweight and easy to pack for travel or outdoor adventures, ensuring you're prepared for changing conditions. • Its versatility makes it an ideal gift for friends and family during the colder months.</t>
        </is>
      </c>
      <c r="H63" s="917" t="inlineStr">
        <is>
          <t>100% Polyester • Care Instructions: For best results, hand wash in cold water. Lay flat to dry. Ironing not recommended</t>
        </is>
      </c>
      <c r="I63" s="918" t="inlineStr">
        <is>
          <t>24.10.11, 24AW, Activity_Active/Outdoor, Activity_Active/Snow, Category_Active, Category_Active/Accessories, Category_Lounge/Accessories, NYCB, Tariff Final Sale</t>
        </is>
      </c>
      <c r="J63" s="919" t="inlineStr">
        <is>
          <t>fleece-neck-warmer</t>
        </is>
      </c>
    </row>
    <row r="64" ht="42" customHeight="1" s="229">
      <c r="A64" s="938" t="inlineStr">
        <is>
          <t>Men's Modal Boxer Brief-G2</t>
        </is>
      </c>
      <c r="B64" s="939" t="inlineStr">
        <is>
          <t>Men</t>
        </is>
      </c>
      <c r="C64" s="940" t="n">
        <v>19</v>
      </c>
      <c r="D64" s="940" t="n">
        <v>9</v>
      </c>
      <c r="E64" s="941" t="inlineStr">
        <is>
          <t>Yes</t>
        </is>
      </c>
      <c r="F64" s="942" t="inlineStr">
        <is>
          <t>Our take on classic men's boxer briefs, made from a luxurious, silk-smooth blend of TENCEL ‚Ñ¢ Modal &amp; Lycra ¬© Spandex for all-day comfort and mobility. This item is final sale and cannot be returned or exchanged.</t>
        </is>
      </c>
      <c r="G64" s="943" t="inlineStr">
        <is>
          <t>• Extremely flexible for a fit so comfortable you'll hardly feel they're there. • No friction or lines, even in jeans or thin slacks. • Made from a durable, antibacterial blend of T ENCEL ‚Ñ¢ Modal &amp; Spandex ‚Äî keeps skin clean, healthy, and comfortable, wear after wear and wash after wash.</t>
        </is>
      </c>
      <c r="H64" s="944" t="inlineStr">
        <is>
          <t>Fabric: 90% TENCEL ‚Ñ¢ Modal, 10% Lycra ¬© Spandex • Care instructions: Machine wash in cold water, hang to dry</t>
        </is>
      </c>
      <c r="I64" s="945" t="inlineStr">
        <is>
          <t>G2 Sample Sale, hide-bis, HR-CX, no-returns</t>
        </is>
      </c>
      <c r="J64" s="946" t="inlineStr">
        <is>
          <t>mens-modal-boxer-brief-g2</t>
        </is>
      </c>
    </row>
    <row r="65" ht="42" customHeight="1" s="229">
      <c r="A65" s="904" t="inlineStr">
        <is>
          <t>NEIWAI ACTIVE X NYCB Cargo Skirt</t>
        </is>
      </c>
      <c r="B65" s="905" t="inlineStr">
        <is>
          <t>Active</t>
        </is>
      </c>
      <c r="C65" s="906" t="n">
        <v>135</v>
      </c>
      <c r="D65" s="906" t="n">
        <v>135</v>
      </c>
      <c r="E65" s="905" t="inlineStr"/>
      <c r="F65" s="907" t="inlineStr">
        <is>
          <t>Sophistication meets utility in the Cargo Skirt, crafted for elegant movement and warmth. Ample pockets and stretchy material make this style a must-have for fall outings.</t>
        </is>
      </c>
      <c r="G65" s="908" t="inlineStr">
        <is>
          <t>• Made from a stretchy woven fabric with a brushed interior lining for added warmth and comfort. • Midi-length straight cut features a back vent for ease of movement. Size M is 30.5" in length. • Equipped with cargo pockets and an elasticated back waistband for fuss-free comfort and versatility.</t>
        </is>
      </c>
      <c r="H65" s="909" t="inlineStr">
        <is>
          <t>100% Polyester • Care instructions: For best results, hand wash in cold water and line dry in the shade. Do not bleach, iron, or dry clean</t>
        </is>
      </c>
      <c r="I65" s="910" t="inlineStr">
        <is>
          <t>24.9.12, 24AW, Activity_Active/Ballet, Activity_Active/Ballet&amp;Dance, Category_Active, Category_Active/Ballet, Category_Active/Leggings &amp; Skirt, NYCB, Tariff Final Sale</t>
        </is>
      </c>
      <c r="J65" s="911" t="inlineStr">
        <is>
          <t>neiwai-active-x-nycb-cargo-skirt</t>
        </is>
      </c>
    </row>
    <row r="66" ht="42" customHeight="1" s="229">
      <c r="A66" s="912" t="inlineStr">
        <is>
          <t>NEIWAI ACTIVE X NYCB Polartec Fleece Sweatpants</t>
        </is>
      </c>
      <c r="B66" s="913" t="inlineStr">
        <is>
          <t>Active</t>
        </is>
      </c>
      <c r="C66" s="914" t="n">
        <v>125</v>
      </c>
      <c r="D66" s="914" t="n">
        <v>125</v>
      </c>
      <c r="E66" s="913" t="inlineStr"/>
      <c r="F66" s="915" t="inlineStr">
        <is>
          <t>Keep your legs cozy this season with our Polartec¬Æ Fleece Sweatpants. These pants combine comfort and effortless style, making them your go-to for warmth on the go.</t>
        </is>
      </c>
      <c r="G66" s="916" t="inlineStr">
        <is>
          <t>• Made from Polartec¬Æ 100 Series Fleece, offering lightweight warmth, softness, and excellent breathability. • The relaxed tapered silhouette supports ample movement while providing a flattering fit. Size M is 40.4" in length • Ideal for outdoor wear, these pants feature zippered side pockets and transition seamlessly from lounging to adventuring.</t>
        </is>
      </c>
      <c r="H66" s="917" t="inlineStr">
        <is>
          <t>100% Polyester • Care instructions: For best results, hand wash in cold water and line dry in the shade. Do not bleach, iron, or dry clean</t>
        </is>
      </c>
      <c r="I66" s="918" t="inlineStr">
        <is>
          <t>24.9.12, 24AW, Activity_Active/Ballet, Category_Active, Category_Active/Joggers, NYCB, Tariff Final Sale</t>
        </is>
      </c>
      <c r="J66" s="919" t="inlineStr">
        <is>
          <t>neiwai-active-x-nycb-polartec-fleece-sweatpants</t>
        </is>
      </c>
    </row>
    <row r="67" ht="42" customHeight="1" s="229">
      <c r="A67" s="904" t="inlineStr">
        <is>
          <t>NEIWAI ACTIVE X NYCB Polartec Fleece Sweatshirt</t>
        </is>
      </c>
      <c r="B67" s="905" t="inlineStr">
        <is>
          <t>Active</t>
        </is>
      </c>
      <c r="C67" s="906" t="n">
        <v>155</v>
      </c>
      <c r="D67" s="906" t="n">
        <v>155</v>
      </c>
      <c r="E67" s="905" t="inlineStr"/>
      <c r="F67" s="907" t="inlineStr">
        <is>
          <t>Conquer the cold in style with the Polartec¬Æ Fleece Sweatshirt, designed so you don't have to sacrifice style for warmth. Perfect for everyday wear and layering, this sweatshirt looks chic and feels like a hug.</t>
        </is>
      </c>
      <c r="G67" s="908" t="inlineStr">
        <is>
          <t>• Crafted from Polartec¬Æ 100 Series Fleece, offering lightweight warmth, softness, and breathability. • Oversized collar features snap-button placket for adjustable styling and added warmth. Size M is 22.8" in length • Features adjustable drawstring hem and elastic cuffs to keep in warmth. Zippered side pockets provide storage and hand-warming.</t>
        </is>
      </c>
      <c r="H67" s="909" t="inlineStr">
        <is>
          <t>100% Polyester • Care instructions: For best results, hand wash in cold water and line dry in the shade. Do not bleach, iron, or dry clean</t>
        </is>
      </c>
      <c r="I67" s="910" t="inlineStr">
        <is>
          <t>24.9.12, 24AW, Activity_Active/Ballet, Category_Active, Category_Active/Outerwear, Category_Active/Tops, NYCB, Tariff Final Sale</t>
        </is>
      </c>
      <c r="J67" s="911" t="inlineStr">
        <is>
          <t>neiwai-active-x-nycb-polartec-fleece-sweatshirt</t>
        </is>
      </c>
    </row>
    <row r="68" ht="42" customHeight="1" s="229">
      <c r="A68" s="912" t="inlineStr">
        <is>
          <t>NEIWAI ACTIVE X NYCB Wool Fleece Coat</t>
        </is>
      </c>
      <c r="B68" s="913" t="inlineStr">
        <is>
          <t>Active</t>
        </is>
      </c>
      <c r="C68" s="914" t="n">
        <v>265</v>
      </c>
      <c r="D68" s="914" t="n">
        <v>265</v>
      </c>
      <c r="E68" s="913" t="inlineStr"/>
      <c r="F68" s="915" t="inlineStr">
        <is>
          <t>Cozy up to our statement-making Wool Fleece Coat. Blending the warmth of wool with the comfort and flexibility of a knit sweater, this coat has you covered no matter what your day brings.</t>
        </is>
      </c>
      <c r="G68" s="916" t="inlineStr">
        <is>
          <t>• Made with wool fleece fabric, complemented by a knit collar and sleeves for a sophisticated and feminine touch. Brushed inner lining adds softness and extra warmth. • Relaxed silhouette features a cinched waist to provide definition while still being roomy enough to layer over tops. Model wears size S. Size M is 28.8" in length • Features two-way zipper and multiple pockets for storage and hand-warming.</t>
        </is>
      </c>
      <c r="H68" s="917" t="inlineStr">
        <is>
          <t>74% Polyester, 26% Wool • Care instructions: For best results, do not wash. Do not bleach. Dry flat in the shade. Do not tumble dry. Iron on low hear. Gentle dry cleaning</t>
        </is>
      </c>
      <c r="I68" s="918" t="inlineStr">
        <is>
          <t>24.9.12, 24AW, Activity_Active/Ballet, Activity_Active/Ballet&amp;Dance, Activity_Active/Outdoor, Category_Active, Category_Active/Ballet, Category_Active/Outerwear, Category_Active/Tops, Fabric_Active/Cashmere &amp; Wool, NYCB, Tariff Final Sale, US Inventory</t>
        </is>
      </c>
      <c r="J68" s="919" t="inlineStr">
        <is>
          <t>neiwai-active-x-nycb-wool-fleece-coat</t>
        </is>
      </c>
    </row>
    <row r="69" ht="42" customHeight="1" s="229">
      <c r="A69" s="904" t="inlineStr">
        <is>
          <t>NEIWAI ACTIVE X NYCB Bomber Jacket</t>
        </is>
      </c>
      <c r="B69" s="905" t="inlineStr">
        <is>
          <t>Active</t>
        </is>
      </c>
      <c r="C69" s="906" t="n">
        <v>265</v>
      </c>
      <c r="D69" s="906" t="n">
        <v>265</v>
      </c>
      <c r="E69" s="905" t="inlineStr"/>
      <c r="F69" s="907" t="inlineStr">
        <is>
          <t>Stay warm and look cool in our Bomber Jacket. This jacket blends water-resistant protection with a relaxed silhouette that provides an instant style upgrade with any outfit.</t>
        </is>
      </c>
      <c r="G69" s="908" t="inlineStr">
        <is>
          <t>• Relaxed, slightly oversized silhouette features ribbed hem and cuffs and oversized collar for comfort and warmth. • Features front logo zipper pull and reflective sleeve logo. Multiple pockets provide practical storage and warmth for your hands. Size M is 22.9" in length • Crafted from Solotex yarn, known for its soft, lightweight, and water-resistant properties.</t>
        </is>
      </c>
      <c r="H69" s="909" t="inlineStr">
        <is>
          <t>Shell: 100% Polyester; Filler: 100% Polyester; Lining: 100% Polyester; Rib: 97% Polyester 3% Spandex • Care instructions: For best results, hand wash in cold water and line dry in the shade. Do not bleach, iron, or dry clean</t>
        </is>
      </c>
      <c r="I69" s="910" t="inlineStr">
        <is>
          <t>24.9.12, 24AW, Activity_Active/Ballet, Category_Active, Category_Active/Outerwear, Category_Active/Tops, NYCB, Tariff Final Sale</t>
        </is>
      </c>
      <c r="J69" s="911" t="inlineStr">
        <is>
          <t>neiwai-active-x-nycb-bomber-jacket</t>
        </is>
      </c>
    </row>
    <row r="70" ht="42" customHeight="1" s="229">
      <c r="A70" s="912" t="inlineStr">
        <is>
          <t>NEIWAI ACTIVE X NYCB Quilted Vest</t>
        </is>
      </c>
      <c r="B70" s="913" t="inlineStr">
        <is>
          <t>Active</t>
        </is>
      </c>
      <c r="C70" s="914" t="n">
        <v>139</v>
      </c>
      <c r="D70" s="914" t="n">
        <v>139</v>
      </c>
      <c r="E70" s="913" t="inlineStr"/>
      <c r="F70" s="915" t="inlineStr">
        <is>
          <t>Lightweight warmth meets style with the Quilted Vest, designed for daily outings and far-off adventures. This tailored vest features PrimaLoft¬Æ insulation and feminine design details, making it an essential layering piece.</t>
        </is>
      </c>
      <c r="G70" s="916" t="inlineStr">
        <is>
          <t>• Water-resistant fabric and PrimaLoft¬Æ insulation provide lightweight warmth and protection against the elements. • Tailored silhouette features quilted details and moto-inspired collar with snap closure to provide extra warmth. Size M is 22.1" in length • Features two-way front zipper and zippered side pockets for secure storage.</t>
        </is>
      </c>
      <c r="H70" s="917" t="inlineStr">
        <is>
          <t>Shell: 87% Polyamide 13% Spandex Filler: 100% Polyester Lining: 100% Polyester • Care instructions: For best results, do not wash. Do not bleach. Dry flat in the shade. Do not tumble dry. Iron on low hear. Gentle dry cleaning</t>
        </is>
      </c>
      <c r="I70" s="918" t="inlineStr">
        <is>
          <t>24.9.12, 24AW, Activity_Active/Ballet, Category_Active, Category_Active/Ballet, Category_Active/Outerwear, Category_Active/Tops, NYCB, Tariff Final Sale</t>
        </is>
      </c>
      <c r="J70" s="919" t="inlineStr">
        <is>
          <t>neiwai-active-x-nycb-quilted-vest</t>
        </is>
      </c>
    </row>
    <row r="71" ht="42" customHeight="1" s="229">
      <c r="A71" s="904" t="inlineStr">
        <is>
          <t>NEIWAI ACTIVE X NYCB Polartec Fleece Hooded Jacket</t>
        </is>
      </c>
      <c r="B71" s="905" t="inlineStr">
        <is>
          <t>Active</t>
        </is>
      </c>
      <c r="C71" s="906" t="n">
        <v>169</v>
      </c>
      <c r="D71" s="906" t="n">
        <v>169</v>
      </c>
      <c r="E71" s="905" t="inlineStr"/>
      <c r="F71" s="907" t="inlineStr">
        <is>
          <t>Embrace cozy adventures with our Polartec¬Æ Fleece Hooded Jacket. Its lightweight design keeps you comfortable and free from bulk, making it ideal for both city commutes and outdoor explorations.</t>
        </is>
      </c>
      <c r="G71" s="908" t="inlineStr">
        <is>
          <t>• Made from Polartec¬Æ 100 Series Fleece fabric, making it an excellent choice for a warm first layer. • Features two zippered hand pockets and one zippered chest pocket to hold essential gear. Size M is 21.7" in length • Elastic binding at cuffs helps keep cold drafts out. • Zip-up hoodie style features a slim fit design with the hem hitting at the high hip for a flattering silhouette.</t>
        </is>
      </c>
      <c r="H71" s="909" t="inlineStr">
        <is>
          <t>100% Polyester • Care instructions: For best results, hand wash in cold water and line dry in the shade. Do not bleach, iron, or dry clean</t>
        </is>
      </c>
      <c r="I71" s="910" t="inlineStr">
        <is>
          <t>24.9.12, 24AW, Activity_Active/Ballet, Category_Active, Category_Active/Outerwear, Category_Active/Tops, NYCB, Tariff Final Sale</t>
        </is>
      </c>
      <c r="J71" s="911" t="inlineStr">
        <is>
          <t>neiwai-active-x-nycb-polartec-fleece-hooded-jacket</t>
        </is>
      </c>
    </row>
    <row r="72" ht="42" customHeight="1" s="229">
      <c r="A72" s="896" t="inlineStr">
        <is>
          <t>Wool Fleece Cocoon Jacket</t>
        </is>
      </c>
      <c r="B72" s="897" t="inlineStr">
        <is>
          <t>Loungewear</t>
        </is>
      </c>
      <c r="C72" s="898" t="n">
        <v>165</v>
      </c>
      <c r="D72" s="898" t="n">
        <v>165</v>
      </c>
      <c r="E72" s="897" t="inlineStr"/>
      <c r="F72" s="899" t="inlineStr">
        <is>
          <t>Wrap yourself in comfort with our wool fleece cocoon jacket. Designed for lounging, its soft, cozy fabric offers warmth and a stylish silhouette. Perfect for lazy days at home or casual outings, it effortlessly combines comfort and style.</t>
        </is>
      </c>
      <c r="G72" s="900" t="inlineStr">
        <is>
          <t>• Minimalist design with unique fleece texture adds visual interest and subtle sophistication. • Crafted from high-Australian wool blended with acrylic and nylon, the fabric remains lightweight, plush, and drapey. • Complete your look with the Wool Fleece Cocoon Pants.</t>
        </is>
      </c>
      <c r="H72" s="901" t="inlineStr">
        <is>
          <t>56% Acrylic 28% Wool 16% Polyamide • Care instructions: Dry cleaning only. Do not wash with water. Line dry in the shade. Do not iron</t>
        </is>
      </c>
      <c r="I72" s="902" t="inlineStr">
        <is>
          <t>24.10.11, 24AW, Category_Lounge, Category_Lounge/Pajamas &amp; Robes, Category_Lounge/Pajamas &amp; Robes/Top, Category_Lounge/Top, Category_Lounge/Tops, Tariff Final Sale</t>
        </is>
      </c>
      <c r="J72" s="903" t="inlineStr">
        <is>
          <t>wool-fleece-cocoon-jacket</t>
        </is>
      </c>
    </row>
    <row r="73" ht="42" customHeight="1" s="229">
      <c r="A73" s="928" t="inlineStr">
        <is>
          <t>Wool Fleece Cocoon Pants</t>
        </is>
      </c>
      <c r="B73" s="929" t="inlineStr">
        <is>
          <t>Loungewear</t>
        </is>
      </c>
      <c r="C73" s="930" t="n">
        <v>99</v>
      </c>
      <c r="D73" s="930" t="n">
        <v>99</v>
      </c>
      <c r="E73" s="929" t="inlineStr"/>
      <c r="F73" s="931" t="inlineStr">
        <is>
          <t>Embrace cozy comfort with our wool fleece pants in a chic cocoon silhouette. Designed for warmth and style, these pants offer a relaxed fit perfect for lounging or outings. Elevate your wardrobe with effortless sophistication this season!</t>
        </is>
      </c>
      <c r="G73" s="932" t="inlineStr">
        <is>
          <t>• Slightly tapered legs: The sleek, minimalist design pairs beautifully with cocoon jackets, offering a refined, streamlined look without excess seams. • Textured Finish: The fleece finish showcases a unique, irregular lambswool texture that feels warm yet effortlessly stylish. The length is 39.2" in size M. • Luxurious Wool Blend: Made from high-density Australian wool with acrylic and nylon, these pants offer lightweight warmth with a plush drape.</t>
        </is>
      </c>
      <c r="H73" s="933" t="inlineStr">
        <is>
          <t>56% Acrylic 28% Wool 16% Polyamide • Care instructions: Dry cleaning only. Do not wash with water. Line dry in the shade. Do not iron</t>
        </is>
      </c>
      <c r="I73" s="934" t="inlineStr">
        <is>
          <t>24.10.11, 24AW, Category_Lounge, Category_Lounge/Bottoms, Category_Lounge/Bottoms/Elastic, Category_Lounge/Pajamas &amp; Robes, Category_Lounge/Pajamas &amp; Robes/Bottoms, Function_Lounge/Sleep/Pajama, Tariff Final Sale</t>
        </is>
      </c>
      <c r="J73" s="935" t="inlineStr">
        <is>
          <t>wool-fleece-cocoon-pants</t>
        </is>
      </c>
    </row>
    <row r="74" ht="28" customHeight="1" s="229">
      <c r="A74" s="888" t="inlineStr">
        <is>
          <t>Barely Zero Spaghetti Strap Bra - 2024 New Colors</t>
        </is>
      </c>
      <c r="B74" s="889" t="inlineStr">
        <is>
          <t>Underwear</t>
        </is>
      </c>
      <c r="C74" s="890" t="n">
        <v>39</v>
      </c>
      <c r="D74" s="890" t="n">
        <v>39</v>
      </c>
      <c r="E74" s="889" t="inlineStr"/>
      <c r="F74" s="891" t="inlineStr">
        <is>
          <t>For Flexport Set up only, once inventory arrived, will be combined with current Barely Zero Spaghetti Strap Bra listing.</t>
        </is>
      </c>
      <c r="G74" s="892" t="n"/>
      <c r="H74" s="893" t="n"/>
      <c r="I74" s="894" t="n"/>
      <c r="J74" s="895" t="inlineStr">
        <is>
          <t>barely-zero-spaghetti-strap-bra-2024-new-colors</t>
        </is>
      </c>
    </row>
    <row r="75" ht="42" customHeight="1" s="229">
      <c r="A75" s="912" t="inlineStr">
        <is>
          <t>Woven Fleece Pants</t>
        </is>
      </c>
      <c r="B75" s="913" t="inlineStr">
        <is>
          <t>Active</t>
        </is>
      </c>
      <c r="C75" s="914" t="n">
        <v>185</v>
      </c>
      <c r="D75" s="914" t="n">
        <v>185</v>
      </c>
      <c r="E75" s="913" t="inlineStr"/>
      <c r="F75" s="915" t="inlineStr">
        <is>
          <t>Embrace the chill with our Woven Fleece Pants! Perfect for winter activities, they offer warmth, comfort, and a flexible fit. Gear up and enjoy every snowy adventure in style!</t>
        </is>
      </c>
      <c r="G75" s="916" t="inlineStr">
        <is>
          <t>•Made from a water-repellent woven exterior with a brushed fleece interior, these pants provide warmth and comfort while maintaining a sleek, leg-flattering silhouette. • The adjustable waistband allows you to customize the fit for maximum comfort. The inseam is 26.9" in size M. • Ankle zippers let you adjust the leg openings for a tailored fit, adding a touch of modern versatility to your look.</t>
        </is>
      </c>
      <c r="H75" s="917" t="inlineStr">
        <is>
          <t>88% Polyamide 12% Spandex • Care instructions: Hand wash in cool water. Line dry in the shade. Do not iron</t>
        </is>
      </c>
      <c r="I75" s="918" t="inlineStr">
        <is>
          <t>24.10.11, 24AW, Activity_Active/Outdoor, Activity_Active/Snow, Category_Active, Category_Active/Joggers, Tariff Final Sale</t>
        </is>
      </c>
      <c r="J75" s="919" t="inlineStr">
        <is>
          <t>woven-fleece-pants</t>
        </is>
      </c>
    </row>
    <row r="76" ht="42" customHeight="1" s="229">
      <c r="A76" s="904" t="inlineStr">
        <is>
          <t>NEIWAI ACTIVE X NYCB Knitted Down Cropped Jacket</t>
        </is>
      </c>
      <c r="B76" s="905" t="inlineStr">
        <is>
          <t>Active</t>
        </is>
      </c>
      <c r="C76" s="906" t="n">
        <v>239</v>
      </c>
      <c r="D76" s="906" t="n">
        <v>239</v>
      </c>
      <c r="E76" s="905" t="inlineStr"/>
      <c r="F76" s="907" t="inlineStr">
        <is>
          <t>Stay warm and stylish with our short down jacket, featuring a 20 denier nylon blend for lightweight comfort. Side knit panels and tailored sleeves ensure a snug fit and ease of movement, perfect for chilly days out.</t>
        </is>
      </c>
      <c r="G76" s="908" t="inlineStr">
        <is>
          <t>• Lightweight and Flexible: Stretchy knit panels along the sleeves and sides provides a close-knit fit and unrestricted movement and warmth. • Weather-Resistant Fabric: Crafted from 20 denier nylon-blend fabric with a subtle crinkled texture that feels soft to the touch while offering water repellency and excellent down retention. The back length is 21.7" in size M. • Sleek Silhouette: The cropped, slim fit design adds a chic, feminine touch, making it easy to style with various outfits while keeping you warm and protected.</t>
        </is>
      </c>
      <c r="H76" s="909" t="inlineStr">
        <is>
          <t>87% Polyamide 13% Spandex • Care instructions: Hand wash in cool water. Line dry in the shade. Do not iron</t>
        </is>
      </c>
      <c r="I76" s="910" t="inlineStr">
        <is>
          <t>24.10.11, 24AW, Activity_Active/Outdoor, Category_Active, Category_Active/Outerwear, Category_Active/Tops, NYCB, Tariff Final Sale</t>
        </is>
      </c>
      <c r="J76" s="911" t="inlineStr">
        <is>
          <t>knitted-down-cropped-jacket</t>
        </is>
      </c>
    </row>
    <row r="77" ht="56" customHeight="1" s="229">
      <c r="A77" s="912" t="inlineStr">
        <is>
          <t>Fleece Pocket Leggings</t>
        </is>
      </c>
      <c r="B77" s="913" t="inlineStr">
        <is>
          <t>Active</t>
        </is>
      </c>
      <c r="C77" s="914" t="n">
        <v>99</v>
      </c>
      <c r="D77" s="914" t="n">
        <v>99</v>
      </c>
      <c r="E77" s="913" t="inlineStr"/>
      <c r="F77" s="915" t="inlineStr">
        <is>
          <t>Stay cozy and stylish in our Fleece Pocket Leggings! Made from soft, stretchy fleece, these leggings feature convenient side pockets and a back zippered waistband pocket for essentials. Perfect for lounging or on-the-go, they blend warmth and functionality effortlessly.</t>
        </is>
      </c>
      <c r="G77" s="916" t="inlineStr">
        <is>
          <t>• Crafted with a brushed fleece lining that feels luxurious against the skin, perfect for cold-weather outings. • Side pockets and a zip pocket at the back waistband offers secure storage for your essentials. The inseam is 23.6" in size M. • The sleek design offers a stylish, feminine flair, allowing for effortless pairing with different outfits while ensuring you stay warm and protected.</t>
        </is>
      </c>
      <c r="H77" s="917" t="inlineStr">
        <is>
          <t>70% Polyamide 30% Spandex • Care instructions: Hand wash in cool water. Line dry in the shade. Do not iron</t>
        </is>
      </c>
      <c r="I77" s="918" t="inlineStr">
        <is>
          <t>24.10.11, 24AW, Activity_Active/Outdoor, Activity_Active/Snow, Category_Active, Category_Active/Leggings, Tariff Final Sale, US Inventory</t>
        </is>
      </c>
      <c r="J77" s="919" t="inlineStr">
        <is>
          <t>fleece-pocket-leggings</t>
        </is>
      </c>
    </row>
    <row r="78" ht="18" customHeight="1" s="229">
      <c r="A78" s="880" t="inlineStr">
        <is>
          <t>Silk Low Waist Brief</t>
        </is>
      </c>
      <c r="B78" s="881" t="inlineStr">
        <is>
          <t>Underwear</t>
        </is>
      </c>
      <c r="C78" s="882" t="n">
        <v>35</v>
      </c>
      <c r="D78" s="882" t="n">
        <v>35</v>
      </c>
      <c r="E78" s="881" t="inlineStr"/>
      <c r="F78" s="883" t="n"/>
      <c r="G78" s="884" t="n"/>
      <c r="H78" s="885" t="n"/>
      <c r="I78" s="886" t="inlineStr">
        <is>
          <t>24.10.11, 24AW</t>
        </is>
      </c>
      <c r="J78" s="887" t="inlineStr">
        <is>
          <t>silk-low-waist-brief</t>
        </is>
      </c>
    </row>
    <row r="79" ht="18" customHeight="1" s="229">
      <c r="A79" s="888" t="inlineStr">
        <is>
          <t>Silk Triangle Cup Bra</t>
        </is>
      </c>
      <c r="B79" s="889" t="inlineStr">
        <is>
          <t>Underwear</t>
        </is>
      </c>
      <c r="C79" s="890" t="n">
        <v>89</v>
      </c>
      <c r="D79" s="890" t="n">
        <v>89</v>
      </c>
      <c r="E79" s="889" t="inlineStr"/>
      <c r="F79" s="891" t="n"/>
      <c r="G79" s="892" t="n"/>
      <c r="H79" s="893" t="n"/>
      <c r="I79" s="894" t="inlineStr">
        <is>
          <t>24.10.11, 24AW</t>
        </is>
      </c>
      <c r="J79" s="895" t="inlineStr">
        <is>
          <t>silk-triangle-cup-bra</t>
        </is>
      </c>
    </row>
    <row r="80" ht="42" customHeight="1" s="229">
      <c r="A80" s="904" t="inlineStr">
        <is>
          <t>NEIWAI ACTIVE X NYCB Sandwashed Modal Cocoon Pants</t>
        </is>
      </c>
      <c r="B80" s="905" t="inlineStr">
        <is>
          <t>Active</t>
        </is>
      </c>
      <c r="C80" s="906" t="n">
        <v>125</v>
      </c>
      <c r="D80" s="906" t="n">
        <v>125</v>
      </c>
      <c r="E80" s="905" t="inlineStr"/>
      <c r="F80" s="907" t="inlineStr">
        <is>
          <t>Step into comfort with our Sandwashed Modal Cocoon Pants. Crafted from ultra-soft sandwashed modal, these pants offer a luxurious feel and relaxed fit, perfect for lounging or casual wear with a touch of effortless style.</t>
        </is>
      </c>
      <c r="G80" s="908" t="inlineStr">
        <is>
          <t>• Ribbed, buttery texture feels indulgent against the skin. Model wears size S. • Boyfriend fit provides a relaxed silhouette with a slouchy drape. Can be layered over leggings for extra warmth. Size M is 40.5" in length. • Features front pleats with a drawstring waist and front slit pockets.</t>
        </is>
      </c>
      <c r="H80" s="909" t="inlineStr">
        <is>
          <t>49% Polyester 44% Modal 7% Spandex • Care instructions: For best results, hand wash in cold water and line dry in the shade. Do not bleach, iron, or dry clean</t>
        </is>
      </c>
      <c r="I80" s="910" t="inlineStr">
        <is>
          <t>24.9.12, 24AW, Activity_Active/Ballet, Activity_Active/Ballet&amp;Dance, Category_Active, Category_Active/Ballet, Category_Active/Joggers, NYCB, Tariff Final Sale, US Inventory</t>
        </is>
      </c>
      <c r="J80" s="911" t="inlineStr">
        <is>
          <t>sandwashed-modal-cocoon-pants</t>
        </is>
      </c>
    </row>
    <row r="81" ht="42" customHeight="1" s="229">
      <c r="A81" s="912" t="inlineStr">
        <is>
          <t>NEIWAI ACTIVE X NYCB Mousse High Waist Pants</t>
        </is>
      </c>
      <c r="B81" s="913" t="inlineStr">
        <is>
          <t>Active</t>
        </is>
      </c>
      <c r="C81" s="914" t="n">
        <v>119</v>
      </c>
      <c r="D81" s="914" t="n">
        <v>119</v>
      </c>
      <c r="E81" s="913" t="inlineStr"/>
      <c r="F81" s="915" t="inlineStr">
        <is>
          <t>Timeless comfort meets modern style with the Mousse High Waist Pants. Featuring soft, stretchy fabric and a flattering wide leg silhouette, these pants are designs for those who value style and comfort on-the-go.</t>
        </is>
      </c>
      <c r="G81" s="916" t="inlineStr">
        <is>
          <t>• Made from soft, skin-friendly Mousse fabric, which is made from durable nylon 66 and Lycra spandex and features a lightly brushed finish. • High waist and wide legs create a leg-lengthening silhouette. The inner waistband features a drawstring for an adjustable fit, ensuring flexibility and ease of movement. Size M is 29.6" in length. • Fixed pockets prevent shifting, while the full-length design further enhances your figure.</t>
        </is>
      </c>
      <c r="H81" s="917" t="inlineStr">
        <is>
          <t>79% Polyamide 21% Spandex • Care instructions: For best results, hand wash in cold water and line dry in the shade. Do not bleach, iron, or dry clean</t>
        </is>
      </c>
      <c r="I81" s="918" t="inlineStr">
        <is>
          <t>24.9.12, 24AW, Activity_Active/Ballet, Activity_Active/Ballet&amp;Dance, Category_Active, Category_Active/Ballet, Category_Active/Joggers, mousse, NYCB, Tariff Final Sale</t>
        </is>
      </c>
      <c r="J81" s="919" t="inlineStr">
        <is>
          <t>mousse-high-waist-pants</t>
        </is>
      </c>
    </row>
    <row r="82" ht="42" customHeight="1" s="229">
      <c r="A82" s="904" t="inlineStr">
        <is>
          <t>NEIWAI ACTIVE X NYCB Wool Half Zip Hoodie</t>
        </is>
      </c>
      <c r="B82" s="905" t="inlineStr">
        <is>
          <t>Active</t>
        </is>
      </c>
      <c r="C82" s="906" t="n">
        <v>155</v>
      </c>
      <c r="D82" s="906" t="n">
        <v>155</v>
      </c>
      <c r="E82" s="905" t="inlineStr"/>
      <c r="F82" s="907" t="inlineStr">
        <is>
          <t>Experience ultimate style and function with our Wool Half-Zip Hoodie. This sleek half-zip design is made for easy layering and adjustable comfort, making it perfect for casual outings and cozy days alike.</t>
        </is>
      </c>
      <c r="G82" s="908" t="inlineStr">
        <is>
          <t>• Made from Merino wool, which is moisture-wicking and thermoregulating while maintaining a soft, skin-friendly feel. • A subtle yet varied knit pattern offers a distinctive, eye-catching design. •Thumbhole design keeps your hands and wrists warm and your sleeves from rolling up. Size M is 20.5" in length. •Merino wool is biodegradable and renewable, making it an environmentally friendly choice.</t>
        </is>
      </c>
      <c r="H82" s="909" t="inlineStr">
        <is>
          <t>100% Merino wool • Care instructions: For best results, do not wash. Do not bleach. Dry flat in the shade. Do not tumble dry. Iron on low hear. Gentle dry cleaning</t>
        </is>
      </c>
      <c r="I82" s="910" t="inlineStr">
        <is>
          <t>24.9.12, 24AW, Activity_Active/Ballet, Activity_Active/Ballet&amp;Dance, Category_Active, Category_Active/Ballet, Category_Active/Outerwear, Category_Active/Sweatshirts, Category_Active/Tops, Fabric_Active/Cashmere &amp; Wool, NYCB, Tariff Final Sale</t>
        </is>
      </c>
      <c r="J82" s="911" t="inlineStr">
        <is>
          <t>wool-half-zip-hoodie</t>
        </is>
      </c>
    </row>
    <row r="83" ht="42" customHeight="1" s="229">
      <c r="A83" s="880" t="inlineStr">
        <is>
          <t>Nude Shape High Waist Brief</t>
        </is>
      </c>
      <c r="B83" s="881" t="inlineStr">
        <is>
          <t>Underwear</t>
        </is>
      </c>
      <c r="C83" s="882" t="n">
        <v>45</v>
      </c>
      <c r="D83" s="882" t="n">
        <v>45</v>
      </c>
      <c r="E83" s="881" t="inlineStr"/>
      <c r="F83" s="883" t="inlineStr">
        <is>
          <t>Enjoy a smooth, flattering silhouette with the Nude Shape High Waist Brief. This design offers full coverage and shapes your waist, providing a streamlined foundation for any look.</t>
        </is>
      </c>
      <c r="G83" s="884" t="inlineStr">
        <is>
          <t>• High-waist, full-coverage design features abdominal and rear panels to provided gentle tummy control and a subtle lift for the hips. • Seamless edges at the waistband and leg openings ensure a smooth, no-dig fit that stays invisible under clothing. • Made from breathable jacquard mesh fabric with a cotton-like feel, these briefs are soft against the skin, while Lycra spandex enhances durability and maintains shape retention.</t>
        </is>
      </c>
      <c r="H83" s="885" t="inlineStr">
        <is>
          <t>55%Polyamide 45%Spandex • Care instructions: For best results, hand wash in cold water with an underwear-safe detergent</t>
        </is>
      </c>
      <c r="I83" s="886" t="inlineStr">
        <is>
          <t>24.9.5, 24AW, Category_Lingerie/Brief, Category_Lingerie/Brief/High Waist, Category_Underwear/Bottoms/Panties/Shapewear, Collection_Valentine, HR-CX, Tariff Final Sale, XS - XL Brief</t>
        </is>
      </c>
      <c r="J83" s="887" t="inlineStr">
        <is>
          <t>nude-shape-high-waist-brief2</t>
        </is>
      </c>
    </row>
    <row r="84" ht="42" customHeight="1" s="229">
      <c r="A84" s="912" t="inlineStr">
        <is>
          <t>NEIWAI ACTIVE X NYCB Mousse Half Zip Long Sleeve Top</t>
        </is>
      </c>
      <c r="B84" s="913" t="inlineStr">
        <is>
          <t>Active</t>
        </is>
      </c>
      <c r="C84" s="914" t="n">
        <v>119</v>
      </c>
      <c r="D84" s="914" t="n">
        <v>119</v>
      </c>
      <c r="E84" s="913" t="inlineStr"/>
      <c r="F84" s="915" t="inlineStr">
        <is>
          <t>The Mousse Half Zip Long Sleeve Top combines elegance with functionality and is designed for an active lifestyle. Whether you're at the studio, on the golf course, or walking around town, this top offers a sleek base layer.</t>
        </is>
      </c>
      <c r="G84" s="916" t="inlineStr">
        <is>
          <t>• The mock neckline and fitted design take cues from classic ballet silhouettes, making it a versatile staple for workouts and casual wear. Pair with the matching Mousse High Waist Pants for an elegant uniform. • Features a hidden front zipper for a clean look when unzipped, along with a curved back seam to accentuate the waist. Size M is 21.2" in length. • Sleeves are equipped with watch and thumb holes, allowing for seamless integration with your sports watch during training. Made from soft, skin-friendly Mousse fabric, which is made from durable nylon 66 and Lycra spandex and features a lightly brushed finish.</t>
        </is>
      </c>
      <c r="H84" s="917" t="inlineStr">
        <is>
          <t>79% Polyamide 21% Spandex • Care instructions: For best results, hand wash in cold water and line dry in the shade. Do not bleach, iron, or dry clean</t>
        </is>
      </c>
      <c r="I84" s="918" t="inlineStr">
        <is>
          <t>24.9.12, 24AW, Activity_Active/Ballet, Activity_Active/Ballet&amp;Dance, Category_Active, Category_Active/Ballet, Category_Active/Tops, mousse, NYCB, Tariff Final Sale</t>
        </is>
      </c>
      <c r="J84" s="919" t="inlineStr">
        <is>
          <t>mousse-half-zip-long-sleeve-top</t>
        </is>
      </c>
    </row>
    <row r="85" ht="42" customHeight="1" s="229">
      <c r="A85" s="904" t="inlineStr">
        <is>
          <t>NEIWAI ACTIVE X NYCB Mousse Half Zip Tank</t>
        </is>
      </c>
      <c r="B85" s="905" t="inlineStr">
        <is>
          <t>Active</t>
        </is>
      </c>
      <c r="C85" s="906" t="n">
        <v>65</v>
      </c>
      <c r="D85" s="906" t="n">
        <v>65</v>
      </c>
      <c r="E85" s="905" t="inlineStr"/>
      <c r="F85" s="907" t="inlineStr">
        <is>
          <t>Redefine your wardrobe basics with the Mousse Half Zip Tank, designed for modern style and comfort. Perfect for dance practice and everyday wear, this tank offers a sleek, feminine fit inspired by ballet attire.</t>
        </is>
      </c>
      <c r="G85" s="908" t="inlineStr">
        <is>
          <t>• Mock neckline and form-fitting silhouette draw inspiration from classic ballet leotards. Pair with the matching Mousse High Waist Pants for an elegant uniform. • Features a hidden front zipper for a clean look when unzipped, and a curved back seam that enhances the waistline. Size M is 20.8" in length. • Made from soft, skin-friendly Mousse fabric, which is made from durable nylon 66 and Lycra spandex and features a lightly brushed finish.</t>
        </is>
      </c>
      <c r="H85" s="909" t="inlineStr">
        <is>
          <t>79% Polyamide 21% Spandex • Care instructions: For best results, hand wash in cold water and line dry in the shade. Do not bleach, iron, or dry clean</t>
        </is>
      </c>
      <c r="I85" s="910" t="inlineStr">
        <is>
          <t>24.9.12, 24AW, Activity_Active/Ballet, Activity_Active/Ballet&amp;Dance, Category_Active, Category_Active/Ballet, Category_Active/Tops, mousse, NYCB, Tariff Final Sale</t>
        </is>
      </c>
      <c r="J85" s="911" t="inlineStr">
        <is>
          <t>mousse-half-zip-tank</t>
        </is>
      </c>
    </row>
    <row r="86" ht="42" customHeight="1" s="229">
      <c r="A86" s="912" t="inlineStr">
        <is>
          <t>NEIWAI ACTIVE X NYCB Ribbed Zip Cardigan</t>
        </is>
      </c>
      <c r="B86" s="913" t="inlineStr">
        <is>
          <t>Active</t>
        </is>
      </c>
      <c r="C86" s="914" t="n">
        <v>159</v>
      </c>
      <c r="D86" s="914" t="n">
        <v>159</v>
      </c>
      <c r="E86" s="913" t="inlineStr"/>
      <c r="F86" s="915" t="inlineStr">
        <is>
          <t>Refresh your look with our Ribbed Zip Cardigan. Its eye-catching ribbed texture adds a sleek, modern touch and creates a flattering silhouette. Crafted from premium Merino wool, this mock neck cardigan makes it easy to layer and style.</t>
        </is>
      </c>
      <c r="G86" s="916" t="inlineStr">
        <is>
          <t>• Merino wool is odor-resistant and naturally moisture-wicking, which is versatile for post-workout cool-downs or casual outings. • A two-way zipper offers more room for mobility and easy access to your pants pockets. Perfect for activities such as hiking, climbing, or skiing. • A spandex blend reinforces the wool's natural elasticity, helping clothing retain its shape. Size M is 22" in length. • Merino wool is biodegradable and renewable, making it an environmentally friendly choice.</t>
        </is>
      </c>
      <c r="H86" s="917" t="inlineStr">
        <is>
          <t>83% Wool, 16% Polyamide, 1% Spandex • Care instructions: For best results, hand wash in cool water using a gentle detergent. Lay flat to dry in the shade</t>
        </is>
      </c>
      <c r="I86" s="918" t="inlineStr">
        <is>
          <t>24.9.12, 24AW, Activity_Active/Ballet, Activity_Active/Ballet&amp;Dance, Category_Active, Category_Active/Ballet, Category_Active/Outerwear, Category_Active/Tops, Fabric_Active/Cashmere &amp; Wool, NYCB, Tariff Final Sale, US Inventory</t>
        </is>
      </c>
      <c r="J86" s="919" t="inlineStr">
        <is>
          <t>ribbed-zip-cardigan</t>
        </is>
      </c>
    </row>
    <row r="87" ht="42" customHeight="1" s="229">
      <c r="A87" s="904" t="inlineStr">
        <is>
          <t>NEIWAI ACTIVE X NYCB Ribbed Mousse Hooded Jacket</t>
        </is>
      </c>
      <c r="B87" s="905" t="inlineStr">
        <is>
          <t>Active</t>
        </is>
      </c>
      <c r="C87" s="906" t="n">
        <v>149</v>
      </c>
      <c r="D87" s="906" t="n">
        <v>149</v>
      </c>
      <c r="E87" s="905" t="inlineStr"/>
      <c r="F87" s="907" t="inlineStr">
        <is>
          <t>Crafted for comfort and lightweight warmth, the Ribbed Mousse Hooded Jacket seamlessly transitions from workouts to everyday adventures. The ribbed mousse fabric feels structured yet soft, making it ideal for cooler seasons.</t>
        </is>
      </c>
      <c r="G87" s="908" t="inlineStr">
        <is>
          <t>• Relaxed silhouette with mesh vent under back panel for breathable, easy comfort. • Features zippered side pockets. Size M is 20.6" in length. • Drawstring hood with provides weather adaptability and an opening for ponytails.</t>
        </is>
      </c>
      <c r="H87" s="909" t="inlineStr">
        <is>
          <t>76% Polyamide, 24% Spandex • Care instructions: For best results, hand wash in cold water and line dry in the shade. Do not bleach, iron, or dry clean</t>
        </is>
      </c>
      <c r="I87" s="910" t="inlineStr">
        <is>
          <t>24.9.12, 24AW, Activity_Active/Ballet, Activity_Active/Ballet&amp;Dance, Category_Active, Category_Active/Ballet, Category_Active/Outerwear, Category_Active/Tops, mousse, NYCB, Tariff Final Sale</t>
        </is>
      </c>
      <c r="J87" s="911" t="inlineStr">
        <is>
          <t>ribbed-mousse-hooded-jacket</t>
        </is>
      </c>
    </row>
    <row r="88" ht="42" customHeight="1" s="229">
      <c r="A88" s="912" t="inlineStr">
        <is>
          <t>NEIWAI ACTIVE X NYCB Beanie</t>
        </is>
      </c>
      <c r="B88" s="913" t="inlineStr">
        <is>
          <t>Active</t>
        </is>
      </c>
      <c r="C88" s="914" t="n">
        <v>45</v>
      </c>
      <c r="D88" s="914" t="n">
        <v>45</v>
      </c>
      <c r="E88" s="913" t="inlineStr"/>
      <c r="F88" s="915" t="inlineStr">
        <is>
          <t>Top off your outfit with our boucle beanie! This soft, textured accessory keeps you warm and stylish, featuring a lightweight design and sophisticated hues that easily complement any winter look.</t>
        </is>
      </c>
      <c r="G88" s="916" t="inlineStr">
        <is>
          <t>• Wear it cuffed for a classic look or uncuffed for a relaxed, slouchy fit. • Made with a premium yarn blend of wool, acrylic, alpaca, polyamide, and spandex, this beanie provides warmth, softness, and a touch of stretch for a perfect fit. The beanie is 11.8" in length. • Their trendy look and practical use make boucle beanies an ideal gift for friends and family during the colder months.</t>
        </is>
      </c>
      <c r="H88" s="917" t="inlineStr">
        <is>
          <t>37%Wool 26%Acrylic 20%Alpaca 16%Polyamide 3% Spandex • Care Instructions: For best results, hand wash in cold water. Lay flat to dry. Ironing not recommended</t>
        </is>
      </c>
      <c r="I88" s="918" t="inlineStr">
        <is>
          <t>24.10.11, 24AW, Activity_Active/Snow, Beanie, Category_Active, Category_Active/Accessories, Category_Lounge/Accessories, NYCB, Tariff Final Sale</t>
        </is>
      </c>
      <c r="J88" s="919" t="inlineStr">
        <is>
          <t>beanie</t>
        </is>
      </c>
    </row>
    <row r="89" ht="56" customHeight="1" s="229">
      <c r="A89" s="896" t="inlineStr">
        <is>
          <t>Wool Seamless Turtleneck Top</t>
        </is>
      </c>
      <c r="B89" s="897" t="inlineStr">
        <is>
          <t>Loungewear</t>
        </is>
      </c>
      <c r="C89" s="898" t="n">
        <v>49</v>
      </c>
      <c r="D89" s="898" t="n">
        <v>49</v>
      </c>
      <c r="E89" s="897" t="inlineStr"/>
      <c r="F89" s="899" t="inlineStr">
        <is>
          <t>Stay warm and stylish in our seamless Tencel wool turtleneck, designed as the perfect base layer for winter activities. Its lightweight, breathable fabric keeps you cozy while allowing freedom of movement, making it ideal for skiing, hiking, and more.</t>
        </is>
      </c>
      <c r="G89" s="900" t="inlineStr">
        <is>
          <t>•Crafted with Santoni seamless technology and Lenzing TENCEL‚Ñ¢, it provides a smooth, second-skin fit with excellent elasticity that moves with you without feeling tight. • Made from fine Australian Merino wool to lock in warmth and while wicking away moisture, keeping you cozy and dry during the colder months. The length is 22.5" in size M. • Merino wool is biodegradable and renewable, making it an environmentally friendly choice.</t>
        </is>
      </c>
      <c r="H89" s="901" t="inlineStr">
        <is>
          <t>74% Lyocell 19% Wool 7% Spandex • Care instructions: Hand wash in cool water. Line dry in the shade. Do not iron</t>
        </is>
      </c>
      <c r="I89" s="902" t="inlineStr">
        <is>
          <t>24.10.11, 24AW, Category_Lounge, Category_Lounge/Knitwear, Category_Lounge/Tops, Fabric_Lounge/Cashmere &amp; Wool, Tariff Final Sale</t>
        </is>
      </c>
      <c r="J89" s="903" t="inlineStr">
        <is>
          <t>wool-seamless-turtleneck-top</t>
        </is>
      </c>
    </row>
    <row r="90" ht="56" customHeight="1" s="229">
      <c r="A90" s="904" t="inlineStr">
        <is>
          <t>NEIWAI ACTIVE X NYCB Waffle Long-Sleeve T-Shirt</t>
        </is>
      </c>
      <c r="B90" s="905" t="inlineStr">
        <is>
          <t>Active</t>
        </is>
      </c>
      <c r="C90" s="906" t="n">
        <v>85</v>
      </c>
      <c r="D90" s="906" t="n">
        <v>85</v>
      </c>
      <c r="E90" s="905" t="inlineStr"/>
      <c r="F90" s="907" t="inlineStr">
        <is>
          <t>Elevate your everyday style with the Waffle Long Sleeve T-shirt, an effortless layer designed for daily elegance. The breathable, lightweight material keeps you cool and the cropped length creates a modern silhouette that complements high-waisted bottoms.</t>
        </is>
      </c>
      <c r="G90" s="908" t="inlineStr">
        <is>
          <t>• Waffle fabric is skin-friendly and breathable . • Features henley neckline with hidden button placket. • Thumb holes at cuffs provide sleeve stability during movement. Size M is 17.3" in back length.</t>
        </is>
      </c>
      <c r="H90" s="909" t="inlineStr">
        <is>
          <t>71% Polyester, 29% Lyocell • Care instructions: For best results, hand wash with like colors in cold water. Line dry in the shades. Do not iron. Do not dry clean</t>
        </is>
      </c>
      <c r="I90" s="910" t="inlineStr">
        <is>
          <t>24.8.8, 24AW, Activity_Active/Ballet, Activity_Active/Ballet&amp;Dance, Activity_Active/Dance, Activity_Active/Gym, Activity_Active/Jogging, Activity_Active/Outdoor, Activity_Active/Pilates, Activity_Active/Tennis, Activity_Active/Yoga, Category_Active, Category_Active/Ballet, Category_Active/Tops, NYCB, Tariff Final Sale</t>
        </is>
      </c>
      <c r="J90" s="911" t="inlineStr">
        <is>
          <t>waffle-long-sleeve-t-shirt</t>
        </is>
      </c>
    </row>
    <row r="91" ht="56" customHeight="1" s="229">
      <c r="A91" s="912" t="inlineStr">
        <is>
          <t>NEIWAI ACTIVE X NYCB Waffle Short-Sleeve T-Shirt</t>
        </is>
      </c>
      <c r="B91" s="913" t="inlineStr">
        <is>
          <t>Active</t>
        </is>
      </c>
      <c r="C91" s="914" t="n">
        <v>75</v>
      </c>
      <c r="D91" s="914" t="n">
        <v>75</v>
      </c>
      <c r="E91" s="913" t="inlineStr"/>
      <c r="F91" s="915" t="inlineStr">
        <is>
          <t>Leap into style with the Waffle Short Sleeve T-shirt, where ballet grace meets everyday fun! The back panels can be tied for a tailored silhouette or worn open for a breezy, dramatic flair. The airy waffle texture is cool and breathable, keeping you comfy all day.</t>
        </is>
      </c>
      <c r="G91" s="916" t="inlineStr">
        <is>
          <t>• Waffle fabric is skin-friendly and breathable . • Features a back slit that can be tied for styling options. • Oversized fit with a crew neckline for effortless and flexible wear. Size M is 24.3" in front length.</t>
        </is>
      </c>
      <c r="H91" s="917" t="inlineStr">
        <is>
          <t>71% Polyester, 29% Lyocell • Care instructions: For best results, hand wash with like colors in cold water. Line dry in the shades. Do not iron. Do not dry clean</t>
        </is>
      </c>
      <c r="I91" s="918" t="inlineStr">
        <is>
          <t>24.8.8, 24AW, Activity_Active/Ballet, Activity_Active/Ballet&amp;Dance, Activity_Active/Dance, Activity_Active/Gym, Activity_Active/Jogging, Activity_Active/Pilates, Activity_Active/Running, Activity_Active/Tennis, Activity_Active/Yoga, Category_Active, Category_Active/Ballet, Category_Active/Tops, NYCB, Tariff Final Sale</t>
        </is>
      </c>
      <c r="J91" s="919" t="inlineStr">
        <is>
          <t>waffle-short-sleeve-t-shirt</t>
        </is>
      </c>
    </row>
    <row r="92" ht="56" customHeight="1" s="229">
      <c r="A92" s="904" t="inlineStr">
        <is>
          <t>NEIWAI ACTIVE X NYCB Ballet Wool Ribbed Shrug</t>
        </is>
      </c>
      <c r="B92" s="905" t="inlineStr">
        <is>
          <t>Active</t>
        </is>
      </c>
      <c r="C92" s="906" t="n">
        <v>109</v>
      </c>
      <c r="D92" s="906" t="n">
        <v>109</v>
      </c>
      <c r="E92" s="905" t="inlineStr"/>
      <c r="F92" s="907" t="inlineStr">
        <is>
          <t>Slip into the soft, sumptuous Ballet Wool Ribbed Shrug that keeps you warm while letting you move with ease. It's like a warm-up for your style‚Äîcomfort that makes you ready for a performance or a power walk. Keep looking "en pointe" with minimal effort.</t>
        </is>
      </c>
      <c r="G92" s="908" t="inlineStr">
        <is>
          <t>• Made from a soft and skin-friendly wool blend. • Ribbed structure features Spandex for high elasticity and comfort. • Simplified design for versatile pairing. Back length is 9.25" for size M.</t>
        </is>
      </c>
      <c r="H92" s="909" t="inlineStr">
        <is>
          <t>73% Wool 18% Polyester 9% Spandex • Care instructions: Gentle dry cleaning. Iron on low heat. Flat dry in the shade</t>
        </is>
      </c>
      <c r="I92" s="910" t="inlineStr">
        <is>
          <t>24.8.8, 24AW, Activity_Active/Ballet, Activity_Active/Ballet&amp;Dance, Activity_Active/Dance, Activity_Active/Gym, Activity_Active/Outdoor, Activity_Active/Pilates, Activity_Active/Yoga, Category_Active, Category_Active/Ballet, Category_Active/Outerwear, Category_Active/Tops, Category_Lounge/Knitwear, NYCB, Tariff Final Sale</t>
        </is>
      </c>
      <c r="J92" s="911" t="inlineStr">
        <is>
          <t>ballet-wool-ribbed-shrug</t>
        </is>
      </c>
    </row>
    <row r="93" ht="56" customHeight="1" s="229">
      <c r="A93" s="912" t="inlineStr">
        <is>
          <t>NEIWAI ACTIVE X NYCB Ballet Wool Ribbed Top</t>
        </is>
      </c>
      <c r="B93" s="913" t="inlineStr">
        <is>
          <t>Active</t>
        </is>
      </c>
      <c r="C93" s="914" t="n">
        <v>109</v>
      </c>
      <c r="D93" s="914" t="n">
        <v>109</v>
      </c>
      <c r="E93" s="913" t="inlineStr"/>
      <c r="F93" s="915" t="inlineStr">
        <is>
          <t>Channel your inner ballerina with the Ballet Wool Ribbed Top. This elegant alternative to a standard crewneck sweater frames your collarbones and features ribbed wool for a modern touch. Enjoy both sophistication and comfort in this standout piece.</t>
        </is>
      </c>
      <c r="G93" s="916" t="inlineStr">
        <is>
          <t>• Made from fine Australian Merino wool, which is odor-resistant and naturally moisture-wicking so you can stay cool and comfortable all day. • Crafted from a soft wool blend with spandex for extra stretch, ensuring a comfortable and flattering fit. Size M is 21.5" in length • Merino wool is biodegradable and renewable, making it an environmentally friendly choice.</t>
        </is>
      </c>
      <c r="H93" s="917" t="inlineStr">
        <is>
          <t>73% wool, 18% polyester, 9% spandex • Care instructions: For best results, do not wash. Do not bleach. Dry flat in the shade. Do not tumble dry. Iron on low hear. Gentle dry cleaning</t>
        </is>
      </c>
      <c r="I93" s="918" t="inlineStr">
        <is>
          <t>24.9.12, 24AW, Activity_Active/Ballet, Activity_Active/Ballet&amp;Dance, Category_Active, Category_Active/Ballet, Category_Active/Tops, Fabric_Active/Cashmere &amp; Wool, Flexport Stock, NYCB, Tariff Final Sale</t>
        </is>
      </c>
      <c r="J93" s="919" t="inlineStr">
        <is>
          <t>ballet-wool-ribbed-top</t>
        </is>
      </c>
    </row>
    <row r="94" ht="42" customHeight="1" s="229">
      <c r="A94" s="904" t="inlineStr">
        <is>
          <t>NEIWAI ACTIVE X NYCB Light Woven Straight Leg Pants</t>
        </is>
      </c>
      <c r="B94" s="905" t="inlineStr">
        <is>
          <t>Active</t>
        </is>
      </c>
      <c r="C94" s="906" t="n">
        <v>119</v>
      </c>
      <c r="D94" s="906" t="n">
        <v>119</v>
      </c>
      <c r="E94" s="905" t="inlineStr"/>
      <c r="F94" s="907" t="inlineStr">
        <is>
          <t>Meet your future favorite pants: the Light Woven Straight Leg Pants. Designed with a keen eye for feminine detail, these flat-front elastic waist pants are perfect from work to workouts, ensuring you stay chic and comfortable all day.</t>
        </is>
      </c>
      <c r="G94" s="908" t="inlineStr">
        <is>
          <t>• Made from a high-stretch, functional knit-woven fabric for ultimate comfort and style. • Pockets galore! Features two zippered front side pockets and one zippered back pocket. Size M is 40.35" in length. • Features an elastic waistband with a flat front panel for a sleek fit.</t>
        </is>
      </c>
      <c r="H94" s="909" t="inlineStr">
        <is>
          <t>71% Polyamide 29% Spandex • Care instructions: Hand wash in cool water. Line dry in the shade. Do not tumble dry. Do not iron. Do not dry clean</t>
        </is>
      </c>
      <c r="I94" s="910" t="inlineStr">
        <is>
          <t>24.8.8, 24AW, Activity_Active/Ballet, Activity_Active/Ballet&amp;Dance, Activity_Active/Dance, Activity_Active/Jogging, Activity_Active/Outdoor, Category_Active, Category_Active/Ballet, Category_Active/Joggers, NYCB, Tariff Final Sale</t>
        </is>
      </c>
      <c r="J94" s="911" t="inlineStr">
        <is>
          <t>light-woven-straight-leg-pants</t>
        </is>
      </c>
    </row>
    <row r="95" ht="42" customHeight="1" s="229">
      <c r="A95" s="912" t="inlineStr">
        <is>
          <t>NEIWAI ACTIVE X NYCB Mid Waist Shorts</t>
        </is>
      </c>
      <c r="B95" s="913" t="inlineStr">
        <is>
          <t>Active</t>
        </is>
      </c>
      <c r="C95" s="914" t="n">
        <v>89</v>
      </c>
      <c r="D95" s="914" t="n">
        <v>89</v>
      </c>
      <c r="E95" s="913" t="inlineStr"/>
      <c r="F95" s="915" t="inlineStr">
        <is>
          <t>Seamlessly transition from outdoor adventures to city strolls with the Mid-Waist Shorts. Cargo-style pockets provide ample storage, making these shorts the perfect solution for life on-the-go.</t>
        </is>
      </c>
      <c r="G95" s="916" t="inlineStr">
        <is>
          <t>• Functional knit-woven fabric combines comfort and style with a relaxed silhouette. • Features two zippered side pockets and a zippered back pocket. Size M is 16.9" in length. • Adjustable drawstring waistband for a customizable fit.</t>
        </is>
      </c>
      <c r="H95" s="917" t="inlineStr">
        <is>
          <t>71% Polyamide 29% Spandex • Care instructions: Hand wash in cool water. Line dry in the shade. Do not tumble dry. Do not iron. Do not dry clean</t>
        </is>
      </c>
      <c r="I95" s="918" t="inlineStr">
        <is>
          <t>24.8.8, 24AW, Activity_Active/Ballet, Activity_Active/Ballet&amp;Dance, Activity_Active/Dance, Activity_Active/Gym, Activity_Active/Jogging, Activity_Active/Outdoor, Activity_Active/Running, Activity_Active/Tennis, Category_Active, Category_Active/Ballet, Category_Active/Shorts, Category_Lounge/Bottoms/Elastic, NYCB, Tariff Final Sale</t>
        </is>
      </c>
      <c r="J95" s="919" t="inlineStr">
        <is>
          <t>mid-waist-shorts</t>
        </is>
      </c>
    </row>
    <row r="96" ht="56" customHeight="1" s="229">
      <c r="A96" s="904" t="inlineStr">
        <is>
          <t>NEIWAI ACTIVE X NYCB Sandwashed Modal Hoodie</t>
        </is>
      </c>
      <c r="B96" s="905" t="inlineStr">
        <is>
          <t>Active</t>
        </is>
      </c>
      <c r="C96" s="906" t="n">
        <v>145</v>
      </c>
      <c r="D96" s="906" t="n">
        <v>145</v>
      </c>
      <c r="E96" s="905" t="inlineStr"/>
      <c r="F96" s="907" t="inlineStr">
        <is>
          <t>Upgrade your activewear with the Sandwashed Modal Hoodie. Designed for comfort, it features a ponytail opening in the hood for easy hair styling and is made from soft, sandwashed modal for a smooth, luxurious feel‚Äîideal for workouts and casual wear.</t>
        </is>
      </c>
      <c r="G96" s="908" t="inlineStr">
        <is>
          <t>• Cropped style tapers at the waist for a flattering fit. Size M is 17.7" in length. • Features a ribbed back panel for a tailored effect and a ponytail opening in the hood - perfect for workouts in cooler weather. Thumbhole design keeps your hands and wrists warm and your sleeves from rolling up. • Suede-like, velvety texture feels indulgent against the skin.</t>
        </is>
      </c>
      <c r="H96" s="909" t="inlineStr">
        <is>
          <t>49% Polyester, 44% Modal, 7% Spandex • Care instructions: For best results, hand wash in cold water and line dry in the shade. Do not bleach, iron, or dry clean</t>
        </is>
      </c>
      <c r="I96" s="910" t="inlineStr">
        <is>
          <t>24.9.12, 24AW, Activity_Active/Ballet, Activity_Active/Ballet&amp;Dance, Activity_Active/Dance, Category_Active, Category_Active/Ballet, Category_Active/Outerwear, Category_Active/Sweatshirts, Category_Active/Tops, NYCB, Tariff Final Sale</t>
        </is>
      </c>
      <c r="J96" s="911" t="inlineStr">
        <is>
          <t>sandwashed-modal-hoodie</t>
        </is>
      </c>
    </row>
    <row r="97" ht="56" customHeight="1" s="229">
      <c r="A97" s="912" t="inlineStr">
        <is>
          <t>NEIWAI ACTIVE X NYCB Sandwashed Modal Crewneck Sweatshirt</t>
        </is>
      </c>
      <c r="B97" s="913" t="inlineStr">
        <is>
          <t>Active</t>
        </is>
      </c>
      <c r="C97" s="914" t="n">
        <v>125</v>
      </c>
      <c r="D97" s="914" t="n">
        <v>125</v>
      </c>
      <c r="E97" s="913" t="inlineStr"/>
      <c r="F97" s="915" t="inlineStr">
        <is>
          <t>Elevate your daily look with the Sandwashed Modal Crewneck Sweatshirt‚Äîa must-have for busy days. Ideal for cooler weather, this sweatshirt combines effortless comfort with sleek elegance, making it your go-to for casual outings or everyday errands.</t>
        </is>
      </c>
      <c r="G97" s="916" t="inlineStr">
        <is>
          <t>• Sandwashed modal features a buttery, velvety texture that feels indulgent against the skin. • Relaxed, slightly oversized fit for a casual chic vibe. Model wears size S. Size M is 24.5" in length. • Complete your look by pairing with the Sandwashed Modal Cocoon Pants for a chic, uniform look.</t>
        </is>
      </c>
      <c r="H97" s="917" t="inlineStr">
        <is>
          <t>49% Polyester, 44% Modal, 7% Spandex • Care instructions: For best results, hand wash in cold water and line dry in the shade. Do not bleach, iron, or dry clean</t>
        </is>
      </c>
      <c r="I97" s="918" t="inlineStr">
        <is>
          <t>24.9.12, 24AW, Activity_Active/Ballet, Activity_Active/Ballet&amp;Dance, Activity_Active/Dance, Category_Active, Category_Active/Ballet, Category_Active/Outerwear, Category_Active/Sweatshirts, Category_Active/Tops, NYCB, Tariff Final Sale</t>
        </is>
      </c>
      <c r="J97" s="919" t="inlineStr">
        <is>
          <t>sandwashed-modal-crewneck-sweatshirt</t>
        </is>
      </c>
    </row>
    <row r="98" ht="42" customHeight="1" s="229">
      <c r="A98" s="904" t="inlineStr">
        <is>
          <t>NEIWAI ACTIVE X NYCB Windbreaker</t>
        </is>
      </c>
      <c r="B98" s="905" t="inlineStr">
        <is>
          <t>Active</t>
        </is>
      </c>
      <c r="C98" s="906" t="n">
        <v>175</v>
      </c>
      <c r="D98" s="906" t="n">
        <v>175</v>
      </c>
      <c r="E98" s="905" t="inlineStr"/>
      <c r="F98" s="907" t="inlineStr">
        <is>
          <t>Rain or shine, this Windbreaker has you covered. This lightweight jacket features an elegant silhouette and gathering to add flair to your outdoor wardrobe. Be ready for any weather with the packable hood that folds neatly into the collar.</t>
        </is>
      </c>
      <c r="G98" s="908" t="inlineStr">
        <is>
          <t>• Moisture-wicking, quick-drying fabric with a lightweight and drapey feel. • Gathered collar detail adds a feminine touch and enhances the O-shaped silhouette with an adjustable drawstring. • Elasticated hood fits snugly to protect against windy weather and can be tucked into the high collar. Model wears size S. Size M is 22.6" in back length. • Back storm flat adds a touch of traditional tailoring and two zippered side pockets provide storage.</t>
        </is>
      </c>
      <c r="H98" s="909" t="inlineStr">
        <is>
          <t>Shell: 83% Polyester, 17% Spandex; Mesh: 71% Polyamide, 29% Spandex • Care instructions: For best results, hand wash in cold water and line dry in the shade. Do not bleach, iron, or dry clean</t>
        </is>
      </c>
      <c r="I98" s="910" t="inlineStr">
        <is>
          <t>24.9.12, 24AW, Activity_Active/Ballet, Activity_Active/Ballet&amp;Dance, Category_Active, Category_Active/Ballet, Category_Active/Outerwear, Category_Active/Tops, NYCB, Tariff Final Sale</t>
        </is>
      </c>
      <c r="J98" s="911" t="inlineStr">
        <is>
          <t>neiwai-active-x-nycb-windbreakerwindbreaker</t>
        </is>
      </c>
    </row>
    <row r="99" ht="42" customHeight="1" s="229">
      <c r="A99" s="888" t="inlineStr">
        <is>
          <t>Nude Shape Bra Top</t>
        </is>
      </c>
      <c r="B99" s="889" t="inlineStr">
        <is>
          <t>Underwear</t>
        </is>
      </c>
      <c r="C99" s="890" t="n">
        <v>109</v>
      </c>
      <c r="D99" s="890" t="n">
        <v>109</v>
      </c>
      <c r="E99" s="889" t="inlineStr"/>
      <c r="F99" s="891" t="inlineStr">
        <is>
          <t>Elevate your style with the Nude Shape Bra Top. Crafted from airy mesh fabric, this luxe bra top design features a soft underwire and molded cups for a smooth and seamless finish that's perfect for layering or wearing solo.</t>
        </is>
      </c>
      <c r="G99" s="892" t="inlineStr">
        <is>
          <t>• Molded cups and soft silicone underwire provide lift and support with flexible comfort. • Versatile crop top design can be dressed up or down while providing strong support. • Breathable mesh overlay ensures a smooth, seamless finish under clothing, complemented by a wide elastic band for added stability and sophistication. • Features adjustable straps and back hook-and-eye closure.</t>
        </is>
      </c>
      <c r="H99" s="893" t="inlineStr">
        <is>
          <t>70%Polyamide 30%Spandex • Care instructions: For best results, hand wash with a light detergent in cold water</t>
        </is>
      </c>
      <c r="I99" s="894" t="inlineStr">
        <is>
          <t>24.9.5, 24AW, Band + Cup Bra, Category_Bras/Medium Support, Category_Underwear, Category_Underwear/Tops, Category_Underwear/Tops/Wireless Bra, Collection_Valentine, Tariff Final Sale</t>
        </is>
      </c>
      <c r="J99" s="895" t="inlineStr">
        <is>
          <t>nude-shape-bra-top</t>
        </is>
      </c>
    </row>
    <row r="100" ht="42" customHeight="1" s="229">
      <c r="A100" s="880" t="inlineStr">
        <is>
          <t>Nude Shape 3/4 Cup Bra</t>
        </is>
      </c>
      <c r="B100" s="881" t="inlineStr">
        <is>
          <t>Underwear</t>
        </is>
      </c>
      <c r="C100" s="882" t="n">
        <v>109</v>
      </c>
      <c r="D100" s="882" t="n">
        <v>109</v>
      </c>
      <c r="E100" s="881" t="inlineStr"/>
      <c r="F100" s="883" t="inlineStr">
        <is>
          <t>Get ready to shape up your lingerie game with our Nude Shape 3/4 Cup Mesh Bra. This sleek and luxurious design features additional padding that provides the perfect balance of coverage and allure.</t>
        </is>
      </c>
      <c r="G100" s="884" t="inlineStr">
        <is>
          <t>• Molded cups provide lift and support with flexible comfort. • Elegant detailing along the cup enhances coverage and provides comfortable shaping . • Breathable mesh overlay ensures a smooth, seamless finish under clothing, complemented by a wide elastic band for added stability and sophistication . • Features adjustable straps and back hook-and-eye closure.</t>
        </is>
      </c>
      <c r="H100" s="885" t="inlineStr">
        <is>
          <t>70%Polyamide 30%Spandex • Care instructions: For best results, hand wash with a light detergent in cold water</t>
        </is>
      </c>
      <c r="I100" s="886" t="inlineStr">
        <is>
          <t>24.9.5, 24AW, Band + Cup Bra, Category_Bras/Medium Support, Category_Bras/Plunge, Category_Underwear, Category_Underwear/Tops, Category_Underwear/Tops/Wireless Bra, Collection_Valentine, Lingerie/Wireless Bras/Plunge, Tariff Final Sale</t>
        </is>
      </c>
      <c r="J100" s="887" t="inlineStr">
        <is>
          <t>nude-shape-3-4-cup-bra</t>
        </is>
      </c>
    </row>
    <row r="101" ht="56" customHeight="1" s="229">
      <c r="A101" s="912" t="inlineStr">
        <is>
          <t>NEIWAI ACTIVE X NYCB Fitted Jacket</t>
        </is>
      </c>
      <c r="B101" s="913" t="inlineStr">
        <is>
          <t>Active</t>
        </is>
      </c>
      <c r="C101" s="914" t="n">
        <v>159</v>
      </c>
      <c r="D101" s="914" t="n">
        <v>159</v>
      </c>
      <c r="E101" s="913" t="inlineStr"/>
      <c r="F101" s="915" t="inlineStr">
        <is>
          <t>Transform your fall wardrobe with the Fitted Jacket, where feminine flair meets urban sophistication. This jacket's sleek, fitted design and moto-inspired collar make it a standout piece, while practical pockets ensure you're always prepared for your next adventure.</t>
        </is>
      </c>
      <c r="G101" s="916" t="inlineStr">
        <is>
          <t>• High-stretch knit-woven fabric provides both a flattering fit and ultimate comfort. Mesh shoulder panel provides ventilation. • Stand collar and fitted design offer a slimming look. • Features two side zippered pockets and a concealed chest zippered pocket.</t>
        </is>
      </c>
      <c r="H101" s="917" t="inlineStr">
        <is>
          <t>Shell: 71% Polyamide, 29% Spandex. Mesh: 71% Polyamide, 29% Spandex. • Care Instructions: For best results, hand wash in cold water with similar colors. Line dry in the shade. Do not iron. Do not dry clean</t>
        </is>
      </c>
      <c r="I101" s="918" t="inlineStr">
        <is>
          <t>24.8.8, 24AW, Activity_Active/Ballet, Activity_Active/Ballet&amp;Dance, Activity_Active/Dance, Activity_Active/Outdoor, Category_Active, Category_Active/Ballet, Category_Active/Outerwear, Category_Active/Tops, NYCB, Tariff Final Sale</t>
        </is>
      </c>
      <c r="J101" s="919" t="inlineStr">
        <is>
          <t>fitted-jacket</t>
        </is>
      </c>
    </row>
    <row r="102" ht="42" customHeight="1" s="229">
      <c r="A102" s="904" t="inlineStr">
        <is>
          <t>NEIWAI ACTIVE X NYCB Light Woven Joggers</t>
        </is>
      </c>
      <c r="B102" s="905" t="inlineStr">
        <is>
          <t>Active</t>
        </is>
      </c>
      <c r="C102" s="906" t="n">
        <v>119</v>
      </c>
      <c r="D102" s="906" t="n">
        <v>119</v>
      </c>
      <c r="E102" s="905" t="inlineStr"/>
      <c r="F102" s="907" t="inlineStr">
        <is>
          <t>Channel your inner dancer with ballet-inspired design that combines modern flair and flexibility. The tapered cut and drapey fabric are easy to move in while creating a look that's as graceful as a pirouette.</t>
        </is>
      </c>
      <c r="G102" s="908" t="inlineStr">
        <is>
          <t>• Front pleats provide ample room for movement. Features two front side pockets. • Elastic waistband with cord lock drawstring provides an adjustable fit. Size M is 38.7" in length. • Made from a high-stretch, functional knit-woven fabric for comfort and a sleek look.</t>
        </is>
      </c>
      <c r="H102" s="909" t="inlineStr">
        <is>
          <t>83% polyester, 17% Spandex • Care instructions: Hand wash in cool water. Line dry in the shade. Do not tumble dry. Do not iron. Do not dry clean</t>
        </is>
      </c>
      <c r="I102" s="910" t="inlineStr">
        <is>
          <t>24.8.8, 24AW, Activity_Active/Ballet, Activity_Active/Ballet&amp;Dance, Activity_Active/Dance, Activity_Active/Gym, Activity_Active/Jogging, Activity_Active/Outdoor, Activity_Active/Running, Category_Active, Category_Active/Ballet, Category_Active/Joggers, NYCB, Tariff Final Sale, US Inventory</t>
        </is>
      </c>
      <c r="J102" s="911" t="inlineStr">
        <is>
          <t>light-woven-joggers</t>
        </is>
      </c>
    </row>
    <row r="103" ht="42" customHeight="1" s="229">
      <c r="A103" s="912" t="inlineStr">
        <is>
          <t>NEIWAI ACTIVE X NYCB Woven Training Skort</t>
        </is>
      </c>
      <c r="B103" s="913" t="inlineStr">
        <is>
          <t>Active</t>
        </is>
      </c>
      <c r="C103" s="914" t="n">
        <v>69</v>
      </c>
      <c r="D103" s="914" t="n">
        <v>69</v>
      </c>
      <c r="E103" s="913" t="inlineStr"/>
      <c r="F103" s="915" t="inlineStr">
        <is>
          <t>Elevate your game with the Woven Training Skort, whether you're dancing, playing tennis, or simply hanging out. Internal hem-grippers prevent inner shorts from riding up during your workout.</t>
        </is>
      </c>
      <c r="G103" s="916" t="inlineStr">
        <is>
          <t>• 2-in-1 built-in shorts for secure and versatile wear. • Skirt features two side pockets and inner shorts feature side pockets for phone or tennis ball storage. Silicone anti-slip details prevent shorts from riding up. • Back loop design allows for easy hanging of towels, keys, or other small objects. Size M is 13.3" in back length and 4.4" of inner shorts inseam.</t>
        </is>
      </c>
      <c r="H103" s="917" t="inlineStr">
        <is>
          <t>Shell: 89% Polyamide, 11% Spandex. Lining: 80% Polyamide, 20% Spandex. • Care instructions: For best results, hand wash with like colors in cold water. Line dry in the shade. Do not iron. Do not dry clean</t>
        </is>
      </c>
      <c r="I103" s="918" t="inlineStr">
        <is>
          <t>24.8.8, 24AW, Activity_Active/Ballet, Activity_Active/Ballet&amp;Dance, Activity_Active/Dance, Activity_Active/Gym, Activity_Active/Jogging, Activity_Active/Outdoor, Activity_Active/Running, Activity_Active/Tennis, Category_Active, Category_Active/Ballet, Category_Active/Shorts, Category_Lounge/Bottoms/Elastic, NYCB, Tariff Final Sale</t>
        </is>
      </c>
      <c r="J103" s="919" t="inlineStr">
        <is>
          <t>woven-training-skort</t>
        </is>
      </c>
    </row>
    <row r="104" ht="42" customHeight="1" s="229">
      <c r="A104" s="904" t="inlineStr">
        <is>
          <t>NEIWAI ACTIVE X NYCB Ballet Leg Warmers</t>
        </is>
      </c>
      <c r="B104" s="905" t="inlineStr">
        <is>
          <t>Active</t>
        </is>
      </c>
      <c r="C104" s="906" t="n">
        <v>49</v>
      </c>
      <c r="D104" s="906" t="n">
        <v>49</v>
      </c>
      <c r="E104" s="905" t="inlineStr"/>
      <c r="F104" s="907" t="inlineStr">
        <is>
          <t>Embrace ballet aesthetics and keep your leg muscles warm and flexible. An extra long design and cozy wool-blend provide endless styling options. They're the ultimate way to make a 'leg-endary' statement!</t>
        </is>
      </c>
      <c r="G104" s="908" t="inlineStr">
        <is>
          <t>• Leg warmers are 28.7" in length. Pair them with shorts, skirts, or over leggings for warmth and style. • Stirrup detail helps the leg warmers stay in place. • Ribbed wool-blend provides flexibility and warmth.</t>
        </is>
      </c>
      <c r="H104" s="909" t="inlineStr">
        <is>
          <t>51%Acrylic 43%Wool 4%Polyamide 2%Spandex • Care Instructions: For best results, hand wash in cold water. Line dry in the shade. Do not bleach, iron, or dry clean</t>
        </is>
      </c>
      <c r="I104" s="910" t="inlineStr">
        <is>
          <t>24.8.8, 24AW, Activity_Active/Ballet, Activity_Active/Ballet&amp;Dance, Activity_Active/Dance, Activity_Active/Pilates, Activity_Active/Yoga, Category_Active, Category_Active/Accessories, Category_Active/Ballet, NYCB, US Inventory</t>
        </is>
      </c>
      <c r="J104" s="911" t="inlineStr">
        <is>
          <t>ballet-leg-warmers</t>
        </is>
      </c>
    </row>
    <row r="105" ht="42" customHeight="1" s="229">
      <c r="A105" s="912" t="inlineStr">
        <is>
          <t>NEIWAI ACTIVE X NYCB Ballet Wrap Cardigan</t>
        </is>
      </c>
      <c r="B105" s="913" t="inlineStr">
        <is>
          <t>Active</t>
        </is>
      </c>
      <c r="C105" s="914" t="n">
        <v>155</v>
      </c>
      <c r="D105" s="914" t="n">
        <v>155</v>
      </c>
      <c r="E105" s="913" t="inlineStr"/>
      <c r="F105" s="915" t="inlineStr">
        <is>
          <t>Layer and level up your style in the Ballet Wrap Cardigan, where sporty and feminine meet in perfect harmony. The wrap can be styled in multiple ways and adds ballet-inspired charm to any outfit.</t>
        </is>
      </c>
      <c r="G105" s="916" t="inlineStr">
        <is>
          <t>• Classic wrap design with long ties for versatile styling options . • Soft wool blend provides lightweight warmth . • Shawl collar and tapered sleeves add structure and elegance.</t>
        </is>
      </c>
      <c r="H105" s="917" t="inlineStr">
        <is>
          <t>42%Viscose 44%Polyamide 14%Wool • Care instructions: Hand wash in cool water. Dry flat in the shade. Iron on low heat. Gentle dry cleaning</t>
        </is>
      </c>
      <c r="I105" s="918" t="inlineStr">
        <is>
          <t>24.8.8, 24AW, Activity_Active/Ballet, Activity_Active/Ballet&amp;Dance, Activity_Active/Dance, Activity_Active/Outdoor, Activity_Active/Pilates, Activity_Active/Yoga, Category_Active, Category_Active/Ballet, Category_Active/Outerwear, Category_Active/Tops, Category_Lounge/Knitwear, NYCB, Tariff Final Sale</t>
        </is>
      </c>
      <c r="J105" s="919" t="inlineStr">
        <is>
          <t>ballet-wrap-cardigan</t>
        </is>
      </c>
    </row>
    <row r="106" ht="42" customHeight="1" s="229">
      <c r="A106" s="904" t="inlineStr">
        <is>
          <t>NEIWAI ACTIVE X NYCB Maxi Dress</t>
        </is>
      </c>
      <c r="B106" s="905" t="inlineStr">
        <is>
          <t>Active</t>
        </is>
      </c>
      <c r="C106" s="906" t="n">
        <v>159</v>
      </c>
      <c r="D106" s="906" t="n">
        <v>159</v>
      </c>
      <c r="E106" s="905" t="inlineStr"/>
      <c r="F106" s="907" t="inlineStr">
        <is>
          <t>Turn heads and make a statement with our Maxi Dress, designed for those who love to stand out and move freely. Lightweight fabric and a flowy silhouette ensures that every spin and stretch is effortless. Bonus: it has pockets!</t>
        </is>
      </c>
      <c r="G106" s="908" t="inlineStr">
        <is>
          <t>• Hi-lo hem adds dimension and a modern flair. • Sleeveless A-line shape accommodates many body types and layering possibilities. Size M front length 41.3". • Front zip adds a sporty detail and side zip pockets offer practical storage.</t>
        </is>
      </c>
      <c r="H106" s="909" t="inlineStr">
        <is>
          <t>100% Polyester • Care instructions: For best results, hand wash with like colors in cold water</t>
        </is>
      </c>
      <c r="I106" s="910" t="inlineStr">
        <is>
          <t>24.8.8, 24AW, Activity_Active/Ballet, Activity_Active/Ballet&amp;Dance, Activity_Active/Dance, Activity_Active/Outdoor, Category_Active, Category_Active/Ballet, category_Active/Dress&amp;Jumpsuit, NYCB, Tariff Final Sale</t>
        </is>
      </c>
      <c r="J106" s="911" t="inlineStr">
        <is>
          <t>maxi-dress</t>
        </is>
      </c>
    </row>
    <row r="107" ht="56" customHeight="1" s="229">
      <c r="A107" s="912" t="inlineStr">
        <is>
          <t>NEIWAI ACTIVE X NYCB Foldover Flare Leggings</t>
        </is>
      </c>
      <c r="B107" s="913" t="inlineStr">
        <is>
          <t>Active</t>
        </is>
      </c>
      <c r="C107" s="914" t="n">
        <v>109</v>
      </c>
      <c r="D107" s="914" t="n">
        <v>109</v>
      </c>
      <c r="E107" s="913" t="inlineStr"/>
      <c r="F107" s="915" t="inlineStr">
        <is>
          <t>Unleash your inner performer with the Foldover Flare Leggings. The flared hem is perfect for showcasing your moves, whether you're high kicking or simply strolling. Constructed from a brushed double-sided fabric with four-way stretch, these leggings will add 'flare' to your wardrobe!</t>
        </is>
      </c>
      <c r="G107" s="916" t="inlineStr">
        <is>
          <t>• Foldover waistband can be worn unfolded for more coverage or folded for additional smoothing and compression. • Flare leg silhouette visually enhances the leg shape. • Made from soft, brushed double-sided fabric with four-way stretch. • Inseam is 30" for Size M.</t>
        </is>
      </c>
      <c r="H107" s="917" t="inlineStr">
        <is>
          <t>8 1% Polyamide, 19% Spandex. • Care instructions: For best results, hand wash with like colors in cold water. Line dry in the shade. Do not iron. Do not dry clean</t>
        </is>
      </c>
      <c r="I107" s="918" t="inlineStr">
        <is>
          <t>24.8.8, 24AW, Activity_Active/Ballet, Activity_Active/Ballet&amp;Dance, Activity_Active/Dance, Activity_Active/Gym, Activity_Active/Jogging, Activity_Active/Outdoor, Activity_Active/Pilates, Activity_Active/Running, Activity_Active/Yoga, Category_Active, Category_Active/Ballet, Category_Active/Leggings, NYCB, Tariff Final Sale</t>
        </is>
      </c>
      <c r="J107" s="919" t="inlineStr">
        <is>
          <t>foldover-flare-leggings</t>
        </is>
      </c>
    </row>
    <row r="108" ht="42" customHeight="1" s="229">
      <c r="A108" s="904" t="inlineStr">
        <is>
          <t>NEIWAI ACTIVE X NYCB Ribbed Mousse T-Shirt</t>
        </is>
      </c>
      <c r="B108" s="905" t="inlineStr">
        <is>
          <t>Active</t>
        </is>
      </c>
      <c r="C108" s="906" t="n">
        <v>65</v>
      </c>
      <c r="D108" s="906" t="n">
        <v>65</v>
      </c>
      <c r="E108" s="905" t="inlineStr"/>
      <c r="F108" s="907" t="inlineStr">
        <is>
          <t>Whether you're hitting the dance floor or heading to brunch, this slim fit Ribbed Mousse T-shirt ensures you will look and feel fantastic. The curved hem accentuates your waist and hips and the notched neckline adds a feminine touch.</t>
        </is>
      </c>
      <c r="G108" s="908" t="inlineStr">
        <is>
          <t>• Ribbed mousse fabric smooths and adds lightweight structure. • Slim, slightly cropped silhouette pairs well with high-waisted bottoms . • Notched neckline and short sleeves add a relaxed dance-inspired touch . Size M is 21.5" in front length.</t>
        </is>
      </c>
      <c r="H108" s="909" t="inlineStr">
        <is>
          <t>76% Polyamide, 24% Spandex. • Care instructions: For best results, hand wash with like colors in cold water. Line dry in the shade. Do not iron. Do not dry clean</t>
        </is>
      </c>
      <c r="I108" s="910" t="inlineStr">
        <is>
          <t>24.8.8, 24AW, Activity_Active/Ballet, Activity_Active/Ballet&amp;Dance, Activity_Active/Dance, Activity_Active/Gym, Activity_Active/Jogging, Activity_Active/Outdoor, Activity_Active/Pilates, Activity_Active/Running, Activity_Active/Yoga, Category_Active, Category_Active/Ballet, Category_Active/Tops, mousse, NYCB, Tariff Final Sale</t>
        </is>
      </c>
      <c r="J108" s="911" t="inlineStr">
        <is>
          <t>ribbed-mousse-t-shirt</t>
        </is>
      </c>
    </row>
    <row r="109" ht="56" customHeight="1" s="229">
      <c r="A109" s="912" t="inlineStr">
        <is>
          <t>NEIWAI ACTIVE X NYCB Boat Neck Tank</t>
        </is>
      </c>
      <c r="B109" s="913" t="inlineStr">
        <is>
          <t>Active</t>
        </is>
      </c>
      <c r="C109" s="914" t="n">
        <v>95</v>
      </c>
      <c r="D109" s="914" t="n">
        <v>95</v>
      </c>
      <c r="E109" s="913" t="inlineStr"/>
      <c r="F109" s="915" t="inlineStr">
        <is>
          <t>Move with elegance and confidence in the Boat Neck Tank. Designed with dance-inspired flair, this knit tank is perfect for transitioning from work to workout. Made from a blend of fine Merino wool and nylon, it is soft, warm, and easy to maintain.</t>
        </is>
      </c>
      <c r="G109" s="916" t="inlineStr">
        <is>
          <t>• Boat neck design accentuates collarbone. • Snug underarm fit for security and comfort during movement. • Curved hem optimizes waist-to-hip ratio and elongates the body visually.</t>
        </is>
      </c>
      <c r="H109" s="917" t="inlineStr">
        <is>
          <t>44%Viscose 42%Polyamide 14%Wool • Care instructions: Hand wash in cool water. Dry flat in the shade. Iron on low heat. Gentle dry cleaning</t>
        </is>
      </c>
      <c r="I109" s="918" t="inlineStr">
        <is>
          <t>24.8.8, 24AW, Activity_Active/Ballet, Activity_Active/Ballet&amp;Dance, Activity_Active/Dance, Activity_Active/Gym, Activity_Active/Outdoor, Activity_Active/Pilates, Activity_Active/Yoga, Category_Active, Category_Active/Ballet, Category_Active/Tops, Category_Lounge/Knitwear, NYCB, Tariff Final Sale</t>
        </is>
      </c>
      <c r="J109" s="919" t="inlineStr">
        <is>
          <t>boat-neck-tank</t>
        </is>
      </c>
    </row>
    <row r="110" ht="42" customHeight="1" s="229">
      <c r="A110" s="904" t="inlineStr">
        <is>
          <t>NEIWAI ACTIVE X NYCB Ribbed Mousse Wide Leg Pants</t>
        </is>
      </c>
      <c r="B110" s="905" t="inlineStr">
        <is>
          <t>Active</t>
        </is>
      </c>
      <c r="C110" s="906" t="n">
        <v>119</v>
      </c>
      <c r="D110" s="906" t="n">
        <v>119</v>
      </c>
      <c r="E110" s="905" t="inlineStr"/>
      <c r="F110" s="907" t="inlineStr">
        <is>
          <t>Revel in the luxuriously smooth Ribbed Mousse Wide Leg Pants. Perfect for dance and everyday activities, these pants provide warmth and a relaxed, stylish silhouette.</t>
        </is>
      </c>
      <c r="G110" s="908" t="inlineStr">
        <is>
          <t>• Ribbed mousse fabric smooths and adds lightweight structure. • Wide waistband with drawstring provides a smooth and adjustable fit. • Features two side pockets. • Curved back seam enhances and shapes the hips. Size M inseam is 29.2".</t>
        </is>
      </c>
      <c r="H110" s="909" t="inlineStr">
        <is>
          <t>76% Polyamide, 24% Spandex. • Care instructions: For best results, hand wash with like colors in cold water. Line dry in the shade. Do not iron. Do not dry clean</t>
        </is>
      </c>
      <c r="I110" s="910" t="inlineStr">
        <is>
          <t>24.8.8, 24AW, Activity_Active/Ballet, Activity_Active/Ballet&amp;Dance, Activity_Active/Dance, Activity_Active/Gym, Activity_Active/Jogging, Activity_Active/Outdoor, Activity_Active/Pilates, Activity_Active/Running, Activity_Active/Yoga, Category_Active, Category_Active/Ballet, Category_Active/Joggers, mousse, NYCB, Tariff Final Sale</t>
        </is>
      </c>
      <c r="J110" s="911" t="inlineStr">
        <is>
          <t>ribbed-mousse-wide-leg-pants</t>
        </is>
      </c>
    </row>
    <row r="111" ht="42" customHeight="1" s="229">
      <c r="A111" s="912" t="inlineStr">
        <is>
          <t>NEIWAI ACTIVE X NYCB Double Layer Sports Bra Top</t>
        </is>
      </c>
      <c r="B111" s="913" t="inlineStr">
        <is>
          <t>Active</t>
        </is>
      </c>
      <c r="C111" s="914" t="n">
        <v>85</v>
      </c>
      <c r="D111" s="914" t="n">
        <v>85</v>
      </c>
      <c r="E111" s="913" t="inlineStr"/>
      <c r="F111" s="915" t="inlineStr">
        <is>
          <t>Elevate your activewear with the Double Layer Sports Bra Top, where its 2-in-1 design meets exceptional support. This racerback style features a shelf bra, so you can move freely and focus on your workout without any distractions.</t>
        </is>
      </c>
      <c r="G111" s="916" t="inlineStr">
        <is>
          <t>• The dual-layer construction can be styled in multiple ways and transitions effortlessly from workouts to casual wear. • Racerback design and removable cups for customizable support. • Soft, lightweight fabric features moisture-wicking properties.</t>
        </is>
      </c>
      <c r="H111" s="917" t="inlineStr">
        <is>
          <t>Shell1: 75% Polyamide 25% Spandex; Shell2: 84% Polyamide 16% Spandex; Lining: 88% Polyamide 12% Spandex; Mesh: 71% Polyamide 29% Spandex • Care instructions: Gently hand wash with like colors in cold water</t>
        </is>
      </c>
      <c r="I111" s="918" t="inlineStr">
        <is>
          <t>24.8.8, 24AW, Activity_Active/Ballet, Activity_Active/Ballet&amp;Dance, Activity_Active/Dance, Activity_Active/Gym, Activity_Active/Jogging, Activity_Active/Outdoor, Activity_Active/Pilates, Activity_Active/Running, Activity_Active/Tennis, Activity_Active/Yoga, B1 Sports Bra, Category_Active, Category_Active/Ballet, Category_Active/Sports Bra, Category_Active/Tops, NYCB, Tariff Final Sale</t>
        </is>
      </c>
      <c r="J111" s="919" t="inlineStr">
        <is>
          <t>double-layer-sports-bra-top</t>
        </is>
      </c>
    </row>
    <row r="112" ht="42" customHeight="1" s="229">
      <c r="A112" s="904" t="inlineStr">
        <is>
          <t>NEIWAI ACTIVE X NYCB Ballet Round Neck T-Shirt</t>
        </is>
      </c>
      <c r="B112" s="905" t="inlineStr">
        <is>
          <t>Active</t>
        </is>
      </c>
      <c r="C112" s="906" t="n">
        <v>65</v>
      </c>
      <c r="D112" s="906" t="n">
        <v>65</v>
      </c>
      <c r="E112" s="905" t="inlineStr"/>
      <c r="F112" s="907" t="inlineStr">
        <is>
          <t>Embrace ballet-inspired elegance with the Ballet Round Neck T-Shirt. This T-shirt offers a feminine yet sporty look, featuring a classic crew neck with mesh sleeves that add a touch of visual intrigue while keeping you cool and comfortable.</t>
        </is>
      </c>
      <c r="G112" s="908" t="inlineStr">
        <is>
          <t>• Made from a soft and stretchy nylon-spandex blend. • Sleeves feature semi-sheer material, creating a tank top and t-shirt layering look. • Moisture-wicking and quick-drying fabric ensures breathability and comfort.</t>
        </is>
      </c>
      <c r="H112" s="909" t="inlineStr">
        <is>
          <t>Body: 75% Polyamide, 25% Spandex. Sleeve: 84% Polyamide, 16% Spandex. • Care instructions: For best results, hand wash with like colors in cold water. Line dry in the shade. Do not iron. Do not dry clean</t>
        </is>
      </c>
      <c r="I112" s="910" t="inlineStr">
        <is>
          <t>24.8.8, 24AW, Activity_Active/Ballet, Activity_Active/Ballet&amp;Dance, Activity_Active/Dance, Activity_Active/Gym, Activity_Active/Outdoor, Category_Active, Category_Active/Ballet, Category_Active/Tops, NYCB, Tariff Final Sale</t>
        </is>
      </c>
      <c r="J112" s="911" t="inlineStr">
        <is>
          <t>ballet-round-neck-t-shirt</t>
        </is>
      </c>
    </row>
    <row r="113" ht="42" customHeight="1" s="229">
      <c r="A113" s="912" t="inlineStr">
        <is>
          <t>NEIWAI ACTIVE X NYCB Asymmetric Long Sleeve Top</t>
        </is>
      </c>
      <c r="B113" s="913" t="inlineStr">
        <is>
          <t>Active</t>
        </is>
      </c>
      <c r="C113" s="914" t="n">
        <v>69</v>
      </c>
      <c r="D113" s="914" t="n">
        <v>69</v>
      </c>
      <c r="E113" s="913" t="inlineStr"/>
      <c r="F113" s="915" t="inlineStr">
        <is>
          <t>Add a twist to your wardrobe with the Asymmetric Long Sleeve Top. Made from semi-sheer, moisture-wicking fabric, this top will help you step up in style with a touch of avant-garde charm.</t>
        </is>
      </c>
      <c r="G113" s="916" t="inlineStr">
        <is>
          <t>• Semi-sheer, moisture-wicking fabric ensures exceptional comfort and easy layering. • Asymmetric neckline accentuates the collarbone and creates a modern silhouette. • Flexible hem can be worn long, folded, or knotted for endless versatility. Size M is 24" in front length. • Made from lightweight, soft, and durable nylon for excellent stretch and resilience.</t>
        </is>
      </c>
      <c r="H113" s="917" t="inlineStr">
        <is>
          <t>75% Polyamide, 25% Spandex. • Care instructions: For best results, hand wash with like colors in cold water. Line dry in the shade. Do not iron. Do not dry clean</t>
        </is>
      </c>
      <c r="I113" s="918" t="inlineStr">
        <is>
          <t>24.8.8, 24AW, Activity_Active/Ballet, Activity_Active/Ballet&amp;Dance, Activity_Active/Dance, Activity_Active/Outdoor, Activity_Active/Yoga, Category_Active, Category_Active/Ballet, Category_Active/Tops, NYCB, Tariff Final Sale, US Inventory</t>
        </is>
      </c>
      <c r="J113" s="919" t="inlineStr">
        <is>
          <t>asymmetric-long-sleeve-top</t>
        </is>
      </c>
    </row>
    <row r="114" ht="18" customHeight="1" s="229">
      <c r="A114" s="904" t="inlineStr">
        <is>
          <t>Medium Support Long Sports Bra</t>
        </is>
      </c>
      <c r="B114" s="905" t="inlineStr">
        <is>
          <t>Active</t>
        </is>
      </c>
      <c r="C114" s="906" t="n">
        <v>89</v>
      </c>
      <c r="D114" s="906" t="n">
        <v>89</v>
      </c>
      <c r="E114" s="905" t="inlineStr"/>
      <c r="F114" s="907" t="n"/>
      <c r="G114" s="908" t="n"/>
      <c r="H114" s="909" t="n"/>
      <c r="I114" s="910" t="inlineStr">
        <is>
          <t>24AW</t>
        </is>
      </c>
      <c r="J114" s="911" t="inlineStr">
        <is>
          <t>medium-support-long-sports-bra</t>
        </is>
      </c>
    </row>
    <row r="115" ht="42" customHeight="1" s="229">
      <c r="A115" s="912" t="inlineStr">
        <is>
          <t>NEIWAI ACTIVE X NYCB High Waist Shorts</t>
        </is>
      </c>
      <c r="B115" s="913" t="inlineStr">
        <is>
          <t>Active</t>
        </is>
      </c>
      <c r="C115" s="914" t="n">
        <v>65</v>
      </c>
      <c r="D115" s="914" t="n">
        <v>65</v>
      </c>
      <c r="E115" s="913" t="inlineStr"/>
      <c r="F115" s="915" t="inlineStr">
        <is>
          <t>Reach new heights in the High Waist Shorts, where high-performance meets stylish design. Designed for both workouts and daily wear, these shorts feature a high-waist design and a longer inseam to keep you comfortable and stylish.</t>
        </is>
      </c>
      <c r="G115" s="916" t="inlineStr">
        <is>
          <t>• High waist design visually elongates the legs and a curved back seam enhances the shape of the hips. • 5.5" inseam offers a balance between style and coverage . • This versatile piece can also be layered under dresses and skirts .</t>
        </is>
      </c>
      <c r="H115" s="917" t="inlineStr">
        <is>
          <t>81% Polyamide, 19% Spandex • Care instructions: For best results, hand wash with like colors in cold water. Line dry in shade. Do not iron. Do not dry clean</t>
        </is>
      </c>
      <c r="I115" s="918" t="inlineStr">
        <is>
          <t>24.8.8, 24AW, Activity_Active/Ballet, Activity_Active/Ballet&amp;Dance, Activity_Active/Dance, Activity_Active/Gym, Activity_Active/Jogging, Activity_Active/Pilates, Activity_Active/Running, Activity_Active/Tennis, Activity_Active/Yoga, Category_Active, Category_Active/Ballet, Category_Active/Leggings, Category_Active/Shorts, NYCB, Tariff Final Sale</t>
        </is>
      </c>
      <c r="J115" s="919" t="inlineStr">
        <is>
          <t>highwaist-shorts</t>
        </is>
      </c>
    </row>
    <row r="116" ht="18" customHeight="1" s="229">
      <c r="A116" s="904" t="inlineStr">
        <is>
          <t>Low Support Fixed Cup Sports Bra</t>
        </is>
      </c>
      <c r="B116" s="905" t="inlineStr">
        <is>
          <t>Active</t>
        </is>
      </c>
      <c r="C116" s="906" t="n">
        <v>69</v>
      </c>
      <c r="D116" s="906" t="n">
        <v>69</v>
      </c>
      <c r="E116" s="905" t="inlineStr"/>
      <c r="F116" s="907" t="n"/>
      <c r="G116" s="908" t="n"/>
      <c r="H116" s="909" t="n"/>
      <c r="I116" s="910" t="inlineStr">
        <is>
          <t>24AW, US Inventory</t>
        </is>
      </c>
      <c r="J116" s="911" t="inlineStr">
        <is>
          <t>low-support-fixed-cup-sports-bra</t>
        </is>
      </c>
    </row>
    <row r="117" ht="42" customHeight="1" s="229">
      <c r="A117" s="888" t="inlineStr">
        <is>
          <t>Barely Zero Camisole</t>
        </is>
      </c>
      <c r="B117" s="889" t="inlineStr">
        <is>
          <t>Underwear</t>
        </is>
      </c>
      <c r="C117" s="890" t="n">
        <v>49</v>
      </c>
      <c r="D117" s="890" t="n">
        <v>49</v>
      </c>
      <c r="E117" s="889" t="inlineStr"/>
      <c r="F117" s="891" t="inlineStr">
        <is>
          <t>The support and comfort you love from Barely Zero is now available in a cami! This wardrobe essential features built-in support and provides a smooth, seamless fit for effortless layering.</t>
        </is>
      </c>
      <c r="G117" s="892" t="n"/>
      <c r="H117" s="893" t="n"/>
      <c r="I117" s="894" t="inlineStr">
        <is>
          <t>24.7.25, 24AW, Category_Lounge, Category_Lounge/Tees&amp;Tanks, Category_Lounge/Tops, Collection_Barely Zero, Feature_Best Seller, Priority Products, US Evergreen, US Inventory</t>
        </is>
      </c>
      <c r="J117" s="895" t="inlineStr">
        <is>
          <t>barely-zero-camisole</t>
        </is>
      </c>
    </row>
    <row r="118" ht="28" customHeight="1" s="229">
      <c r="A118" s="880" t="inlineStr">
        <is>
          <t>Silk Blend Briefs (3 Pack)</t>
        </is>
      </c>
      <c r="B118" s="881" t="inlineStr">
        <is>
          <t>Underwear</t>
        </is>
      </c>
      <c r="C118" s="882" t="n">
        <v>49</v>
      </c>
      <c r="D118" s="882" t="n">
        <v>49</v>
      </c>
      <c r="E118" s="881" t="inlineStr"/>
      <c r="F118" s="883" t="inlineStr">
        <is>
          <t>Stock up on luxe comfort with our Silk Blend Briefs (3-Pack). Modal and silk meet to create a soft, lightweight brief that offers a cool, breathable fit.</t>
        </is>
      </c>
      <c r="G118" s="884" t="inlineStr">
        <is>
          <t>• Made from a lusciously soft &amp; breathable blend of Modal, silk, and Spandex. • Mid-rise cut and full bottom coverage. • Comes in 3 neutral shades for timeless wear.</t>
        </is>
      </c>
      <c r="H118" s="885" t="inlineStr">
        <is>
          <t>79 % Modal, 13% silk, 8% Spandex; lining: 100% Cotton. • Care instructions: For best results hand wash in cold water and air dry</t>
        </is>
      </c>
      <c r="I118" s="886" t="inlineStr">
        <is>
          <t>24.7.25, 24AW, Bundle Collection, Category_Underwear, Category_Underwear/Bottoms, Category_Underwear/Bottoms/Panties, Category_Underwear/Bottoms/Panties/Mid Waist, Fabric_Lingerie/Silk, Fabric_Underwear/Silk, Fabric_Underwear/Tencel Modal, HR-CX, Tariff Final Sale, XS - XL Brief</t>
        </is>
      </c>
      <c r="J118" s="887" t="inlineStr">
        <is>
          <t>silk-blend-briefs-3-pack</t>
        </is>
      </c>
    </row>
    <row r="119" ht="42" customHeight="1" s="229">
      <c r="A119" s="888" t="inlineStr">
        <is>
          <t>Pure Comfort Soft Modal Triangle Bra 3.0</t>
        </is>
      </c>
      <c r="B119" s="889" t="inlineStr">
        <is>
          <t>Underwear</t>
        </is>
      </c>
      <c r="C119" s="890" t="n">
        <v>38</v>
      </c>
      <c r="D119" s="890" t="n">
        <v>38</v>
      </c>
      <c r="E119" s="889" t="inlineStr"/>
      <c r="F119" s="891" t="inlineStr">
        <is>
          <t>Pure Comfort is NEIWAI's premier collection of skin-friendly bras and underwear. The latest version of our best-selling Soft Modal Triangle Bra features semi-fixed cups for easy care and a natural fit.</t>
        </is>
      </c>
      <c r="G119" s="892" t="inlineStr">
        <is>
          <t>• Signature blend of soft, breathable, and eco-friendly fabrics: TENCEL‚Ñ¢ Modal, cotton, &amp; LYCRA¬Æ Spandex. Perfect for skin comfort! • Features triangle cups that are tacked to the bra for easy washing and a natural fit. For those who prefer removable padding, the stitches can easily be removed. • Wireless bra features front key-hole for ventilation. Fully adjustable straps convert to racerback style. Back clasp closure.</t>
        </is>
      </c>
      <c r="H119" s="893" t="inlineStr">
        <is>
          <t>45% TENCEL‚Ñ¢ Modal, 44% cotton, 11% LYCRA¬Æ Spandex • Care instructions: For best results, hand wash in cold water. Lay flat to dry. Do not iron</t>
        </is>
      </c>
      <c r="I119" s="894" t="inlineStr">
        <is>
          <t>24.6.14, 24SS, Category_Bras/Cotton, Category_Bras/Everyday, Category_Bras/Medium Support, Category_Underwear, Category_Underwear/Tops, Category_Underwear/Tops/Wireless Bra, Collection_Pure Comfort, Fabric_Underwear/Cotton, Fabric_Underwear/Tencel Modal, Feature_Best Seller, Pure Comfort Size Bra, SML Size Bra, Tariff Final Sale, US Inventory</t>
        </is>
      </c>
      <c r="J119" s="895" t="inlineStr">
        <is>
          <t>pure-comfort-soft-modal-triangle-bra-3-0</t>
        </is>
      </c>
    </row>
    <row r="120" ht="18" customHeight="1" s="229">
      <c r="A120" s="947" t="inlineStr">
        <is>
          <t>NYC Tote</t>
        </is>
      </c>
      <c r="B120" s="948" t="inlineStr">
        <is>
          <t>Accessories</t>
        </is>
      </c>
      <c r="C120" s="949" t="n">
        <v>25</v>
      </c>
      <c r="D120" s="949" t="n">
        <v>25</v>
      </c>
      <c r="E120" s="948" t="inlineStr"/>
      <c r="F120" s="950" t="n"/>
      <c r="G120" s="951" t="n"/>
      <c r="H120" s="952" t="n"/>
      <c r="I120" s="953" t="n"/>
      <c r="J120" s="954" t="inlineStr">
        <is>
          <t>nyc-tote</t>
        </is>
      </c>
    </row>
    <row r="121" ht="42" customHeight="1" s="229">
      <c r="A121" s="912" t="inlineStr">
        <is>
          <t>Cross-back T-Shirt</t>
        </is>
      </c>
      <c r="B121" s="913" t="inlineStr">
        <is>
          <t>Active</t>
        </is>
      </c>
      <c r="C121" s="914" t="n">
        <v>59</v>
      </c>
      <c r="D121" s="914" t="n">
        <v>41.3</v>
      </c>
      <c r="E121" s="955" t="inlineStr">
        <is>
          <t>Yes</t>
        </is>
      </c>
      <c r="F121" s="915" t="inlineStr">
        <is>
          <t>Want to upgrade your classic tee? Look no further than the Cross-back T-shirt, which features an elegant front and a sporty, convertible back. Made from a lightweight mesh fabric, this tee will keep you cool all season long.</t>
        </is>
      </c>
      <c r="G121" s="916" t="inlineStr">
        <is>
          <t>• Made from moisture-wicking, quick-drying fabric. • Cross-back panels provide ventilation and can be tied together for a knotted look. • Versatile length can be worn tucked or untucked. Size M is 18.8" in front length.</t>
        </is>
      </c>
      <c r="H121" s="917" t="inlineStr">
        <is>
          <t>90% Polyester, 10% Spandex • Care instructions: For best results, hand wash with like colors in cold water</t>
        </is>
      </c>
      <c r="I121" s="918" t="inlineStr">
        <is>
          <t>24.5.10, 24SS, 25DEC 30OFF, 25DEC SALE, Activity_Active/Gym, Activity_Active/Outdoor, Activity_Active/Running, Activity_Active/Tennis, Activity_Active/Yoga, Category_Active, Category_Active/Tops, HR-CX, no-returns, Tariff Final Sale</t>
        </is>
      </c>
      <c r="J121" s="919" t="inlineStr">
        <is>
          <t>cross-back-t-shirt</t>
        </is>
      </c>
    </row>
    <row r="122" ht="42" customHeight="1" s="229">
      <c r="A122" s="904" t="inlineStr">
        <is>
          <t>Flyaway Tank</t>
        </is>
      </c>
      <c r="B122" s="905" t="inlineStr">
        <is>
          <t>Active</t>
        </is>
      </c>
      <c r="C122" s="906" t="n">
        <v>49</v>
      </c>
      <c r="D122" s="906" t="n">
        <v>34.3</v>
      </c>
      <c r="E122" s="956" t="inlineStr">
        <is>
          <t>Yes</t>
        </is>
      </c>
      <c r="F122" s="907" t="inlineStr">
        <is>
          <t>Stay cool and stylish during your next workout in the Flyaway Tank. Made from a lightweight mesh fabric, this tank has a convertible back that can be worn open or knotted.</t>
        </is>
      </c>
      <c r="G122" s="908" t="inlineStr">
        <is>
          <t>• Made from moisture-wicking, quick-drying fabric. • Open back panels offer ventilation and can be tied together for a knotted look. • Effortlessly layers over sports bras and tops. Size M is 21.1" in front length.</t>
        </is>
      </c>
      <c r="H122" s="909" t="inlineStr">
        <is>
          <t>90% Polyester, 10% Spandex • Care instructions: For best results, hand wash with like colors in cold water</t>
        </is>
      </c>
      <c r="I122" s="910" t="inlineStr">
        <is>
          <t>24.5.10, 24SS, 25DEC 30OFF, 25DEC SALE, Activity_Active/Gym, Activity_Active/Outdoor, Activity_Active/Running, Activity_Active/Tennis, Activity_Active/Yoga, Category_Active, Category_Active/Tops, HR-CX, no-returns, Tariff Final Sale</t>
        </is>
      </c>
      <c r="J122" s="911" t="inlineStr">
        <is>
          <t>flyaway-tank</t>
        </is>
      </c>
    </row>
    <row r="123" ht="42" customHeight="1" s="229">
      <c r="A123" s="928" t="inlineStr">
        <is>
          <t>Cotton Jacquard Pajama Top</t>
        </is>
      </c>
      <c r="B123" s="929" t="inlineStr">
        <is>
          <t>Loungewear</t>
        </is>
      </c>
      <c r="C123" s="930" t="n">
        <v>75</v>
      </c>
      <c r="D123" s="930" t="n">
        <v>52.5</v>
      </c>
      <c r="E123" s="936" t="inlineStr">
        <is>
          <t>Yes</t>
        </is>
      </c>
      <c r="F123" s="931" t="inlineStr">
        <is>
          <t>Experience ultimate comfort with our Cotton Jacquard Pajama Top. Made from a breezy cotton fabric, this top features a relaxed silhouette and a touch of elevated texture.</t>
        </is>
      </c>
      <c r="G123" s="932" t="inlineStr">
        <is>
          <t>• Top has boxy, slightly oversized fit. Can also be worn as a summery top over slim pants. features a notched V-neckline, back inverted box pleat. • Features elegant tailoring details like a notched V-neckline and back inverted box pleat. • Pair with the matching Cotton Jacquard Pajama Pants .</t>
        </is>
      </c>
      <c r="H123" s="933" t="inlineStr">
        <is>
          <t>100% Cotton • Care instructions: For best results, hand wash in cool water and line dry</t>
        </is>
      </c>
      <c r="I123" s="934" t="inlineStr">
        <is>
          <t>24.4.5, 24SS, 25DEC 30OFF, 25DEC SALE, Category_Lounge, Category_Lounge/Pajamas &amp; Robes, Category_Lounge/Top, Fabric_Lounge/Cotton, HR-CX, no-returns, Tariff Final Sale</t>
        </is>
      </c>
      <c r="J123" s="935" t="inlineStr">
        <is>
          <t>cotton-jacquard-pajama-top</t>
        </is>
      </c>
    </row>
    <row r="124" ht="42" customHeight="1" s="229">
      <c r="A124" s="912" t="inlineStr">
        <is>
          <t>Dolce Bikini Top</t>
        </is>
      </c>
      <c r="B124" s="913" t="inlineStr">
        <is>
          <t>Active</t>
        </is>
      </c>
      <c r="C124" s="914" t="n">
        <v>65</v>
      </c>
      <c r="D124" s="914" t="n">
        <v>65</v>
      </c>
      <c r="E124" s="913" t="inlineStr"/>
      <c r="F124" s="915" t="inlineStr">
        <is>
          <t>Enjoy the sweet life in our Dolce Bikini Top. Featuring Italian performance fabric made from recycled fibers, this bustier-inspired swim top will bring style and support to your next beach day.</t>
        </is>
      </c>
      <c r="G124" s="916" t="inlineStr">
        <is>
          <t>• Made from a stretchy Italian fabric that offers UPF50+ sun protection and is resistant to chlorine, sunscreen, and pilling. • Features non-removable cups, adjustable spaghetti straps with decorative overhang detail, and a back clasp closure. • Elegant seams provide shape and wireless support. • C omplete the look with the matching Dolce Bikini Bottom .</t>
        </is>
      </c>
      <c r="H124" s="917" t="inlineStr">
        <is>
          <t>100% Polyester (51% Recycled Polyester, 49% PBT) • Care instructions: For best results, hand wash with like colors in cold water</t>
        </is>
      </c>
      <c r="I124" s="918" t="inlineStr">
        <is>
          <t>24.4.5, 24SS, Activity_Active/Swim, Category_Active, Category_Active/Swimwear, Category_Active/Swimwear/Top, Flexport Stock, Tariff Final Sale, US Inventory</t>
        </is>
      </c>
      <c r="J124" s="919" t="inlineStr">
        <is>
          <t>dolce-bikini-top</t>
        </is>
      </c>
    </row>
    <row r="125" ht="56" customHeight="1" s="229">
      <c r="A125" s="904" t="inlineStr">
        <is>
          <t>Dolce Bikini Bottom</t>
        </is>
      </c>
      <c r="B125" s="905" t="inlineStr">
        <is>
          <t>Active</t>
        </is>
      </c>
      <c r="C125" s="906" t="n">
        <v>45</v>
      </c>
      <c r="D125" s="906" t="n">
        <v>45</v>
      </c>
      <c r="E125" s="905" t="inlineStr"/>
      <c r="F125" s="907" t="inlineStr">
        <is>
          <t>Whether you're lounging poolside or diving into waves, the Dolce Bikini Bottom has you covered. Made from Italian performance fabric and featuring a vintage-inspired fit, this style will be your go-to bikini bottom all season. Fit tip: If you're in between sizes, we recommend sizing up.</t>
        </is>
      </c>
      <c r="G125" s="908" t="inlineStr">
        <is>
          <t>• Made from a stretchy Italian fabric that offers UPF50+ sun protection and is resistant to chlorine, sunscreen, and pilling. • High-waisted fit. • Tapered front seams create an elegant shape and streamlined silhouette. • C omplete the look with the matching Dolce Bikini Top.</t>
        </is>
      </c>
      <c r="H125" s="909" t="inlineStr">
        <is>
          <t>100% Polyester (51% Recycled Polyester, 49% PBT) • Care instructions: For best results, hand wash with like colors in cold water</t>
        </is>
      </c>
      <c r="I125" s="910" t="inlineStr">
        <is>
          <t>24.4.5, 24SS, Activity_Active/Swim, Category_Active, Category_Active/Swimwear, Category_Active/Swimwear/Bottom, Flexport Stock, Tariff Final Sale, US Inventory</t>
        </is>
      </c>
      <c r="J125" s="911" t="inlineStr">
        <is>
          <t>dolce-bikini-bottom</t>
        </is>
      </c>
    </row>
    <row r="126" ht="42" customHeight="1" s="229">
      <c r="A126" s="896" t="inlineStr">
        <is>
          <t>Silk Linen Tank</t>
        </is>
      </c>
      <c r="B126" s="897" t="inlineStr">
        <is>
          <t>Loungewear</t>
        </is>
      </c>
      <c r="C126" s="898" t="n">
        <v>95</v>
      </c>
      <c r="D126" s="898" t="n">
        <v>66.5</v>
      </c>
      <c r="E126" s="957" t="inlineStr">
        <is>
          <t>Yes</t>
        </is>
      </c>
      <c r="F126" s="899" t="inlineStr">
        <is>
          <t>Comfort and luxury unite in our Silk Linen Tank, designed with a knit jacquard inspired by natural textures. Crafted from breathable silk and linen, this tank is a versatile layering piece and standalone style.</t>
        </is>
      </c>
      <c r="G126" s="900" t="inlineStr">
        <is>
          <t>• Features higher neckline and coverage under arms, providing a refined silhouette. • Airy and slightly sheer, this top can be styled over statement lingerie for a bolder look . • Can be worn tucked or untucked. Size M is 22.8" in length.</t>
        </is>
      </c>
      <c r="H126" s="901" t="inlineStr">
        <is>
          <t>56% Silk, 46% Linen • Care instructions: For best results, hand wash in cool water and line dry</t>
        </is>
      </c>
      <c r="I126" s="902" t="inlineStr">
        <is>
          <t>24.4.5, 24SS, 25DEC 30OFF, 25DEC SALE, Category_Lounge, Category_Lounge/Tees&amp;Tanks, Category_Lounge/Top, Fabric_Linen, Fabric_Lounge/Silk, HR-CX, no-returns, Tariff Final Sale</t>
        </is>
      </c>
      <c r="J126" s="903" t="inlineStr">
        <is>
          <t>silk-linen-tank</t>
        </is>
      </c>
    </row>
    <row r="127" ht="42" customHeight="1" s="229">
      <c r="A127" s="912" t="inlineStr">
        <is>
          <t>NEIWAI ACTIVE X NYCB Mousse Cool Medium Support Long Sports Bra</t>
        </is>
      </c>
      <c r="B127" s="913" t="inlineStr">
        <is>
          <t>Active</t>
        </is>
      </c>
      <c r="C127" s="914" t="n">
        <v>89</v>
      </c>
      <c r="D127" s="914" t="n">
        <v>89</v>
      </c>
      <c r="E127" s="913" t="inlineStr"/>
      <c r="F127" s="915" t="inlineStr">
        <is>
          <t>Stay cool and supported during workouts with our Mouse Cool Medium Support Long Sports Bra. Made from a lighter version of our best-selling Mousse fabric, this sports bra doesn't compromise on softness or comfort.</t>
        </is>
      </c>
      <c r="G127" s="916" t="inlineStr">
        <is>
          <t>• Mousse Cool features enhanced moisture-wicking properties and is cool to the touch. • Features built-in bra cups and non-adjustable M-shaped back straps. • Longer length adds extra stability and styling possibilities - wear it as a crop top!</t>
        </is>
      </c>
      <c r="H127" s="917" t="inlineStr">
        <is>
          <t>62% Polyamide, 38% Spandex • Care instructions: For best results, hand wash with like colors in cold water</t>
        </is>
      </c>
      <c r="I127" s="918" t="inlineStr">
        <is>
          <t>24.4.5, 24SS, Activity_Active/Gym, Activity_Active/Outdoor, Activity_Active/Running, Activity_Active/Tennis, Activity_Active/Yoga, Category_Active, Category_Active/Core, Category_Active/Sports Bra, Category_Active/Sports Bra/V-M-X Core Collection, Flexport Stock, mousse, NYCB, Sports Bra with Plus Sizes, Tariff Final Sale, US Inventory</t>
        </is>
      </c>
      <c r="J127" s="919" t="inlineStr">
        <is>
          <t>mousse-cool-medium-support-long-sports-bra</t>
        </is>
      </c>
    </row>
    <row r="128" ht="70" customHeight="1" s="229">
      <c r="A128" s="928" t="inlineStr">
        <is>
          <t>Cotton Wide Leg Pants</t>
        </is>
      </c>
      <c r="B128" s="929" t="inlineStr">
        <is>
          <t>Loungewear</t>
        </is>
      </c>
      <c r="C128" s="930" t="n">
        <v>165</v>
      </c>
      <c r="D128" s="930" t="n">
        <v>115.5</v>
      </c>
      <c r="E128" s="936" t="inlineStr">
        <is>
          <t>Yes</t>
        </is>
      </c>
      <c r="F128" s="931" t="inlineStr">
        <is>
          <t>Embrace effortless style in the Cotton Wide Leg Pants. Made from a breezy and lightly-textured cotton fabric, these pants can be dressed up or down and are a versatile addition to your warm-weather wardrobe. Fit tip: If you're in between sizes, we recommend sizing down. Style note: The Coconut Milk color is slightly sheer.</t>
        </is>
      </c>
      <c r="G128" s="932" t="inlineStr">
        <is>
          <t>• High-waisted, wide-leg silhouette makes for effortless styling. • Waist band features paper bag detail and elastic drawstring. • Features side pockets. Size M inseam is 27.5", front rise is 13.4".</t>
        </is>
      </c>
      <c r="H128" s="933" t="inlineStr">
        <is>
          <t>100% Long-staple Cotton • Care instructions: For best results, hand wash in cold water and line dry. Do not bleach, iron, or dry clean</t>
        </is>
      </c>
      <c r="I128" s="934" t="inlineStr">
        <is>
          <t>24.4.5, 24SS, 25DEC 30OFF, 25DEC SALE, Category_Lounge, Category_Lounge/Bottoms/Non-Elastic, Category_Lounge/Pants, Fabric_Lounge/Cotton, Flexport Stock, HR-CX, no-returns, Tariff Final Sale, US Inventory</t>
        </is>
      </c>
      <c r="J128" s="935" t="inlineStr">
        <is>
          <t>cotton-wide-leg-pants</t>
        </is>
      </c>
    </row>
    <row r="129" ht="42" customHeight="1" s="229">
      <c r="A129" s="896" t="inlineStr">
        <is>
          <t>Linen-Blend Bermuda Shorts</t>
        </is>
      </c>
      <c r="B129" s="897" t="inlineStr">
        <is>
          <t>Loungewear</t>
        </is>
      </c>
      <c r="C129" s="898" t="n">
        <v>129</v>
      </c>
      <c r="D129" s="898" t="n">
        <v>90.3</v>
      </c>
      <c r="E129" s="957" t="inlineStr">
        <is>
          <t>Yes</t>
        </is>
      </c>
      <c r="F129" s="899" t="inlineStr">
        <is>
          <t>Bring ease and sophistication to your wardrobe with these Linen-Blend Bermuda Shorts. Made from a breathable fabric blend, these tailored shorts will keep you comfortable and polished all season long.</t>
        </is>
      </c>
      <c r="G129" s="900" t="inlineStr">
        <is>
          <t>• Fabric unites the natural look and breathability of linen with the structure and easy-care properties of synthetic fibers • Features high-waist fit, front zip and fly closure, and belt loops. • Includes side pockets and back welt pockets. Size M inseam is 5.5", front rise is 13".</t>
        </is>
      </c>
      <c r="H129" s="901" t="inlineStr">
        <is>
          <t>66% Lyocell, 20% Viscose, 13% Linen, 1% Polyester • Care instructions: For best results, hand wash with like colors in cold water. Lay flat or hang to dry</t>
        </is>
      </c>
      <c r="I129" s="902" t="inlineStr">
        <is>
          <t>24.4.5, 24SS, 25DEC 30OFF, 25DEC SALE, Category_Lounge, Category_Lounge/Bottoms, Category_Lounge/Bottoms/Non-Elastic, Category_Lounge/Shorts, Fabric_Linen, Flexport Stock, HR-CX, no-returns, Tariff Final Sale, US Inventory</t>
        </is>
      </c>
      <c r="J129" s="903" t="inlineStr">
        <is>
          <t>linen-blend-bermuda-shorts</t>
        </is>
      </c>
    </row>
    <row r="130" ht="42" customHeight="1" s="229">
      <c r="A130" s="928" t="inlineStr">
        <is>
          <t>Cotton Jacquard Pajama Pants</t>
        </is>
      </c>
      <c r="B130" s="929" t="inlineStr">
        <is>
          <t>Loungewear</t>
        </is>
      </c>
      <c r="C130" s="930" t="n">
        <v>75</v>
      </c>
      <c r="D130" s="930" t="n">
        <v>52.5</v>
      </c>
      <c r="E130" s="936" t="inlineStr">
        <is>
          <t>Yes</t>
        </is>
      </c>
      <c r="F130" s="931" t="inlineStr">
        <is>
          <t>Lounge in cool comfort with our Cotton Jacquard Pajama Pants. This flowy silhouette is made from a breathable cotton fabric, making it the perfect choice for warm-weather relaxation.</t>
        </is>
      </c>
      <c r="G130" s="932" t="inlineStr">
        <is>
          <t>• Features cropped length, elastic waistband, and decorative buttons. • Made from an elegant jacquard fabric, bringing a touch of texture. Size M inseam is 21.9" and front rise is 12.4". • Pair with the matching Cotton Jacquard Pajama Top .</t>
        </is>
      </c>
      <c r="H130" s="933" t="inlineStr">
        <is>
          <t>100% Cotton • Care instructions: For best results, hand wash in cool water and line dry</t>
        </is>
      </c>
      <c r="I130" s="934" t="inlineStr">
        <is>
          <t>24.4.5, 24SS, 25DEC 30OFF, 25DEC SALE, Category_Lounge, Category_Lounge/Bottoms/Elastic, Category_Lounge/Pajamas &amp; Robes, Category_Lounge/Pants, Fabric_Lounge/Cotton, HR-CX, no-returns, Tariff Final Sale</t>
        </is>
      </c>
      <c r="J130" s="935" t="inlineStr">
        <is>
          <t>cotton-jacquard-pajama-pants</t>
        </is>
      </c>
    </row>
    <row r="131" ht="42" customHeight="1" s="229">
      <c r="A131" s="896" t="inlineStr">
        <is>
          <t>Sun Block Shirt</t>
        </is>
      </c>
      <c r="B131" s="897" t="inlineStr">
        <is>
          <t>Loungewear</t>
        </is>
      </c>
      <c r="C131" s="898" t="n">
        <v>79</v>
      </c>
      <c r="D131" s="898" t="n">
        <v>55.3</v>
      </c>
      <c r="E131" s="957" t="inlineStr">
        <is>
          <t>Yes</t>
        </is>
      </c>
      <c r="F131" s="899" t="inlineStr">
        <is>
          <t>The Sun Block Shirt offers weightless protection against UV rays while on the go. With its lightweight feel and classic tailoring, you can enjoy your outdoor adventures in style and with peace of mind.</t>
        </is>
      </c>
      <c r="G131" s="900" t="inlineStr">
        <is>
          <t>• Provides UPF40+ sun protection. • Easily packable design is perfect for travel. • Can also be worn as a coverup over swimwear and tank tops.</t>
        </is>
      </c>
      <c r="H131" s="901" t="inlineStr">
        <is>
          <t>100% Polyamide • Care instructions: For best results, hand wash in cool water and line dry</t>
        </is>
      </c>
      <c r="I131" s="902" t="inlineStr">
        <is>
          <t>24.4.5, 24SS, 25DEC 30OFF, 25DEC SALE, Category_Lounge, Category_Lounge/Top, Flexport Stock, HR-CX, no-returns, Tariff Final Sale, US Inventory</t>
        </is>
      </c>
      <c r="J131" s="903" t="inlineStr">
        <is>
          <t>sun-block-shirt</t>
        </is>
      </c>
    </row>
    <row r="132" ht="56" customHeight="1" s="229">
      <c r="A132" s="904" t="inlineStr">
        <is>
          <t>Mousse Cool Biker Shorts</t>
        </is>
      </c>
      <c r="B132" s="905" t="inlineStr">
        <is>
          <t>Active</t>
        </is>
      </c>
      <c r="C132" s="906" t="n">
        <v>65</v>
      </c>
      <c r="D132" s="906" t="n">
        <v>65</v>
      </c>
      <c r="E132" s="905" t="inlineStr"/>
      <c r="F132" s="907" t="inlineStr">
        <is>
          <t>Experience ultimate comfort and flexibility in our Mouse Cool Biker Shorts. Made from a lighter, cooler version of our best-selling Mousse fabric, these shorts are a supportive choice for any activity. Fit tip: if you're in between sizes, we recommend sizing up.</t>
        </is>
      </c>
      <c r="G132" s="908" t="inlineStr">
        <is>
          <t>• Mousse Cool features enhanced moisture-wicking properties and is cool to the touch. • High-waisted and mid-thigh length, with reflective details for safety in low-light conditions. • Features two side pockets and elegant curved seams to enhance hip shape.</t>
        </is>
      </c>
      <c r="H132" s="909" t="inlineStr">
        <is>
          <t>62% Polyamide, 38% Spandex • Care instructions: For best results, hand wash with like colors in cold water</t>
        </is>
      </c>
      <c r="I132" s="910" t="inlineStr">
        <is>
          <t>24.4.5, 24SS, Activity_Active/Gym, Activity_Active/Outdoor, Activity_Active/Running, Activity_Active/Yoga, Category_Active, Category_Active/Leggings, Category_Active/Shorts, mousse, Tariff Final Sale</t>
        </is>
      </c>
      <c r="J132" s="911" t="inlineStr">
        <is>
          <t>mousse-cool-biker-shorts</t>
        </is>
      </c>
    </row>
    <row r="133" ht="56" customHeight="1" s="229">
      <c r="A133" s="912" t="inlineStr">
        <is>
          <t>Mousse Cool Medium Support Leggings</t>
        </is>
      </c>
      <c r="B133" s="913" t="inlineStr">
        <is>
          <t>Active</t>
        </is>
      </c>
      <c r="C133" s="914" t="n">
        <v>89</v>
      </c>
      <c r="D133" s="914" t="n">
        <v>89</v>
      </c>
      <c r="E133" s="913" t="inlineStr"/>
      <c r="F133" s="915" t="inlineStr">
        <is>
          <t>Stay cool and comfortable on the move with our Mouse Cool Medium Support Leggings. Made from a lighter, cooler version of our best-selling Mousse fabric, these leggings are a supportive choice for any activity. Fit tip: if you're in between sizes, we recommend sizing up.</t>
        </is>
      </c>
      <c r="G133" s="916" t="inlineStr">
        <is>
          <t>• Mousse Cool features enhanced moisture-wicking properties and is cool to the touch. • High-waisted and ankle-length, with reflective details for safety in low-light conditions. • Features two side pockets and elegant curved seams to enhance hip shape.</t>
        </is>
      </c>
      <c r="H133" s="917" t="inlineStr">
        <is>
          <t>62% Polyamide, 38% Spandex • Care instructions: For best results, hand wash with like colors in cold water</t>
        </is>
      </c>
      <c r="I133" s="918" t="inlineStr">
        <is>
          <t>24.4.5, 24SS, Activity_Active/Gym, Activity_Active/Outdoor, Activity_Active/Running, Activity_Active/Yoga, Category_Active, Category_Active/Leggings, mousse, Tariff Final Sale</t>
        </is>
      </c>
      <c r="J133" s="919" t="inlineStr">
        <is>
          <t>mousse-cool-medium-support-leggings</t>
        </is>
      </c>
    </row>
    <row r="134" ht="28" customHeight="1" s="229">
      <c r="A134" s="904" t="inlineStr">
        <is>
          <t>Ballet Wide Leg Pants</t>
        </is>
      </c>
      <c r="B134" s="905" t="inlineStr">
        <is>
          <t>Active</t>
        </is>
      </c>
      <c r="C134" s="906" t="n">
        <v>125</v>
      </c>
      <c r="D134" s="906" t="n">
        <v>87.5</v>
      </c>
      <c r="E134" s="956" t="inlineStr">
        <is>
          <t>Yes</t>
        </is>
      </c>
      <c r="F134" s="907" t="inlineStr">
        <is>
          <t>Stride in style in the Ballet Wide Leg Pants. This stylish silhouette is ready to move with you, whether on your way to a workout or all weekend long.</t>
        </is>
      </c>
      <c r="G134" s="908" t="inlineStr">
        <is>
          <t>• Wide leg design features a front pleat for a touch of elegant tailoring. Can be worn on their own or layered over leggings. • Made from a moisture-wicking material to keep skin cool, dry, and comfortable. • Features side pockets. Size M inseam is 29.8".</t>
        </is>
      </c>
      <c r="H134" s="909" t="inlineStr">
        <is>
          <t>83% polyester, 17% Spandex; Waistband: 83% Polyamide, 17% Spandex • Care instructions: For best results, wash and dry according to instructions on the care label</t>
        </is>
      </c>
      <c r="I134" s="910" t="inlineStr">
        <is>
          <t>24.3.15, 24SS, 25DEC 30OFF, 25DEC SALE, Activity_Active/Ballet&amp;Dance, Category_Active, Category_Active/Joggers, HR-CX, no-returns, Tariff Final Sale</t>
        </is>
      </c>
      <c r="J134" s="911" t="inlineStr">
        <is>
          <t>ballet-wide-leg-pants</t>
        </is>
      </c>
    </row>
    <row r="135" ht="42" customHeight="1" s="229">
      <c r="A135" s="912" t="inlineStr">
        <is>
          <t>Breeze Shorts</t>
        </is>
      </c>
      <c r="B135" s="913" t="inlineStr">
        <is>
          <t>Active</t>
        </is>
      </c>
      <c r="C135" s="914" t="n">
        <v>79</v>
      </c>
      <c r="D135" s="914" t="n">
        <v>55.3</v>
      </c>
      <c r="E135" s="955" t="inlineStr">
        <is>
          <t>Yes</t>
        </is>
      </c>
      <c r="F135" s="915" t="inlineStr">
        <is>
          <t>Embrace your next adventure in these Breeze Shorts, made for exploration and movement. The lightweight fabric and modern silhouette will keep you stylish, cool, and dry as you move through your day.</t>
        </is>
      </c>
      <c r="G135" s="916" t="inlineStr">
        <is>
          <t>• Quick-dry fabric is cool to the touch, wind resistant, and water repellant. • Features side pockets, elastic waistband, and drawstrings at the waist Size M front zipper length is 21". • Front pleat detail adds structure and dimension. Contrast zipper drawstrings add a pop of color.</t>
        </is>
      </c>
      <c r="H135" s="917" t="inlineStr">
        <is>
          <t>Shell: 94% Polyamide, 6% Spandex; Pocket lining: 86% Polyamide, 14% Spandex. • Care Instructions: For best results, hand wash in cold water and air dry</t>
        </is>
      </c>
      <c r="I135" s="918" t="inlineStr">
        <is>
          <t>24.3.15, 24SS, 25DEC 30OFF, 25DEC SALE, Category_Active, Category_Active/Shorts, Category_Lounge/Bottoms/Elastic, Collection_Breeze, HR-CX, no-returns, Spring Palette, Tariff Final Sale</t>
        </is>
      </c>
      <c r="J135" s="919" t="inlineStr">
        <is>
          <t>breeze-shorts</t>
        </is>
      </c>
    </row>
    <row r="136" ht="42" customHeight="1" s="229">
      <c r="A136" s="904" t="inlineStr">
        <is>
          <t>Ballet Shrug</t>
        </is>
      </c>
      <c r="B136" s="905" t="inlineStr">
        <is>
          <t>Active</t>
        </is>
      </c>
      <c r="C136" s="906" t="n">
        <v>109</v>
      </c>
      <c r="D136" s="906" t="n">
        <v>109</v>
      </c>
      <c r="E136" s="905" t="inlineStr"/>
      <c r="F136" s="907" t="inlineStr">
        <is>
          <t>Cover up in style with our elegant Ballet Shrug. Featuring elevated ribbing and thumb holes to keep sleeves in place, this style will help you stay on point from warm up to cool down.</t>
        </is>
      </c>
      <c r="G136" s="908" t="inlineStr">
        <is>
          <t>• Versatile layering piece that can be worn over sports bras and casual outfits. • Lightweight and wrinkle-resistant material is great for travel. • One-size construction best fits shoulder width 14-15.5" and bust 31.5-34." Back length is 9".</t>
        </is>
      </c>
      <c r="H136" s="909" t="inlineStr">
        <is>
          <t>63% Viscose, 37% Polyamide • Care instructions: Hand wash in cool water. Line dry in the shade. Do not iron</t>
        </is>
      </c>
      <c r="I136" s="910" t="inlineStr">
        <is>
          <t>24.3.15, 24SS, Activity_Active/Ballet&amp;Dance, Category_Active, Category_Active/Outerwear, Category_Active/Tops, Category_Lounge/Knitwear, Tariff Final Sale</t>
        </is>
      </c>
      <c r="J136" s="911" t="inlineStr">
        <is>
          <t>ballet-shrug</t>
        </is>
      </c>
    </row>
    <row r="137" ht="42" customHeight="1" s="229">
      <c r="A137" s="912" t="inlineStr">
        <is>
          <t>NEIWAI ACTIVE X NYCB Mousse Fixed Cup Light Support Sports Bra</t>
        </is>
      </c>
      <c r="B137" s="913" t="inlineStr">
        <is>
          <t>Active</t>
        </is>
      </c>
      <c r="C137" s="914" t="n">
        <v>69</v>
      </c>
      <c r="D137" s="914" t="n">
        <v>69</v>
      </c>
      <c r="E137" s="913" t="inlineStr"/>
      <c r="F137" s="915" t="inlineStr">
        <is>
          <t>Our Mousse Fixed Cup Light Support Sports Bra offers gentle support and lift for yoga, Pilates, and other low-intensity activities. Upgraded with fixed cups, this sports bra provides easy-care comfort and stability for your routine.</t>
        </is>
      </c>
      <c r="G137" s="916" t="inlineStr">
        <is>
          <t>• Made from a soft, moisture-wicking, and breathable fabric blend. • Features fixed cups and non-adjustable V-shaped back straps. • Complete the set: pair with the matching Mousse Light Support Leggings!</t>
        </is>
      </c>
      <c r="H137" s="917" t="inlineStr">
        <is>
          <t>81% Nylon, 19% Spandex. • Care instructions: For best results, hand wash with like colors in cold water</t>
        </is>
      </c>
      <c r="I137" s="918" t="inlineStr">
        <is>
          <t>24.4.5, 24.8.8, 24SS, Activity_Active/Gym, Activity_Active/Outdoor, Activity_Active/Yoga, B1 Sports Bra, Category_Active, Category_Active/Core, Category_Active/Sports Bra, Flexport Stock, mousse, NYCB, Tariff Final Sale, US Inventory</t>
        </is>
      </c>
      <c r="J137" s="919" t="inlineStr">
        <is>
          <t>mousse-fixed-cup-light-support-sports-bra</t>
        </is>
      </c>
    </row>
    <row r="138" ht="42" customHeight="1" s="229">
      <c r="A138" s="928" t="inlineStr">
        <is>
          <t>Silky Knit Tank</t>
        </is>
      </c>
      <c r="B138" s="929" t="inlineStr">
        <is>
          <t>Loungewear</t>
        </is>
      </c>
      <c r="C138" s="930" t="n">
        <v>79</v>
      </c>
      <c r="D138" s="930" t="n">
        <v>79</v>
      </c>
      <c r="E138" s="929" t="inlineStr"/>
      <c r="F138" s="931" t="inlineStr">
        <is>
          <t>The sophisticated Silky Knit Tank is a versatile layer that can be dressed up or down. The ribbed texture and mulberry silk-blend add a touch of luxury to this versatile top.</t>
        </is>
      </c>
      <c r="G138" s="932" t="inlineStr">
        <is>
          <t>• U-shaped front and back neckline makes for easy layering. • Ribbed texture adds dimension and an elongating effect. Size M is 22" in length. • Made from smooth, skin-friendly fabric blend.</t>
        </is>
      </c>
      <c r="H138" s="933" t="inlineStr">
        <is>
          <t>61% Lyocell, 30% Viscose, 6% Cotton, 3% Mulberry Silk • Care instructions: For best results, hand wash in cool water using gentle detergent and dry flat</t>
        </is>
      </c>
      <c r="I138" s="934" t="inlineStr">
        <is>
          <t>24.2.9, 24SS, Category_Lounge, Category_Lounge/Knitwear, Category_Lounge/Tees&amp;Tanks, Category_Lounge/Tops, Fabric_Lounge/Silk, Feature_Best Seller, Flexport Stock, Tariff Final Sale, US Inventory</t>
        </is>
      </c>
      <c r="J138" s="935" t="inlineStr">
        <is>
          <t>silky-knit-tank</t>
        </is>
      </c>
    </row>
    <row r="139" ht="56" customHeight="1" s="229">
      <c r="A139" s="896" t="inlineStr">
        <is>
          <t>Silky Knit Joggers</t>
        </is>
      </c>
      <c r="B139" s="897" t="inlineStr">
        <is>
          <t>Loungewear</t>
        </is>
      </c>
      <c r="C139" s="898" t="n">
        <v>129</v>
      </c>
      <c r="D139" s="898" t="n">
        <v>129</v>
      </c>
      <c r="E139" s="897" t="inlineStr"/>
      <c r="F139" s="899" t="inlineStr">
        <is>
          <t>Elevate your loungewear game with these Silky Knit Joggers. The sleek design and mulberry silk-blend will help you feel stylish and sophisticated even when you're relaxing at home. Fit tip: If you are in between sizes, we recommend sizing down.</t>
        </is>
      </c>
      <c r="G139" s="900" t="inlineStr">
        <is>
          <t>• Features drawstring waistband and side pockets. • Free of side leg seams, ensuring a smooth and comfortable fit. Size M is 39" in length. • Joggers taper to ankle cuffs for a sleek silhouette.</t>
        </is>
      </c>
      <c r="H139" s="901" t="inlineStr">
        <is>
          <t>57% Lyocell, 30% Viscose, 8% Cotton, 5% Mulberry Silk • Care instructions: For best results, hand wash in cool water using gentle detergent and dry flat</t>
        </is>
      </c>
      <c r="I139" s="902" t="inlineStr">
        <is>
          <t>24.2.9, 24SS, Category_Lounge, Category_Lounge/Bottoms/Elastic, Category_Lounge/Knitwear, Category_Lounge/Pants, Fabric_Lounge/Silk, Feature_Best Seller, Tariff Final Sale</t>
        </is>
      </c>
      <c r="J139" s="903" t="inlineStr">
        <is>
          <t>silky-knit-joggers</t>
        </is>
      </c>
    </row>
    <row r="140" ht="56" customHeight="1" s="229">
      <c r="A140" s="928" t="inlineStr">
        <is>
          <t>Silky Knit Hoodie</t>
        </is>
      </c>
      <c r="B140" s="929" t="inlineStr">
        <is>
          <t>Loungewear</t>
        </is>
      </c>
      <c r="C140" s="930" t="n">
        <v>145</v>
      </c>
      <c r="D140" s="930" t="n">
        <v>145</v>
      </c>
      <c r="E140" s="929" t="inlineStr"/>
      <c r="F140" s="931" t="inlineStr">
        <is>
          <t>Experience the ultimate in luxe comfort with our Silky Knit Hoodie. Whether you're enjoying a lazy day or running errands, this mulberry silk-blend hoodie will become a closet staple. Fit tip: If you are in between sizes, we recommend sizing down.</t>
        </is>
      </c>
      <c r="G140" s="932" t="inlineStr">
        <is>
          <t>• Zip up hoodie features side pockets and drop shoulder design for a relaxed silhouette. • Airy knit texture adds breathability and stretch. Size M is 23.6" in length. • A versatile layering piece for travel, lounging, and transitional weather.</t>
        </is>
      </c>
      <c r="H140" s="933" t="inlineStr">
        <is>
          <t>58% Lyocell, 31% Viscose, 6% Cotton, 5% Mulberry Silk • Care instructions: For best results, hand wash in cool water using gentle detergent and dry flat</t>
        </is>
      </c>
      <c r="I140" s="934" t="inlineStr">
        <is>
          <t>24.2.9, 24SS, Category_Lounge, Category_Lounge/Knitwear, Category_Lounge/Outerwear, Category_Lounge/Tops, Fabric_Lounge/Silk, Feature_Best Seller, Flexport Stock, Tariff Final Sale, US Inventory</t>
        </is>
      </c>
      <c r="J140" s="935" t="inlineStr">
        <is>
          <t>silky-knit-hoodie</t>
        </is>
      </c>
    </row>
    <row r="141" ht="42" customHeight="1" s="229">
      <c r="A141" s="896" t="inlineStr">
        <is>
          <t>Low-Rise Trousers</t>
        </is>
      </c>
      <c r="B141" s="897" t="inlineStr">
        <is>
          <t>Loungewear</t>
        </is>
      </c>
      <c r="C141" s="898" t="n">
        <v>209</v>
      </c>
      <c r="D141" s="898" t="n">
        <v>146.3</v>
      </c>
      <c r="E141" s="957" t="inlineStr">
        <is>
          <t>Yes</t>
        </is>
      </c>
      <c r="F141" s="899" t="inlineStr">
        <is>
          <t>Exude sophistication and ease in these luxurious Low-Rise Trousers. The relaxed fit and elevated texture can dress up your favorite T-shirt or round out a more formal outfit.</t>
        </is>
      </c>
      <c r="G141" s="900" t="inlineStr">
        <is>
          <t>• Low-rise trousers with front fly closure designed to rest at the hip. • Wide leg silhouette, elongating vertical back seams, and soft wave-textured fabric makes for easy styling. • Features side pockets. Size M inseam is 29", front rise is 10.5".</t>
        </is>
      </c>
      <c r="H141" s="901" t="inlineStr">
        <is>
          <t>Shell: 90 % Lyocell, 10% Polyamide; lining: 100% Polyester • Care instructions: For best results, hand wash in cold water and line dry. Do not bleach, iron, or dry clean</t>
        </is>
      </c>
      <c r="I141" s="902" t="inlineStr">
        <is>
          <t>24.2.9, 24SS, 25DEC 30OFF, 25DEC SALE, Category_Lounge, Category_Lounge/Bottoms/Non-Elastic, Category_Lounge/Pants, Collection_Valentine, Flexport Stock, HR-CX, no-returns, Tariff Final Sale, US Inventory</t>
        </is>
      </c>
      <c r="J141" s="903" t="inlineStr">
        <is>
          <t>low-rise-trousers</t>
        </is>
      </c>
    </row>
    <row r="142" ht="42" customHeight="1" s="229">
      <c r="A142" s="880" t="inlineStr">
        <is>
          <t>Pure Comfort Premium Jacquard Bra</t>
        </is>
      </c>
      <c r="B142" s="881" t="inlineStr">
        <is>
          <t>Underwear</t>
        </is>
      </c>
      <c r="C142" s="882" t="n">
        <v>79</v>
      </c>
      <c r="D142" s="882" t="n">
        <v>79</v>
      </c>
      <c r="E142" s="881" t="inlineStr"/>
      <c r="F142" s="883" t="inlineStr">
        <is>
          <t>Embrace elevated comfort with the Pure Comfort Premium Jacquard Bra. Made from a skin-friendly jacquard fabric, this bra features thoughtfully-shaped cups for stable all-day support.</t>
        </is>
      </c>
      <c r="G142" s="884" t="inlineStr">
        <is>
          <t>• Triangle fixed cups provide medium support and are easy to care for. • Subtle jacquard texture and mesh cup outline provides natural shaping and an elegant finish. • Adjustable straps and back clasp closure for a customizable fit.</t>
        </is>
      </c>
      <c r="H142" s="885" t="inlineStr">
        <is>
          <t>47% Modal, 42% Polyamide, 11% Spandex; Lining: 45% Modal, 31% Cotton, 24% Spandex. • Care instructions: Hand wash in cold water, lay flat to dry</t>
        </is>
      </c>
      <c r="I142" s="886" t="inlineStr">
        <is>
          <t>23SS A3 Size Bra, 24.2.9, 24SS, Category_Bras/Everyday, Category_Bras/Medium Support, Category_Underwear, Category_Underwear/Tops/Wireless Bra, Collection_Pure Comfort, Tariff Final Sale</t>
        </is>
      </c>
      <c r="J142" s="887" t="inlineStr">
        <is>
          <t>pure-comfort-premium-jacquard-bra</t>
        </is>
      </c>
    </row>
    <row r="143" ht="42" customHeight="1" s="229">
      <c r="A143" s="928" t="inlineStr">
        <is>
          <t>Satin Pajama Set</t>
        </is>
      </c>
      <c r="B143" s="929" t="inlineStr">
        <is>
          <t>Loungewear</t>
        </is>
      </c>
      <c r="C143" s="930" t="n">
        <v>125</v>
      </c>
      <c r="D143" s="930" t="n">
        <v>87.5</v>
      </c>
      <c r="E143" s="936" t="inlineStr">
        <is>
          <t>Yes</t>
        </is>
      </c>
      <c r="F143" s="931" t="inlineStr">
        <is>
          <t>Experience the smoothness of silk without the complicated care. The Satin Pajama Set will brighten your lounge wardrobe with an easy-care fabric that is luxurious to the touch.</t>
        </is>
      </c>
      <c r="G143" s="932" t="inlineStr">
        <is>
          <t>• Set includes matching short sleeve top and shorts - an effortless set that you won't want to change out of . • Tailored from a US-made fabric that is resistant to wrinkles, pilling, and static electricity. Size M top is 25.2" and shorts are 16.5" in length. • Top features an accent button along back neckline. Shorts feature elastic waistband and side pockets.</t>
        </is>
      </c>
      <c r="H143" s="933" t="inlineStr">
        <is>
          <t>83 % Acetate, 17% Polyester • Care instructions: For best results, hand wash in cool water using gentle detergent and line dry</t>
        </is>
      </c>
      <c r="I143" s="934" t="inlineStr">
        <is>
          <t>24.2.9, 24SS, 25DEC 30OFF, 25DEC SALE, Bundle Collection, Category_Lounge, Category_Lounge/Pajamas &amp; Robes, Category_Lounge/Tops, Collection_Valentine, Flexport Stock, HR-CX, Loungewear Sets, no-returns, Tariff Final Sale, US Inventory</t>
        </is>
      </c>
      <c r="J143" s="935" t="inlineStr">
        <is>
          <t>satin-pajama-set</t>
        </is>
      </c>
    </row>
    <row r="144" ht="42" customHeight="1" s="229">
      <c r="A144" s="904" t="inlineStr">
        <is>
          <t>Breeze Jacket</t>
        </is>
      </c>
      <c r="B144" s="905" t="inlineStr">
        <is>
          <t>Active</t>
        </is>
      </c>
      <c r="C144" s="906" t="n">
        <v>179</v>
      </c>
      <c r="D144" s="906" t="n">
        <v>125.3</v>
      </c>
      <c r="E144" s="956" t="inlineStr">
        <is>
          <t>Yes</t>
        </is>
      </c>
      <c r="F144" s="907" t="inlineStr">
        <is>
          <t>Whether you're traveling or just hanging out, the Breeze Jacket has got you covered. The lightweight fabric and modern silhouette will keep you stylish, cool, and dry as you move through your day.</t>
        </is>
      </c>
      <c r="G144" s="908" t="inlineStr">
        <is>
          <t>• Quick-dry fabric is cool to the touch and wind resistant and water repellant. • Features removable hood, front pockets, and drawstrings at the waist that can be cinched for a custom fit. Size M front zipper length is 21". • Back pleat design adds structure and dimension. Contrast zipper tabs and drawstrings add a pop of color.</t>
        </is>
      </c>
      <c r="H144" s="909" t="inlineStr">
        <is>
          <t>94% Polyamide, 6% Spandex. • Care Instructions: For best results, hand wash in cold water and air dry</t>
        </is>
      </c>
      <c r="I144" s="910" t="inlineStr">
        <is>
          <t>24.3.15, 24SS, 25DEC 30OFF, 25DEC SALE, Category_Active, Category_Active/Tops, Collection_Breeze, HR-CX, no-returns, Spring Palette, Tariff Final Sale</t>
        </is>
      </c>
      <c r="J144" s="911" t="inlineStr">
        <is>
          <t>breeze-jacket</t>
        </is>
      </c>
    </row>
    <row r="145" ht="28" customHeight="1" s="229">
      <c r="A145" s="888" t="inlineStr">
        <is>
          <t>Essential Bandeau Bra 3.0</t>
        </is>
      </c>
      <c r="B145" s="889" t="inlineStr">
        <is>
          <t>Underwear</t>
        </is>
      </c>
      <c r="C145" s="890" t="n">
        <v>55</v>
      </c>
      <c r="D145" s="890" t="n">
        <v>55</v>
      </c>
      <c r="E145" s="889" t="inlineStr"/>
      <c r="F145" s="891" t="inlineStr">
        <is>
          <t>Our best-selling bandeau bra now comes in an upgraded fabric for sleek support that fits invisibly under low-cut tops and dresses.</t>
        </is>
      </c>
      <c r="G145" s="892" t="inlineStr">
        <is>
          <t>• Features removable straps for conversion to a strapless style. • Made from a flexible, breathable poly-Spandex blend for stretch and form-fitting support. • Non-removable chest padding. Back clasp closure with mesh panel for breathability.</t>
        </is>
      </c>
      <c r="H145" s="893" t="inlineStr">
        <is>
          <t>Shell (1): 66% Polyamide, 34% Spandex; Shell (2): 66% Polyamide, 34% Spandex; Mesh: 100% Polyamide; Lining (1): 100% Polyester; Lining (2): 100% Cotton • Care instructions: For best results, hand wash in cold water. Line dry in the shade. Do not iron. Do not tumble dry</t>
        </is>
      </c>
      <c r="I145" s="894" t="inlineStr">
        <is>
          <t>23SS A3 Size Bra, 24.2.9, 24SS, Category_Bras/Medium Support, Category_Bras/Strapless, Category_Underwear, Category_Underwear/Tops/Wireless Bra, Feature_Best Seller, Flexport Stock, Tariff Final Sale, US Inventory</t>
        </is>
      </c>
      <c r="J145" s="895" t="inlineStr">
        <is>
          <t>essential-bandeau-bra-3-0</t>
        </is>
      </c>
    </row>
    <row r="146" ht="28" customHeight="1" s="229">
      <c r="A146" s="912" t="inlineStr">
        <is>
          <t>Mousse Hooded Jacket</t>
        </is>
      </c>
      <c r="B146" s="913" t="inlineStr">
        <is>
          <t>Active</t>
        </is>
      </c>
      <c r="C146" s="914" t="n">
        <v>189</v>
      </c>
      <c r="D146" s="914" t="n">
        <v>132.3</v>
      </c>
      <c r="E146" s="955" t="inlineStr">
        <is>
          <t>Yes</t>
        </is>
      </c>
      <c r="F146" s="915" t="inlineStr">
        <is>
          <t>Say hello to the perfect transitional jacket! The Mousse Hooded Jacket brings flexible, flattering warmth to your daily routine.</t>
        </is>
      </c>
      <c r="G146" s="916" t="inlineStr">
        <is>
          <t>• Tailored fit with an adjustable cinched waistband, thumb holes, and vented back for improved airflow. Works well as a midlayer underneath a shell or vest. • Made from our signature Mousse fabric, featuring a supple microsuede texture and moisture-wicking properties. • Includes two zippered side pockets. Size M is 27.8" in length.</t>
        </is>
      </c>
      <c r="H146" s="917" t="inlineStr">
        <is>
          <t>Shell: 80% Polyester, 20% Spandex; lining: 72% Polyamide, 28% Spandex • Care instructions: Hand wash in cool water. Line dry in the shade. Do not bleach, iron, or dry clean</t>
        </is>
      </c>
      <c r="I146" s="918" t="inlineStr">
        <is>
          <t>24.1.19, 24SS, 25DEC 30OFF, 25DEC SALE, Category_Active, Category_Active/Outerwear, Category_Active/Tops, HR-CX, no-returns, Tariff Final Sale</t>
        </is>
      </c>
      <c r="J146" s="919" t="inlineStr">
        <is>
          <t>mousse-hooded-jacket</t>
        </is>
      </c>
    </row>
    <row r="147" ht="28" customHeight="1" s="229">
      <c r="A147" s="920" t="inlineStr">
        <is>
          <t>Barre Socks</t>
        </is>
      </c>
      <c r="B147" s="921" t="inlineStr">
        <is>
          <t>Accessories</t>
        </is>
      </c>
      <c r="C147" s="922" t="n">
        <v>20</v>
      </c>
      <c r="D147" s="922" t="n">
        <v>20</v>
      </c>
      <c r="E147" s="921" t="inlineStr"/>
      <c r="F147" s="923" t="inlineStr">
        <is>
          <t>Stay en pointe during your workout routine with our Barre Socks! These ballet-inspired grip socks provide stability with a touch of elegance.</t>
        </is>
      </c>
      <c r="G147" s="924" t="inlineStr">
        <is>
          <t>• Toe socks with anti-slip grip on the soles. • Ballet-inspired ankle ties for a refined and secure fit. • Versatile accessory for barre, pilates, and yoga classes, or when you just want some extra stability in daily life.</t>
        </is>
      </c>
      <c r="H147" s="925" t="inlineStr">
        <is>
          <t>Body: 80% Cotton, 17% Nylon, 3% Spandex; Ties: 86% Nylon, 14% Elastane • Care Instructions: For best results, hand wash in cold water. Line dry in the shade. Do not bleach, iron, or dry clean</t>
        </is>
      </c>
      <c r="I147" s="926" t="inlineStr">
        <is>
          <t>24.2.9, 24SS, Activity_Active/Ballet, Category_Active, Category_Active/Accessories, Tariff Final Sale, Womens Socks</t>
        </is>
      </c>
      <c r="J147" s="927" t="inlineStr">
        <is>
          <t>barre-socks</t>
        </is>
      </c>
    </row>
    <row r="148" ht="28" customHeight="1" s="229">
      <c r="A148" s="947" t="inlineStr">
        <is>
          <t>Visor</t>
        </is>
      </c>
      <c r="B148" s="948" t="inlineStr">
        <is>
          <t>Accessories</t>
        </is>
      </c>
      <c r="C148" s="949" t="n">
        <v>35</v>
      </c>
      <c r="D148" s="949" t="n">
        <v>35</v>
      </c>
      <c r="E148" s="948" t="inlineStr"/>
      <c r="F148" s="950" t="inlineStr">
        <is>
          <t>Have fun in the sun while wearing our Visor. This classic design will shield your eyes and keep your hair neatly tucked away so you can focus on your next move.</t>
        </is>
      </c>
      <c r="G148" s="951" t="inlineStr">
        <is>
          <t>• Timeless visor design is easy to style with a variety of outfits. • Features adjustable velcro closure. Circumference: 22.4-23.6" • Perfect for outdoor sports like tennis, golf, and pickleball.</t>
        </is>
      </c>
      <c r="H148" s="952" t="inlineStr">
        <is>
          <t>88% Polyester, 12% Spandex; Lining: 100% Cotton • Care instructions: For best results, hand wash in cool water and air dry</t>
        </is>
      </c>
      <c r="I148" s="953" t="inlineStr">
        <is>
          <t>24.3.15, 24SS, Activity_Active/Tennis, Category_Active/Accessories, Tariff Final Sale</t>
        </is>
      </c>
      <c r="J148" s="954" t="inlineStr">
        <is>
          <t>visor</t>
        </is>
      </c>
    </row>
    <row r="149" ht="28" customHeight="1" s="229">
      <c r="A149" s="904" t="inlineStr">
        <is>
          <t>Cocoon Wide Leg Pants 2.0</t>
        </is>
      </c>
      <c r="B149" s="905" t="inlineStr">
        <is>
          <t>Active</t>
        </is>
      </c>
      <c r="C149" s="906" t="n">
        <v>109</v>
      </c>
      <c r="D149" s="906" t="n">
        <v>76.3</v>
      </c>
      <c r="E149" s="956" t="inlineStr">
        <is>
          <t>Yes</t>
        </is>
      </c>
      <c r="F149" s="907" t="inlineStr">
        <is>
          <t>Elevate your wardrobe with the Cocoon Wide Leg Pants 2.0. This upgraded fan favorite features a flowier, multi-season fabric and zippered side pockets.</t>
        </is>
      </c>
      <c r="G149" s="908" t="inlineStr">
        <is>
          <t>• Pleated wide leg pants with elastic tie waistband. • Features zippered side pockets. • Wide leg, full-length fit. Size M is 42.1" in overall length and 30" in inseam.</t>
        </is>
      </c>
      <c r="H149" s="909" t="inlineStr">
        <is>
          <t>76% cotton, 18% polyester, 6% Spandex • Care instructions: For best results, hand wash in cool water. Line dry in the shade. Do not iron, bleach, or dry clean</t>
        </is>
      </c>
      <c r="I149" s="910" t="inlineStr">
        <is>
          <t>24.1.19, 24SS, 25DEC 30OFF, 25DEC SALE, Category_Active, Category_Active/Joggers, HR-CX, no-returns, Tariff Final Sale</t>
        </is>
      </c>
      <c r="J149" s="911" t="inlineStr">
        <is>
          <t>cocoon-wide-leg-pants-2-0</t>
        </is>
      </c>
    </row>
    <row r="150" ht="42" customHeight="1" s="229">
      <c r="A150" s="880" t="inlineStr">
        <is>
          <t>Shimmer Plunge Bra</t>
        </is>
      </c>
      <c r="B150" s="881" t="inlineStr">
        <is>
          <t>Underwear</t>
        </is>
      </c>
      <c r="C150" s="882" t="n">
        <v>49</v>
      </c>
      <c r="D150" s="882" t="n">
        <v>49</v>
      </c>
      <c r="E150" s="881" t="inlineStr"/>
      <c r="F150" s="883" t="inlineStr">
        <is>
          <t>Dazzle in the perfect balance of style and support with the Shimmer Plunge Bra. A deep V-neck and an innovative pattern of silicone support strips lift and shape without the constraints of underwire.</t>
        </is>
      </c>
      <c r="G150" s="884" t="inlineStr">
        <is>
          <t>• V neckline with adjustable straps, back clasp closure, and fixed cups. • Silicone strips provide medium support and a natural shape. • Made from an Italian fabric that feels like satin, subtly shimmers, and has cooling and moisture-wicking properties.</t>
        </is>
      </c>
      <c r="H150" s="885" t="inlineStr">
        <is>
          <t>Shell: 90% Polyamide, 10% Spandex; Lining: 69% Polyamide, 31% Spandex • Care instructions: For best results, hand wash in cold water and line dry</t>
        </is>
      </c>
      <c r="I150" s="886" t="inlineStr">
        <is>
          <t>23SS A3 Size Bra, 24.2.9, 24SS, Category_Bras/Everyday, Category_Bras/Medium Support, Category_Underwear, Category_Underwear/Tops/Wireless Bra, Collection_Valentine, Feature_Best Seller, Flexport Stock, Tariff Final Sale, US Inventory</t>
        </is>
      </c>
      <c r="J150" s="887" t="inlineStr">
        <is>
          <t>shimmer-plunge-bra</t>
        </is>
      </c>
    </row>
    <row r="151" ht="42" customHeight="1" s="229">
      <c r="A151" s="888" t="inlineStr">
        <is>
          <t>Shimmer Low Waist Brief</t>
        </is>
      </c>
      <c r="B151" s="889" t="inlineStr">
        <is>
          <t>Underwear</t>
        </is>
      </c>
      <c r="C151" s="890" t="n">
        <v>25</v>
      </c>
      <c r="D151" s="890" t="n">
        <v>25</v>
      </c>
      <c r="E151" s="889" t="inlineStr"/>
      <c r="F151" s="891" t="inlineStr">
        <is>
          <t>Add some playful luxury to your everyday wardrobe with our Shimmer Low Waist Brief. With a low-profile design and subtle shimmer fabric, these briefs will bring an elegant boost to your day.</t>
        </is>
      </c>
      <c r="G151" s="892" t="inlineStr">
        <is>
          <t>• Low-waist design layers smoothly under bottoms. • Provides medium bottom coverage. • Made from an Italian fabric that feels like satin, subtly shimmers, and has cooling and moisture-wicking properties.</t>
        </is>
      </c>
      <c r="H151" s="893" t="inlineStr">
        <is>
          <t>Shell: 90% Polyamide, 10% Spandex; Lining: 100% Cotton • Care instructions: For best results, hand wash in cold water and line dry</t>
        </is>
      </c>
      <c r="I151" s="894" t="inlineStr">
        <is>
          <t>2023 XS-XL Briefs, 24.2.9, 24SS, Category_Underwear/Bottoms, Category_Underwear/Bottoms/Panties, Category_Underwear/Bottoms/Panties/Low Waist, Collection_Valentine, Feature_Best Seller, HR-CX, Tariff Final Sale</t>
        </is>
      </c>
      <c r="J151" s="895" t="inlineStr">
        <is>
          <t>shimmer-low-waist-brief</t>
        </is>
      </c>
    </row>
    <row r="152" ht="42" customHeight="1" s="229">
      <c r="A152" s="880" t="inlineStr">
        <is>
          <t>Shimmer Scoop Bra</t>
        </is>
      </c>
      <c r="B152" s="881" t="inlineStr">
        <is>
          <t>Underwear</t>
        </is>
      </c>
      <c r="C152" s="882" t="n">
        <v>49</v>
      </c>
      <c r="D152" s="882" t="n">
        <v>49</v>
      </c>
      <c r="E152" s="881" t="inlineStr"/>
      <c r="F152" s="883" t="inlineStr">
        <is>
          <t>Channel your inner Parisian with the Shimmer Scoop Bra. Featuring French-inspired long triangle cups, this bra provides gentle support in a luxurious shimmer fabric.</t>
        </is>
      </c>
      <c r="G152" s="884" t="inlineStr">
        <is>
          <t>• Scoop neckline with adjustable straps, back clasp closure, and thin fixed cups. • Provides light support and layers easily under low-cut tops and dresses. • Made from an Italian fabric that feels like satin, subtly shimmers, and has cooling and moisture-wicking properties.</t>
        </is>
      </c>
      <c r="H152" s="885" t="inlineStr">
        <is>
          <t>Shell: 90% Polyamide, 10% Spandex; Lining: 71% Polyamide, 29% Spandex • Care instructions: For best results, hand wash in cold water and line dry</t>
        </is>
      </c>
      <c r="I152" s="886" t="inlineStr">
        <is>
          <t>23SS A3 Size Bra, 24.2.9, 24SS, Category_Bras/Bralettes, Category_Bras/Everyday, Category_Bras/Light Support, Category_Underwear, Category_Underwear/Tops/Wireless Bra, Collection_Valentine, Feature_Best Seller, Flexport Stock, US Inventory, US Main</t>
        </is>
      </c>
      <c r="J152" s="887" t="inlineStr">
        <is>
          <t>shimmer-scoop-bra</t>
        </is>
      </c>
    </row>
    <row r="153" ht="56" customHeight="1" s="229">
      <c r="A153" s="912" t="inlineStr">
        <is>
          <t>Ballet High Neck Bra Top</t>
        </is>
      </c>
      <c r="B153" s="913" t="inlineStr">
        <is>
          <t>Active</t>
        </is>
      </c>
      <c r="C153" s="914" t="n">
        <v>85</v>
      </c>
      <c r="D153" s="914" t="n">
        <v>59.5</v>
      </c>
      <c r="E153" s="955" t="inlineStr">
        <is>
          <t>Yes</t>
        </is>
      </c>
      <c r="F153" s="915" t="inlineStr">
        <is>
          <t>Embrace soft support in the Ballet High Neck Bra Top, an elegant piece sure to become a wardrobe staple. This versatile bra top supports your full range of motion and seamlessly transtions to post-workout activities. Fit tip: If you're in between sizes, we recommend sizing up.</t>
        </is>
      </c>
      <c r="G153" s="916" t="inlineStr">
        <is>
          <t>• Features molded cups for stable, fuss-free support. Thin double straps cross in the back to create a beautiful shape while providing lift. • Made from a soft cloud-like fabric that features sweat-wicking and quick-dry technologies. • Gathering detail adds subtle chest definition. Features longer length for easy layering and styling, doubling as a supportive camisole. Size M is 10.3" in length.</t>
        </is>
      </c>
      <c r="H153" s="917" t="inlineStr">
        <is>
          <t>Outer: 81% Polyamide, 19% Spandex; Lining: 100% Polyester • Care instructions: For best results, hand wash in cold water and air dry</t>
        </is>
      </c>
      <c r="I153" s="918" t="inlineStr">
        <is>
          <t>24.3.15, 24SS, 25DEC 30OFF, 25DEC SALE, Activity_Active/Ballet&amp;Dance, B1 Sports Bra, Category_Active, Category_Active/Sports Bra, HR-CX, no-returns, Tariff Final Sale</t>
        </is>
      </c>
      <c r="J153" s="919" t="inlineStr">
        <is>
          <t>ballet-high-neck-bra-top</t>
        </is>
      </c>
    </row>
    <row r="154" ht="42" customHeight="1" s="229">
      <c r="A154" s="896" t="inlineStr">
        <is>
          <t>Ribbed Boucl√© Tank</t>
        </is>
      </c>
      <c r="B154" s="897" t="inlineStr">
        <is>
          <t>Loungewear</t>
        </is>
      </c>
      <c r="C154" s="898" t="n">
        <v>99</v>
      </c>
      <c r="D154" s="898" t="n">
        <v>69.3</v>
      </c>
      <c r="E154" s="957" t="inlineStr">
        <is>
          <t>Yes</t>
        </is>
      </c>
      <c r="F154" s="899" t="inlineStr">
        <is>
          <t>This refined Ribbed Boucl√© Tank is the perfect addition to any spring wardrobe. Made from an elevated cotton boucl√© knit, this tank is easy to layer and style for a casual yet sophisticated look.</t>
        </is>
      </c>
      <c r="G154" s="900" t="inlineStr">
        <is>
          <t>• Features higher neckline and coverage under arms, providing an elegant silhouette. • Ribbed knit adds texture and dimension . • Can easily be dressed up or down. Size M is 21.6" in length.</t>
        </is>
      </c>
      <c r="H154" s="901" t="inlineStr">
        <is>
          <t>77% Cotton, 23% Polyamide • Care instructions: For best results, hand wash in cool water using gentle detergent and line dry</t>
        </is>
      </c>
      <c r="I154" s="902" t="inlineStr">
        <is>
          <t>24.2.9, 24SS, 25DEC 30OFF, 25DEC SALE, Category_Lounge, Category_Lounge/Tees&amp;Tanks, Category_Lounge/Tops, Fabric_Lounge/Cotton, HR-CX, no-returns, Tariff Final Sale</t>
        </is>
      </c>
      <c r="J154" s="903" t="inlineStr">
        <is>
          <t>ribbed-boucle-tank</t>
        </is>
      </c>
    </row>
    <row r="155" ht="28" customHeight="1" s="229">
      <c r="A155" s="920" t="inlineStr">
        <is>
          <t>Mesh Hairband</t>
        </is>
      </c>
      <c r="B155" s="921" t="inlineStr">
        <is>
          <t>Accessories</t>
        </is>
      </c>
      <c r="C155" s="922" t="n">
        <v>19</v>
      </c>
      <c r="D155" s="922" t="n">
        <v>19</v>
      </c>
      <c r="E155" s="921" t="inlineStr"/>
      <c r="F155" s="923" t="inlineStr">
        <is>
          <t>With a light and airy design, this mesh hairband will gently keep your locks in place while you're on the move.</t>
        </is>
      </c>
      <c r="G155" s="924" t="inlineStr">
        <is>
          <t>• Made from flexible and breathable mesh fabric. • Circumference: 18"; Width: 5.5" • Easy to match with most workout gear, but pairs perfectly with our Ballet collection.</t>
        </is>
      </c>
      <c r="H155" s="925" t="inlineStr">
        <is>
          <t>65% Polyamide, 35% Spandex • Care instructions: For best results, wash and dry according to instructions on the care label</t>
        </is>
      </c>
      <c r="I155" s="926" t="inlineStr">
        <is>
          <t>24.2.9, 24SS, Activity_Active/Ballet&amp;Dance, Category_Active, Category_Active/Accessories, Mesh Hairband, Tariff Final Sale</t>
        </is>
      </c>
      <c r="J155" s="927" t="inlineStr">
        <is>
          <t>mesh-hairband</t>
        </is>
      </c>
    </row>
    <row r="156" ht="42" customHeight="1" s="229">
      <c r="A156" s="947" t="inlineStr">
        <is>
          <t>Performance Socks - 3 Pack</t>
        </is>
      </c>
      <c r="B156" s="948" t="inlineStr">
        <is>
          <t>Accessories</t>
        </is>
      </c>
      <c r="C156" s="949" t="n">
        <v>20</v>
      </c>
      <c r="D156" s="949" t="n">
        <v>20</v>
      </c>
      <c r="E156" s="948" t="inlineStr"/>
      <c r="F156" s="950" t="inlineStr">
        <is>
          <t>Refresh your sock drawer with these low-rise staples. Made from a blend of long-staple cotton and LYCRA¬Æ, these socks are designed to keep you grounded while you're on the go.</t>
        </is>
      </c>
      <c r="G156" s="951" t="inlineStr">
        <is>
          <t>• Ankle tab provides extra coverage to prevent rubbing from shoes. • Fabric has anti-pilling properties and features a special knit pattern to help the feet grip footwear. • Multi-pack is great for stocking up and gifting.</t>
        </is>
      </c>
      <c r="H156" s="952" t="inlineStr">
        <is>
          <t>74% Cotton, 22% Nylon, 4% Spandex • Care Instructions: For best results, hand wash in cold water. Line dry in the shade. Do not bleach, iron, or dry clean</t>
        </is>
      </c>
      <c r="I156" s="953" t="inlineStr">
        <is>
          <t>24.1.19, 24SS, Bundle Collection, Category_Active, Category_Active/Accessories, Womens Socks</t>
        </is>
      </c>
      <c r="J156" s="954" t="inlineStr">
        <is>
          <t>performance-socks-3-pack</t>
        </is>
      </c>
    </row>
    <row r="157" ht="28" customHeight="1" s="229">
      <c r="A157" s="904" t="inlineStr">
        <is>
          <t>Half-Zip Sweatshirt</t>
        </is>
      </c>
      <c r="B157" s="905" t="inlineStr">
        <is>
          <t>Active</t>
        </is>
      </c>
      <c r="C157" s="906" t="n">
        <v>185</v>
      </c>
      <c r="D157" s="906" t="n">
        <v>185</v>
      </c>
      <c r="E157" s="905" t="inlineStr"/>
      <c r="F157" s="907" t="inlineStr">
        <is>
          <t>Warm up in style with the Half-Zip Sweatshirt. Made from a soft yet structured cotton blend, this oversized staple makes layering a breeze.</t>
        </is>
      </c>
      <c r="G157" s="908" t="inlineStr">
        <is>
          <t>• Adjustable zippered neckline keeps out the cold. Zippered side vents help with temperature regulation. • Features kangaroo pockets to keep hands warm and stow belongings. • Model is wearing size S. Size S is 26.7" in length.</t>
        </is>
      </c>
      <c r="H157" s="909" t="inlineStr">
        <is>
          <t>Shell: 76% Cotton, 18% Polyester, 6% Spandex; Ribbed Wrist Cuff: 83% cotton, 17% Spandex • Care instructions: For best results, hand wash in cold water and line dry in the shade. Do not bleach, iron, or dry clean</t>
        </is>
      </c>
      <c r="I157" s="910" t="inlineStr">
        <is>
          <t>24.1.19, 24SS, Category_Active, Category_Active/Outerwear, Category_Active/Tops, Category_Lounge/Sweatshirts, Tariff Final Sale</t>
        </is>
      </c>
      <c r="J157" s="911" t="inlineStr">
        <is>
          <t>half-zip-sweatshirt</t>
        </is>
      </c>
    </row>
    <row r="158" ht="42" customHeight="1" s="229">
      <c r="A158" s="920" t="inlineStr">
        <is>
          <t>Active Convertible Bag</t>
        </is>
      </c>
      <c r="B158" s="921" t="inlineStr">
        <is>
          <t>Accessories</t>
        </is>
      </c>
      <c r="C158" s="922" t="n">
        <v>79</v>
      </c>
      <c r="D158" s="922" t="n">
        <v>79</v>
      </c>
      <c r="E158" s="921" t="inlineStr"/>
      <c r="F158" s="923" t="inlineStr">
        <is>
          <t>Stay organized on the go with our Active Convertible Bag. Featuring water-repellant fabric, zippered pockets, and 2-way straps, it's the perfect accessory for daily adventures.</t>
        </is>
      </c>
      <c r="G158" s="924" t="inlineStr">
        <is>
          <t>• Can be worn as a crossbody or as a shoulder bag. Features adjustable long strap with a cam buckle, which is easier to adjust than a traditional ladder lock buckle. • Main compartment features a magnetic button closure for easy access to contents and interior mesh pocket for organization. • Dimensions: 15.7" x 12.6" x 5.9"</t>
        </is>
      </c>
      <c r="H158" s="925" t="inlineStr">
        <is>
          <t>100% Polyester • Care instructions: Hand wash in cool water and line dry</t>
        </is>
      </c>
      <c r="I158" s="926" t="inlineStr">
        <is>
          <t>24.1.19, 24SS, Active Bag, Category_Active, Category_Active/Accessories</t>
        </is>
      </c>
      <c r="J158" s="927" t="inlineStr">
        <is>
          <t>active-convertible-bag</t>
        </is>
      </c>
    </row>
    <row r="159" ht="28" customHeight="1" s="229">
      <c r="A159" s="912" t="inlineStr">
        <is>
          <t>Crew Neck Sweatshirt</t>
        </is>
      </c>
      <c r="B159" s="913" t="inlineStr">
        <is>
          <t>Active</t>
        </is>
      </c>
      <c r="C159" s="914" t="n">
        <v>125</v>
      </c>
      <c r="D159" s="914" t="n">
        <v>125</v>
      </c>
      <c r="E159" s="913" t="inlineStr"/>
      <c r="F159" s="915" t="inlineStr">
        <is>
          <t>Embrace comfort and polish with the Crew Neck Sweatshirt, a classic silhouette that is easy to dress up or down.</t>
        </is>
      </c>
      <c r="G159" s="916" t="inlineStr">
        <is>
          <t>• Made from a soft and cozy cotton blend. • Features ribbed details at wrists and collar. • Size M is 21.3" in length.</t>
        </is>
      </c>
      <c r="H159" s="917" t="inlineStr">
        <is>
          <t>Shell: 76% Cotton, 18% Polyester, 6% Spandex; Ribbed Wrist Cuff: 83% cotton, 17% Spandex • Care instructions: For best results, hand wash in cold water and line dry in the shade. Do not bleach, iron, or dry clean</t>
        </is>
      </c>
      <c r="I159" s="918" t="inlineStr">
        <is>
          <t>24.1.19, 24SS, Category_Active, Category_Active/Outerwear, Category_Active/Tops, Category_Lounge/Sweatshirts, Tariff Final Sale</t>
        </is>
      </c>
      <c r="J159" s="919" t="inlineStr">
        <is>
          <t>crew-neck-sweatshirt</t>
        </is>
      </c>
    </row>
    <row r="160" ht="42" customHeight="1" s="229">
      <c r="A160" s="928" t="inlineStr">
        <is>
          <t>Knot Cardigan</t>
        </is>
      </c>
      <c r="B160" s="929" t="inlineStr">
        <is>
          <t>Loungewear</t>
        </is>
      </c>
      <c r="C160" s="930" t="n">
        <v>269</v>
      </c>
      <c r="D160" s="930" t="n">
        <v>269</v>
      </c>
      <c r="E160" s="929" t="inlineStr"/>
      <c r="F160" s="931" t="inlineStr">
        <is>
          <t>Welcome the new year in our festive Knot Cardigan. Inspired by traditional Chinese fashion, this cropped wool-blend sweater features a unique frog button accent.</t>
        </is>
      </c>
      <c r="G160" s="932" t="inlineStr">
        <is>
          <t>• Cropped cardigan with single-button closure. • Made from a fluffy and warm wool blend. • Modern silhouette is easy to dress up or dress down.</t>
        </is>
      </c>
      <c r="H160" s="933" t="inlineStr">
        <is>
          <t>90% wool, 10% polyamide • Care instructions: Professional dry cleaning recommended</t>
        </is>
      </c>
      <c r="I160" s="934" t="inlineStr">
        <is>
          <t>23.12.22, 24SS, Category_Lounge, Category_Lounge/Outerwear, Category_Lounge/Tops, Collection_Valentine, Fabric_Lounge/Cashmere &amp; Wool, Tariff Final Sale</t>
        </is>
      </c>
      <c r="J160" s="935" t="inlineStr">
        <is>
          <t>knot-cardigan</t>
        </is>
      </c>
    </row>
    <row r="161" ht="28" customHeight="1" s="229">
      <c r="A161" s="888" t="inlineStr">
        <is>
          <t>Cooling Briefs (3-Pack)</t>
        </is>
      </c>
      <c r="B161" s="889" t="inlineStr">
        <is>
          <t>Underwear</t>
        </is>
      </c>
      <c r="C161" s="890" t="n">
        <v>39</v>
      </c>
      <c r="D161" s="890" t="n">
        <v>39</v>
      </c>
      <c r="E161" s="889" t="inlineStr"/>
      <c r="F161" s="891" t="inlineStr">
        <is>
          <t>Lightweight and breathable, these briefs help you stay cool all day while remaining invisible under bottoms.</t>
        </is>
      </c>
      <c r="G161" s="892" t="inlineStr">
        <is>
          <t>• Unique grid-textured fabric provides a high air permeability rate of 930 mm/s, making them great as active underwear. • Easy to care for with quick-drying properties • Mid rise, full bottom coverage. Invisible seam finishes along waistband and leg openings provide a barely-there fit under clothes.</t>
        </is>
      </c>
      <c r="H161" s="893" t="inlineStr">
        <is>
          <t>67% Polyamide, 33% Spandex; lining: 100% Cotton • Care instructions: For best results, hand wash in cool water using gentle detergent and line dry</t>
        </is>
      </c>
      <c r="I161" s="894" t="inlineStr">
        <is>
          <t>23 XS-XL Briefs, 24.1.19, 24SS, Bundle Collection, Category_Underwear, Category_Underwear/Bottoms, Category_Underwear/Bottoms/Panties, Category_Underwear/Bottoms/Panties/Mid Waist, HR-CX, Tariff Final Sale</t>
        </is>
      </c>
      <c r="J161" s="895" t="inlineStr">
        <is>
          <t>cooling-briefs-3-pack</t>
        </is>
      </c>
    </row>
    <row r="162" ht="28" customHeight="1" s="229">
      <c r="A162" s="958" t="inlineStr">
        <is>
          <t>Men's Cooling Briefs (3-Pack)</t>
        </is>
      </c>
      <c r="B162" s="959" t="inlineStr">
        <is>
          <t>Men</t>
        </is>
      </c>
      <c r="C162" s="960" t="n">
        <v>39</v>
      </c>
      <c r="D162" s="960" t="n">
        <v>39</v>
      </c>
      <c r="E162" s="959" t="inlineStr"/>
      <c r="F162" s="961" t="inlineStr">
        <is>
          <t>Lightweight and breathable, these briefs help you stay cool all day while remaining invisible under bottoms.</t>
        </is>
      </c>
      <c r="G162" s="962" t="inlineStr">
        <is>
          <t>• Unique stripe-textured fabric provides a high air permeability rate of 981 mm/s, making them great as active underwear. • Easy to care for with quick-drying properties • No side seams and invisible-finish waistband seams provide a barely-there fit under clothes.</t>
        </is>
      </c>
      <c r="H162" s="963" t="inlineStr">
        <is>
          <t>67% Polyamide, 33% Spandex; lining: 100% Cotton • Care instructions: For best results, hand wash in cool water using gentle detergent and line dry</t>
        </is>
      </c>
      <c r="I162" s="964" t="inlineStr">
        <is>
          <t>24.1.19, 24SS, Bundle Collection, Category_Men, Category_Men/Underwear, HR-CX, Tariff Final Sale</t>
        </is>
      </c>
      <c r="J162" s="965" t="inlineStr">
        <is>
          <t>mens-cooling-briefs-3-pack</t>
        </is>
      </c>
    </row>
    <row r="163" ht="56" customHeight="1" s="229">
      <c r="A163" s="896" t="inlineStr">
        <is>
          <t>Boundless Wool Hoodie</t>
        </is>
      </c>
      <c r="B163" s="897" t="inlineStr">
        <is>
          <t>Loungewear</t>
        </is>
      </c>
      <c r="C163" s="898" t="n">
        <v>199</v>
      </c>
      <c r="D163" s="898" t="n">
        <v>99.5</v>
      </c>
      <c r="E163" s="957" t="inlineStr">
        <is>
          <t>Yes</t>
        </is>
      </c>
      <c r="F163" s="899" t="inlineStr">
        <is>
          <t>Warmth and comfort never go out of style. Introducing the Boundless Wool Hoodie - a timeless pullover hoodie made from a fine wool cashmere blend to keep you warm and stylish in the cooler months! This item is final sale and cannot be returned or exchanged.</t>
        </is>
      </c>
      <c r="G163" s="900" t="inlineStr">
        <is>
          <t>• Pull-over style, long sleeves, elastic waist &amp; cuffs. Attached hood. • A classic style made from a blend of the finest wool &amp; cashmere. • Pairs perfectly with our Boundless Sweatpants!</t>
        </is>
      </c>
      <c r="H163" s="901" t="inlineStr">
        <is>
          <t>87% wool, 13% cashmere • Care instructions: Professionally dry-cleaning recommended</t>
        </is>
      </c>
      <c r="I163" s="902" t="inlineStr">
        <is>
          <t>21FW 9.24, 21Winter Sale, Category_Lounge, Category_Lounge/Knitwear, Category_Lounge/Sweaters&amp;Outerwear, Category_Lounge/Sweatshirts, Category_Lounge/Tops, Fabric_Lounge/Cashmere &amp; Wool, hide-bis, no-returns, Sale</t>
        </is>
      </c>
      <c r="J163" s="903" t="inlineStr">
        <is>
          <t>boundless-wool-hoodie</t>
        </is>
      </c>
    </row>
    <row r="164" ht="56" customHeight="1" s="229">
      <c r="A164" s="904" t="inlineStr">
        <is>
          <t>Flare Bib Snow Pants</t>
        </is>
      </c>
      <c r="B164" s="905" t="inlineStr">
        <is>
          <t>Active</t>
        </is>
      </c>
      <c r="C164" s="906" t="n">
        <v>325</v>
      </c>
      <c r="D164" s="906" t="n">
        <v>325</v>
      </c>
      <c r="E164" s="905" t="inlineStr"/>
      <c r="F164" s="907" t="inlineStr">
        <is>
          <t>Stay cozy and dry on any mountainside ‚Äî the Flare Bib Snow Pants from are designed for the full range of motion needed for skiing and snowboarding, featuring a waterproof, windproof Dermizax‚Ñ¢ outer layer and YKK AquaGuard waterproof zippers to keep out the cold.</t>
        </is>
      </c>
      <c r="G164" s="908" t="inlineStr">
        <is>
          <t>• Three-layer Dermizax‚Ñ¢ outer layer and mesh inner layer for breathability. Front zipper fly for easy on and off. Adjustable straps for a custom fit. Zippered front pockets. • Inseam Lengths: Size XS - 29.8"; Size S - 30.2"; Size M- 30.6"; Size L - 30.9". High-waisted adjustable Velcro waistband. Flared legs to accommodate snow boots, with metal hooks to attach to snowboards. Zippered side vents provide ventilation. • Pairs with the matching Down Ski Jacket and layers perfectly over our Wool Seamless Mock Neck Top and Ski Leggings .</t>
        </is>
      </c>
      <c r="H164" s="909" t="inlineStr">
        <is>
          <t>shell: 86% nylon, 14% Spandex; lining 1: 100% nylon; lining 2 : 100% polyester; mesh: 100% polyester • Care instructions: Hand wash in cool water. Line dry in the shade. Do not iron</t>
        </is>
      </c>
      <c r="I164" s="910" t="inlineStr">
        <is>
          <t>23.10.6, 23.9.29, 23aw, Activity_Active/Outdoor, Activity_Active/Snow, Category_Active, Category_Active/Outerwear, Flexport Stock, US Main</t>
        </is>
      </c>
      <c r="J164" s="911" t="inlineStr">
        <is>
          <t>flare-bib-snow-pants</t>
        </is>
      </c>
    </row>
    <row r="165" ht="70" customHeight="1" s="229">
      <c r="A165" s="912" t="inlineStr">
        <is>
          <t>Down Ski Jacket</t>
        </is>
      </c>
      <c r="B165" s="913" t="inlineStr">
        <is>
          <t>Active</t>
        </is>
      </c>
      <c r="C165" s="914" t="n">
        <v>365</v>
      </c>
      <c r="D165" s="914" t="n">
        <v>365</v>
      </c>
      <c r="E165" s="913" t="inlineStr"/>
      <c r="F165" s="915" t="inlineStr">
        <is>
          <t>Keeping your core warm is key to cold-weather comfort and peak performance on the slopes ‚Äî the Down Ski Jacket features a waterproof, windproof Dermizax‚Ñ¢ outer layer and a drill-proof fleece inner layer for ultimate heat retention. Fit tip: If you're in between sizes, we recommend sizing down due to the boxy, slightly oversized nature of the jacket top.</t>
        </is>
      </c>
      <c r="G165" s="916" t="inlineStr">
        <is>
          <t>• Three-layer construction featuring Dermizax‚Ñ¢ outer layer (featuring waterproof rating of 20,000 mm and up), down filler, and fleece inner later keep you warm and comfortable all day. • Double-layered, water-resistant hem hugs the waist to prevent snow and cold from getting in while also accentuating the waistline. Adjustable Velcro cuffs for a custom fit. Pull-tab zippers for ease of use with gloves. • High neckline allows you to tuck in your chin for extra warmth.</t>
        </is>
      </c>
      <c r="H165" s="917" t="inlineStr">
        <is>
          <t>shell: 86% nylon, 14% Spandex; lining: 100% nylon; rib: 98% nylon, 2% Spandex; pockets: 87% polyester, 13% Spandex; filler: white duck down; filler content: 85% • Care instructions: Hand wash in cool water. Line dry in the shade. Do not iron</t>
        </is>
      </c>
      <c r="I165" s="918" t="inlineStr">
        <is>
          <t>23.10.6, 23aw, Activity_Active/Outdoor, Activity_Active/Snow, Category_Active, Category_Active/Outerwear, Category_Active/Tops, Flexport Stock, US Main</t>
        </is>
      </c>
      <c r="J165" s="919" t="inlineStr">
        <is>
          <t>down-ski-jacket</t>
        </is>
      </c>
    </row>
    <row r="166" ht="56" customHeight="1" s="229">
      <c r="A166" s="904" t="inlineStr">
        <is>
          <t>Down Vest</t>
        </is>
      </c>
      <c r="B166" s="905" t="inlineStr">
        <is>
          <t>Active</t>
        </is>
      </c>
      <c r="C166" s="906" t="n">
        <v>225</v>
      </c>
      <c r="D166" s="906" t="n">
        <v>157.5</v>
      </c>
      <c r="E166" s="956" t="inlineStr">
        <is>
          <t>Yes</t>
        </is>
      </c>
      <c r="F166" s="907" t="inlineStr">
        <is>
          <t>Keeping your core warm is key to cold-weather comfort and peak performance on the slopes ‚Äî the Down Vest from our Ski Resort Collection is windproof, water resistant, and features an inner layer of drill-proof fleece for extra heat retention.</t>
        </is>
      </c>
      <c r="G166" s="908" t="inlineStr">
        <is>
          <t>• Sleek hip-length design with detachable hood. • Features adjustable drawstrings for a custom fit. • L ayers perfectly over our Wool Seamless Mock Neck Top and Ski Leggings .</t>
        </is>
      </c>
      <c r="H166" s="909" t="inlineStr">
        <is>
          <t>shell: 100% polyester; lining 1: 100% nylon; lining 2: 88% polyester, 12% Spandex; filler: white duck down; filler content: 85% • Care instructions: Hand wash in cool water. Line dry in the shade. Do not iron</t>
        </is>
      </c>
      <c r="I166" s="910" t="inlineStr">
        <is>
          <t>23.10.6, 23.9.29, 23aw, 25JulySale, Activity_Active/Outdoor, Activity_Active/Snow, Category_Active, Category_Active/Outerwear, Category_Active/Tops, no-returns, Tariff Final Sale</t>
        </is>
      </c>
      <c r="J166" s="911" t="inlineStr">
        <is>
          <t>down-vest</t>
        </is>
      </c>
    </row>
    <row r="167" ht="42" customHeight="1" s="229">
      <c r="A167" s="880" t="inlineStr">
        <is>
          <t>Women's Briefs Gift Set</t>
        </is>
      </c>
      <c r="B167" s="881" t="inlineStr">
        <is>
          <t>Underwear</t>
        </is>
      </c>
      <c r="C167" s="882" t="n">
        <v>30</v>
      </c>
      <c r="D167" s="882" t="n">
        <v>21</v>
      </c>
      <c r="E167" s="937" t="inlineStr">
        <is>
          <t>Yes</t>
        </is>
      </c>
      <c r="F167" s="883" t="inlineStr">
        <is>
          <t>New Year, New Comfort! This set includes three mid-waist women's briefs in a limited-edition red ‚Äî the perfect holiday gift for a bold, comfortable fit that will last all year.</t>
        </is>
      </c>
      <c r="G167" s="884" t="inlineStr">
        <is>
          <t>• Classic mid-waist cut for full coverage and a seamless fit. • Made from a soft blend complete with 100% cotton lining. • Arrives in a festive, ready-to-gift box!</t>
        </is>
      </c>
      <c r="H167" s="885" t="inlineStr">
        <is>
          <t>66% nylon, 34% Spandex; lining: 100% cotton • Care instructions: For best results, hand wash and line dry in the shade. Do not iron</t>
        </is>
      </c>
      <c r="I167" s="886" t="inlineStr">
        <is>
          <t>23 XS-XL Briefs, 23.9.29, 23aw, 25JulySale, Bundle Collection, Category_Lingerie/Brief, Category_Lingerie/Brief/Mid Waist, Category_Underwear, Category_Underwear/Bottoms, Category_Underwear/Bottoms/Panties/Mid Waist, Collection_Valentine, Feature_Best Seller, HR-CX, no-returns</t>
        </is>
      </c>
      <c r="J167" s="887" t="inlineStr">
        <is>
          <t>womens-briefs-gift-set</t>
        </is>
      </c>
    </row>
    <row r="168" ht="42" customHeight="1" s="229">
      <c r="A168" s="912" t="inlineStr">
        <is>
          <t>Ski Leggings</t>
        </is>
      </c>
      <c r="B168" s="913" t="inlineStr">
        <is>
          <t>Active</t>
        </is>
      </c>
      <c r="C168" s="914" t="n">
        <v>109</v>
      </c>
      <c r="D168" s="914" t="n">
        <v>76.3</v>
      </c>
      <c r="E168" s="955" t="inlineStr">
        <is>
          <t>Yes</t>
        </is>
      </c>
      <c r="F168" s="915" t="inlineStr">
        <is>
          <t>Versatile comfort on and off the slopes ‚Äî the Ski Leggings from our Ski Resort Collection are lightweight and warm, designed for mobility layered warm in cold environments.</t>
        </is>
      </c>
      <c r="G168" s="916" t="inlineStr">
        <is>
          <t>• Adjustable waistband. Features high-visibility stripes and side pockets for phone or accessories. • Cut from a performance Spandex blend optimized for maximum flexibility. • Pairs with the matching Wool Seamless Mock Neck Top and layers perfectly with our Down Vest.</t>
        </is>
      </c>
      <c r="H168" s="917" t="inlineStr">
        <is>
          <t>86% polyester, 14% Spandex • Care instructions: Hand wash in cool water. Line dry in the shade. Do not iron</t>
        </is>
      </c>
      <c r="I168" s="918" t="inlineStr">
        <is>
          <t>23.10.6, 23.9.29, 23aw, 25JulySale, Activity_Active/Jogging, Activity_Active/Outdoor, Activity_Active/Snow, Category_Active, Category_Active/Leggings, Flexport Stock, no-returns, Tariff Final Sale</t>
        </is>
      </c>
      <c r="J168" s="919" t="inlineStr">
        <is>
          <t>ski-leggings</t>
        </is>
      </c>
    </row>
    <row r="169" ht="42" customHeight="1" s="229">
      <c r="A169" s="938" t="inlineStr">
        <is>
          <t>Men's Briefs Gift Set</t>
        </is>
      </c>
      <c r="B169" s="939" t="inlineStr">
        <is>
          <t>Men</t>
        </is>
      </c>
      <c r="C169" s="940" t="n">
        <v>35</v>
      </c>
      <c r="D169" s="940" t="n">
        <v>24.5</v>
      </c>
      <c r="E169" s="941" t="inlineStr">
        <is>
          <t>Yes</t>
        </is>
      </c>
      <c r="F169" s="942" t="inlineStr">
        <is>
          <t>New Year, New Comfort! This set includes three men's boxer briefs in a limited-edition red ‚Äî the perfect holiday gift for a bold, comfortable fit that will last all year.</t>
        </is>
      </c>
      <c r="G169" s="943" t="inlineStr">
        <is>
          <t>• Classic no-line boxer briefs with a reinforced waistband and plenty of stretch. • Made from carbon-zero TENCEL‚Ñ¢Ô∏è Modal blend. • Arrives in a festive, ready-to-gift box!</t>
        </is>
      </c>
      <c r="H169" s="944" t="inlineStr">
        <is>
          <t>91% TENCEL‚Ñ¢Ô∏è Modal, 9% Spandex • Care instructions: Machine wash cold on a gentle cycle. Line dry in the shade. Do not iron</t>
        </is>
      </c>
      <c r="I169" s="945" t="inlineStr">
        <is>
          <t>23.9.29, 23aw, 25JulySale, Bundle Collection, Category_Men, Category_Men/Underwear, Collection_Valentine, Feature_Best Seller, HR-CX, no-returns</t>
        </is>
      </c>
      <c r="J169" s="946" t="inlineStr">
        <is>
          <t>mens-briefs-gift-set</t>
        </is>
      </c>
    </row>
    <row r="170" ht="42" customHeight="1" s="229">
      <c r="A170" s="904" t="inlineStr">
        <is>
          <t>Wool Seamless Mock Neck Top</t>
        </is>
      </c>
      <c r="B170" s="905" t="inlineStr">
        <is>
          <t>Active</t>
        </is>
      </c>
      <c r="C170" s="906" t="n">
        <v>109</v>
      </c>
      <c r="D170" s="906" t="n">
        <v>76.3</v>
      </c>
      <c r="E170" s="956" t="inlineStr">
        <is>
          <t>Yes</t>
        </is>
      </c>
      <c r="F170" s="907" t="inlineStr">
        <is>
          <t>Stay cozy on the slopes ‚Äî the Wool Seamless Mock Neck Shirt from our Ski Resort Collection is made from a performance wool blend to be the ideal base layer for ultimate cold-weather comfort.</t>
        </is>
      </c>
      <c r="G170" s="908" t="inlineStr">
        <is>
          <t>• Cut for a close fit with extra long sleeves that go right into your gloves to minimize gaps and exposure of the skin to the chill mountain air. • Knit from an elastic wool blend optimized for heat retention with strategically placed mesh for breathability as you get moving. • Pairs with the matching Ski Leggings and layers perfectly with our Down Vest.</t>
        </is>
      </c>
      <c r="H170" s="909" t="inlineStr">
        <is>
          <t>40% wool, 37% nylon, 19% polyester, 4% Spandex • Care instructions: Hand wash in cool water. Dry flat in the shade. Iron on low heat</t>
        </is>
      </c>
      <c r="I170" s="910" t="inlineStr">
        <is>
          <t>23.10.6, 23.9.29, 23aw, 25JulySale, Activity_Active/Outdoor, Activity_Active/Snow, Category_Active, Category_Active/Tops, no-returns, Tariff Final Sale</t>
        </is>
      </c>
      <c r="J170" s="911" t="inlineStr">
        <is>
          <t>wool-seamless-mock-neck-top</t>
        </is>
      </c>
    </row>
    <row r="171" ht="28" customHeight="1" s="229">
      <c r="A171" s="888" t="inlineStr">
        <is>
          <t>Barely Zero Fixed Cup Wavy Bra Gift Set</t>
        </is>
      </c>
      <c r="B171" s="889" t="inlineStr">
        <is>
          <t>Underwear</t>
        </is>
      </c>
      <c r="C171" s="890" t="n">
        <v>65</v>
      </c>
      <c r="D171" s="890" t="n">
        <v>65</v>
      </c>
      <c r="E171" s="889" t="inlineStr"/>
      <c r="F171" s="891" t="inlineStr">
        <is>
          <t>New Year, New Comfort! This festive, ready-to-gift set includes one Barely Zero Fixed Cup Wavy Bra &amp; Low Waist Brief in a limited-edition red.</t>
        </is>
      </c>
      <c r="G171" s="892" t="inlineStr">
        <is>
          <t>• The Barely Zero Fixed Cup Wavy Bra c omfortably fits a wide range of sizes. Features non-removable Bisous Cups‚Ñ¢ for secure support and Flo Support‚Ñ¢ technology to improve breathability and skin comfort. • The Barely Zero Low Waist Brief features a size-adaptive full-coverage cut and 100% cotton lining. • Made from CloudFit: a soft, ultra-elastic blend that's breathable &amp; moisture-wicking for all-day skin comfort.</t>
        </is>
      </c>
      <c r="H171" s="893" t="inlineStr">
        <is>
          <t>Bra: outer: 67% CloudFit nylon blend, 33% Spandex; cup lining: 86% polyester, 14% Spandex . Brief: 68% CloudFit nylon blend, 32% Spandex; lining: 100% cotton</t>
        </is>
      </c>
      <c r="I171" s="894" t="inlineStr">
        <is>
          <t>23.9.29, 23aw, Bundle Collection, Category_Underwear/Tops/Wireless Bra, Collection_Barely Zero, Collection_Barely Zero/Bras, Collection_Barely Zero/Underwear, Collection_Valentine, Feature_Best Seller, HR-CX, Tariff Final Sale, US Inventory</t>
        </is>
      </c>
      <c r="J171" s="895" t="inlineStr">
        <is>
          <t>barely-zero-fixed-cup-wavy-bra-gift-set</t>
        </is>
      </c>
    </row>
    <row r="172" ht="28" customHeight="1" s="229">
      <c r="A172" s="880" t="inlineStr">
        <is>
          <t>Barely Zero Plunge Bra Gift Set</t>
        </is>
      </c>
      <c r="B172" s="881" t="inlineStr">
        <is>
          <t>Underwear</t>
        </is>
      </c>
      <c r="C172" s="882" t="n">
        <v>55</v>
      </c>
      <c r="D172" s="882" t="n">
        <v>55</v>
      </c>
      <c r="E172" s="881" t="inlineStr"/>
      <c r="F172" s="883" t="inlineStr">
        <is>
          <t>New Year, New Comfort! This festive, ready-to-gift set includes one Barely Zero Plunge Bra &amp; Low Waist Brief in a limited-edition red.</t>
        </is>
      </c>
      <c r="G172" s="884" t="inlineStr">
        <is>
          <t>• The one-size Barely Zero Plunge Bra c omfortably fits a wide range of bra sizes and f eatures fixed cups and a no-slip silicone blend to prevent shifting throughout the day. Features a lower neckline ideal for low-cut tops. • The Barely Zero Low Waist Brief features a size-adaptive full-coverage cut and 100% cotton lining. • Made from CloudFit: a soft, ultra-elastic blend that's breathable &amp; moisture-wicking for all-day skin comfort.</t>
        </is>
      </c>
      <c r="H172" s="885" t="inlineStr">
        <is>
          <t>Bra: 67% CloudFit nylon blend, 33% Spandex ; Brief: 68% CloudFit nylon blend, 32% Spandex; lining: 100% cotton</t>
        </is>
      </c>
      <c r="I172" s="886" t="inlineStr">
        <is>
          <t>23.9.29, 23aw, Bundle Collection, Category_Underwear/Tops/Wireless Bra, Collection_Barely Zero, Collection_Barely Zero/Bras, Collection_Barely Zero/Underwear, Collection_Valentine, Feature_Best Seller, Flexport Stock, HR-CX, Plunge Gift Set, US Inventory</t>
        </is>
      </c>
      <c r="J172" s="887" t="inlineStr">
        <is>
          <t>barely-zero-plunge-bra-gift-set</t>
        </is>
      </c>
    </row>
    <row r="173" ht="28" customHeight="1" s="229">
      <c r="A173" s="888" t="inlineStr">
        <is>
          <t>Barely Zero Spaghetti Strap Bra Gift Set</t>
        </is>
      </c>
      <c r="B173" s="889" t="inlineStr">
        <is>
          <t>Underwear</t>
        </is>
      </c>
      <c r="C173" s="890" t="n">
        <v>55</v>
      </c>
      <c r="D173" s="890" t="n">
        <v>55</v>
      </c>
      <c r="E173" s="889" t="inlineStr"/>
      <c r="F173" s="891" t="inlineStr">
        <is>
          <t>New Year, New Comfort! T his festive, ready-to-gift set includes a one-size Barely Zero Spaghetti Strap Wireless Bra &amp; Low Waist Brief in a limited-edition red.</t>
        </is>
      </c>
      <c r="G173" s="892" t="inlineStr">
        <is>
          <t>• The Barely Zero Spaghetti Strap Wireless Bra c omfortably fits a wide range of bra sizes, making it the ultimate bra for nursing, fluctuating weight, and easy gifting. Features r emovable chest padding and t ailored for a close, comfortable fit that doesn't dig in or show lines, even under tight clothing! • The Barely Zero Low Waist Brief features a size-adaptive full-coverage cut and 100% cotton lining. • Made from CloudFit: a soft, ultra-elastic blend that's breathable &amp; moisture-wicking for all-day skin comfort.</t>
        </is>
      </c>
      <c r="H173" s="893" t="inlineStr">
        <is>
          <t>Bra: 68% CloudFit nylon blend, 32% Spandex; Brief: 68% CloudFit nylon blend, 32% Spandex; lining: 100% cotton</t>
        </is>
      </c>
      <c r="I173" s="894" t="inlineStr">
        <is>
          <t>23.9.29, 23aw, Bundle Collection, BZ Spaghetti Set, Category_Underwear/Tops/Wireless Bra, Collection_Barely Zero, Collection_Barely Zero/Bras, Collection_Barely Zero/Underwear, Feature_Best Seller, HR-CX, US Inventory, US Main</t>
        </is>
      </c>
      <c r="J173" s="895" t="inlineStr">
        <is>
          <t>barely-zero-spaghetti-strap-bra-gift-set</t>
        </is>
      </c>
    </row>
    <row r="174" ht="42" customHeight="1" s="229">
      <c r="A174" s="912" t="inlineStr">
        <is>
          <t>Active Wool Knee Socks</t>
        </is>
      </c>
      <c r="B174" s="913" t="inlineStr">
        <is>
          <t>Active</t>
        </is>
      </c>
      <c r="C174" s="914" t="n">
        <v>19</v>
      </c>
      <c r="D174" s="914" t="n">
        <v>13.3</v>
      </c>
      <c r="E174" s="955" t="inlineStr">
        <is>
          <t>Yes</t>
        </is>
      </c>
      <c r="F174" s="915" t="inlineStr">
        <is>
          <t>The top of a black diamond is no place for cold feet ‚Äî these Active Wool Knee Socks will earn their place in your sock drawer as they keep you warm all winter long, on and off the slope.</t>
        </is>
      </c>
      <c r="G174" s="916" t="inlineStr">
        <is>
          <t>• Over-the-calf socks with reinforced toes and heels for durability and comfort run after run. • Knit from a cozy performance blend of sheep's wool and synthetic fibers. • Available in two easy-match colors that are versatile for daily wear.</t>
        </is>
      </c>
      <c r="H174" s="917" t="inlineStr">
        <is>
          <t>37% acrylic, 45% wool, 24% nylon, 4% Spandex • Care Instructions: For best results, hand wash in cold water. Lay flat to dry. Do not iron</t>
        </is>
      </c>
      <c r="I174" s="918" t="inlineStr">
        <is>
          <t>23.9.8, 23AW, 25JulySale, Activity_Active/Outdoor, Activity_Active/Snow, Category_Active, Category_Active/Accessories, Category_Lounge/Accessories, no-returns, Tariff Final Sale, Womens Socks</t>
        </is>
      </c>
      <c r="J174" s="919" t="inlineStr">
        <is>
          <t>active-wool-knee-socks</t>
        </is>
      </c>
    </row>
    <row r="175" ht="42" customHeight="1" s="229">
      <c r="A175" s="928" t="inlineStr">
        <is>
          <t>Teddy Fleece Jacket</t>
        </is>
      </c>
      <c r="B175" s="929" t="inlineStr">
        <is>
          <t>Loungewear</t>
        </is>
      </c>
      <c r="C175" s="930" t="n">
        <v>95</v>
      </c>
      <c r="D175" s="930" t="n">
        <v>66.5</v>
      </c>
      <c r="E175" s="936" t="inlineStr">
        <is>
          <t>Yes</t>
        </is>
      </c>
      <c r="F175" s="931" t="inlineStr">
        <is>
          <t>Just like Teddy, you won't want to leave home without this piece. Our Teddy Fleece Jacket is the perfect blend of cute, cozy, and comfortable and your new favorite outer layer this fall season.</t>
        </is>
      </c>
      <c r="G175" s="932" t="inlineStr">
        <is>
          <t>• Long cozy sleeves with chic color-contrasted hemlines. • Features button closure and functional pockets. Double-sided for extra warmth. Size M is 29.6" in length. • Tailored in machine-washable antistatic teddy fleece in two neutral autumn colors.</t>
        </is>
      </c>
      <c r="H175" s="933" t="inlineStr">
        <is>
          <t>100% polyester • Care instructions: Machine wash on a gentle cycle. Dry flat in the shade. Do not iron</t>
        </is>
      </c>
      <c r="I175" s="934" t="inlineStr">
        <is>
          <t>23.9.8, 23AW, 25JulySale, Category_Lounge, Category_Lounge/Outerwear, Category_Lounge/Tops, no-returns, Tariff Final Sale, US Inventory</t>
        </is>
      </c>
      <c r="J175" s="935" t="inlineStr">
        <is>
          <t>teddy-fleece-jacket</t>
        </is>
      </c>
    </row>
    <row r="176" ht="42" customHeight="1" s="229">
      <c r="A176" s="904" t="inlineStr">
        <is>
          <t>Dance Wool Wrap Cardigan</t>
        </is>
      </c>
      <c r="B176" s="905" t="inlineStr">
        <is>
          <t>Active</t>
        </is>
      </c>
      <c r="C176" s="906" t="n">
        <v>179</v>
      </c>
      <c r="D176" s="906" t="n">
        <v>125.3</v>
      </c>
      <c r="E176" s="956" t="inlineStr">
        <is>
          <t>Yes</t>
        </is>
      </c>
      <c r="F176" s="907" t="inlineStr">
        <is>
          <t>Stay warm on your way to class or on casual outings in the Dance Wool Wrap Cardigan ‚Äî the perfect cozy outer layer for your favorite fall fits in and out of the studio.</t>
        </is>
      </c>
      <c r="G176" s="908" t="inlineStr">
        <is>
          <t>• Significantly oversized fit with long sleeves, chic wrap style, and side-tie closure. Model is wearing size S. • Knit from a thick, warm wool blend with a fluffy fleece texture. Size M is 20.5" in length. • A versatile cool weather style for the dance studio, gym, or anywhere on the go.</t>
        </is>
      </c>
      <c r="H176" s="909" t="inlineStr">
        <is>
          <t>89% wool, 11% nylon • Care instructions: Professionally dry clean</t>
        </is>
      </c>
      <c r="I176" s="910" t="inlineStr">
        <is>
          <t>23.9.8, 23AW, 25JulySale, Activity_Active/Ballet, Activity_Active/Ballet&amp;Dance, Category_Active, Category_Active/Ballet, Category_Active/Outerwear, Category_Active/Tops, Category_Lounge/Knitwear, Fabric_Active/Cashmere &amp; Wool, no-returns, Outerwear, Tariff Final Sale</t>
        </is>
      </c>
      <c r="J176" s="911" t="inlineStr">
        <is>
          <t>dance-wool-wrap-cardigan</t>
        </is>
      </c>
    </row>
    <row r="177" ht="42" customHeight="1" s="229">
      <c r="A177" s="896" t="inlineStr">
        <is>
          <t>Crewneck Thermal Set</t>
        </is>
      </c>
      <c r="B177" s="897" t="inlineStr">
        <is>
          <t>Loungewear</t>
        </is>
      </c>
      <c r="C177" s="898" t="n">
        <v>65</v>
      </c>
      <c r="D177" s="898" t="n">
        <v>65</v>
      </c>
      <c r="E177" s="897" t="inlineStr"/>
      <c r="F177" s="899" t="inlineStr">
        <is>
          <t>Whether you're heading to the slopes or cozying up at home, this Crewneck Thermal Set retains your body's natural infrared heat for reliable winter comfort all season long.</t>
        </is>
      </c>
      <c r="G177" s="900" t="inlineStr">
        <is>
          <t>• Rated for 23 to -5 degrees Fahrenheit (-5 to -15 degrees Celsius). Lightweight and flexible so that you stay warm without overheating or restricting movement. • Crew neckline minimizes heat loss from the chest. Bottom hem lies flat for a seamless fit under clothing. Full-length pants for warmth from waist to ankle. Size M top is 22.2" and bottom is 34.1" in length. • Tailored in an antistatic, anti-pilling blend featuring carbon-zero TENCEL‚Ñ¢ Modal for comfort and heat-retaining MIYABI‚Ñ¢ acrylic fibers.</t>
        </is>
      </c>
      <c r="H177" s="901" t="inlineStr">
        <is>
          <t>40% TENCEL‚Ñ¢ Modal, 35% MIYABI‚Ñ¢ acrylic, 19% cupro, 6% LYCRA¬Æ Spandex • Care instructions: For best results, hand wash with like colors in cold water using a neutral detergent. Line dry in the shade. Do not iron</t>
        </is>
      </c>
      <c r="I177" s="902" t="inlineStr">
        <is>
          <t>23.9.8, 23AW, Activity_Active/Snow, Bundle Collection, Category_Lounge, Category_Lounge/Bottoms, Category_Lounge/Bottoms/Elastic, Category_Lounge/Thermal, Category_Lounge/Tops, Category_Underwear/Bottoms/Thermal, Category_Underwear/Tops/Thermal, Fabric_Lounge/Thermal, Fabric_Underwear/Thermal, Feature_Best Seller, Loungewear Sets, Tariff Final Sale, US Inventory</t>
        </is>
      </c>
      <c r="J177" s="903" t="inlineStr">
        <is>
          <t>warm-crewneck-thermal-set</t>
        </is>
      </c>
    </row>
    <row r="178" ht="42" customHeight="1" s="229">
      <c r="A178" s="912" t="inlineStr">
        <is>
          <t>Dance Wrap Bra Top</t>
        </is>
      </c>
      <c r="B178" s="913" t="inlineStr">
        <is>
          <t>Active</t>
        </is>
      </c>
      <c r="C178" s="914" t="n">
        <v>79</v>
      </c>
      <c r="D178" s="914" t="n">
        <v>55.3</v>
      </c>
      <c r="E178" s="955" t="inlineStr">
        <is>
          <t>Yes</t>
        </is>
      </c>
      <c r="F178" s="915" t="inlineStr">
        <is>
          <t>Fashion-forward, feminine, and fully functional, the Dance Wrap Bra Top features a wrap-around design that provides added support as you move through your routine.</t>
        </is>
      </c>
      <c r="G178" s="916" t="inlineStr">
        <is>
          <t>• Active bra tank with chic wrap-around design and removable cups. • Tailored in our signature soft, moisture-wicking Mousse fabric blend designed to stretch and support your every move. • Perfect for yoga, dance, Barre, and low-impact sports.</t>
        </is>
      </c>
      <c r="H178" s="917" t="inlineStr">
        <is>
          <t>outer: 80% nylon, 20% Spandex; inner: 89% nylon, 11% Spandex; mesh: 71% nylon, 29% Spandex • Care instructions: Hand wash with like colors in cold water</t>
        </is>
      </c>
      <c r="I178" s="918" t="inlineStr">
        <is>
          <t>23.9.8, 23AW, 25JulySale, Activity_Active/Ballet, Activity_Active/Ballet&amp;Dance, Activity_Active/Dance, B1 Sports Bra, Category_Active, Category_Active/Ballet, Category_Active/Sports Bra, no-returns, Tariff Final Sale</t>
        </is>
      </c>
      <c r="J178" s="919" t="inlineStr">
        <is>
          <t>dance-wrap-bra-top</t>
        </is>
      </c>
    </row>
    <row r="179" ht="42" customHeight="1" s="229">
      <c r="A179" s="904" t="inlineStr">
        <is>
          <t>Ballet Wool Shirt</t>
        </is>
      </c>
      <c r="B179" s="905" t="inlineStr">
        <is>
          <t>Active</t>
        </is>
      </c>
      <c r="C179" s="906" t="n">
        <v>99</v>
      </c>
      <c r="D179" s="906" t="n">
        <v>99</v>
      </c>
      <c r="E179" s="905" t="inlineStr"/>
      <c r="F179" s="907" t="inlineStr">
        <is>
          <t>Whether it's an outer layer or the centerpiece of your workout fit, this Ballet Wool Shirt's fine wool blend is warm and breathable for maximum comfort as you move and flow indoors and out.</t>
        </is>
      </c>
      <c r="G179" s="908" t="inlineStr">
        <is>
          <t>• Slim cut with a V-neckline, long sleeves, and shrug-inspired shoulders. • Tailored from a Merino wool blend with a ribbed texture and recycled bio-synthetic fibers added for stretch and durability. Size M is 21.9" in length. • Perfect for yoga, dance, and everyday wear.</t>
        </is>
      </c>
      <c r="H179" s="909" t="inlineStr">
        <is>
          <t>72% wool, 19% polyester, 9% Spandex • Care instructions: H and wash with like colors in cold water. Dry flat in the shade. Iron on low heat</t>
        </is>
      </c>
      <c r="I179" s="910" t="inlineStr">
        <is>
          <t>23.9.8, 23AW, Activity_Active/Ballet, Activity_Active/Ballet&amp;Dance, Category_Active, Category_Active/Ballet, Category_Active/Tops, Fabric_Active/Cashmere &amp; Wool, Flexport Stock, Tariff Final Sale, US Inventory</t>
        </is>
      </c>
      <c r="J179" s="911" t="inlineStr">
        <is>
          <t>ballet-wool-shirt</t>
        </is>
      </c>
    </row>
    <row r="180" ht="42" customHeight="1" s="229">
      <c r="A180" s="880" t="inlineStr">
        <is>
          <t>Winged Support Curve Bra</t>
        </is>
      </c>
      <c r="B180" s="881" t="inlineStr">
        <is>
          <t>Underwear</t>
        </is>
      </c>
      <c r="C180" s="882" t="n">
        <v>65</v>
      </c>
      <c r="D180" s="882" t="n">
        <v>65</v>
      </c>
      <c r="E180" s="881" t="inlineStr"/>
      <c r="F180" s="883" t="inlineStr">
        <is>
          <t>Soaring support to help you reach cloud-nine comfort ‚Äî the Winged Support Curve Bra features 3-point wire-free support in each cup for the perfect lift and a comfortable fit for a wide range of chest sizes.</t>
        </is>
      </c>
      <c r="G180" s="884" t="inlineStr">
        <is>
          <t>• Fixed full-coverage no-show cups. A djustable straps for the perfect fit and back-clasp closure for easy on and off. • Shapes and lifts with a p atented 3-point gel design inspired by wings ‚Äî reliable all-day support without constricting metal underwire. • Tailored in a breathable fabric blend.</t>
        </is>
      </c>
      <c r="H180" s="885" t="inlineStr">
        <is>
          <t>shell: 69% nylon, 31% Spandex; cups: 100% polyester • Care instructions: H and wash with like colors in cold water</t>
        </is>
      </c>
      <c r="I180" s="886" t="inlineStr">
        <is>
          <t>23.9.8, 23AW, Band + Cup Bra, Category_Bras/High Support, Category_Bras/Plunge, Category_Underwear, Category_Underwear/Tops, Category_Underwear/Tops/Wireless Bra, Flexport Stock, Tariff Final Sale, US Inventory</t>
        </is>
      </c>
      <c r="J180" s="887" t="inlineStr">
        <is>
          <t>winged-support-curve-bra</t>
        </is>
      </c>
    </row>
    <row r="181" ht="42" customHeight="1" s="229">
      <c r="A181" s="928" t="inlineStr">
        <is>
          <t>Sherpa Fleece Pajama Set</t>
        </is>
      </c>
      <c r="B181" s="929" t="inlineStr">
        <is>
          <t>Loungewear</t>
        </is>
      </c>
      <c r="C181" s="930" t="n">
        <v>79</v>
      </c>
      <c r="D181" s="930" t="n">
        <v>79</v>
      </c>
      <c r="E181" s="929" t="inlineStr"/>
      <c r="F181" s="931" t="inlineStr">
        <is>
          <t>Relaxed, cozy comfort for the cooler months ‚Äî this Sherpa Fleece Pajama Set is the perfect choice for staying warm as you curl up with your favorite book or take a weekend stroll around the neighborhood.</t>
        </is>
      </c>
      <c r="G181" s="932" t="inlineStr">
        <is>
          <t>• Set includes pajama top and pants ‚Äî a plush set for staying warm in cool weather. • Button-up top features pockets for accessories. Pants feature an elastic waistband and cuffed legs. Size M top is 26.8" and bottom is 39.5" in length. • Tailored in double-sided sherpa fleece with antistatic finish.</t>
        </is>
      </c>
      <c r="H181" s="933" t="inlineStr">
        <is>
          <t>body: 100% polyester; ribbing: 58% cotton, 40% polyester, 2% Spandex • Care instructions: Machine wash on a gentle cycle. Dry flat in the shade. Do not iron</t>
        </is>
      </c>
      <c r="I181" s="934" t="inlineStr">
        <is>
          <t>23.8.18, 23AW, Bundle Collection, Category_Lounge, Category_Lounge/Pajamas &amp; Robes, Category_Lounge/Pajamas &amp; Robes/Bottoms, Category_Lounge/Pajamas &amp; Robes/Top, Flexport Stock, Loungewear Sets, US Inventory, US Main</t>
        </is>
      </c>
      <c r="J181" s="935" t="inlineStr">
        <is>
          <t>sherpa-fleece-pajama-set</t>
        </is>
      </c>
    </row>
    <row r="182" ht="42" customHeight="1" s="229">
      <c r="A182" s="912" t="inlineStr">
        <is>
          <t>Ballet Drawstring Leggings</t>
        </is>
      </c>
      <c r="B182" s="913" t="inlineStr">
        <is>
          <t>Active</t>
        </is>
      </c>
      <c r="C182" s="914" t="n">
        <v>129</v>
      </c>
      <c r="D182" s="914" t="n">
        <v>129</v>
      </c>
      <c r="E182" s="913" t="inlineStr"/>
      <c r="F182" s="915" t="inlineStr">
        <is>
          <t>A classic ballet-inspired style, these Ballet Drawstring Leggings are an elegant option that bring a flattering feminine flair to your activities in the gym, dance studio, and daily life.</t>
        </is>
      </c>
      <c r="G182" s="916" t="inlineStr">
        <is>
          <t>• Classic slim-fit ankle-length leggings with a drawstring band that highlights and accentuates your waistline. • Tailored in a moisture-wicking Spandex blend ‚Äî soft, stretchy, and comfortable for any activity. • Pairs perfectly with the matching Ballet Wool Wrap Sweater.</t>
        </is>
      </c>
      <c r="H182" s="917" t="inlineStr">
        <is>
          <t>69% nylon, 31% Spandex • Care instructions: Hand wash in cold water. Line dry in the shade. Do not iron</t>
        </is>
      </c>
      <c r="I182" s="918" t="inlineStr">
        <is>
          <t>23.8.18, 23AW, Activity_Active/Ballet, Activity_Active/Ballet&amp;Dance, Activity_Active/Gym, Activity_Active/Outdoor, Category_Active, Category_Active/Leggings, Flexport Stock, Tariff Final Sale, US Inventory</t>
        </is>
      </c>
      <c r="J182" s="919" t="inlineStr">
        <is>
          <t>ballet-drawstring-leggings</t>
        </is>
      </c>
    </row>
    <row r="183" ht="56" customHeight="1" s="229">
      <c r="A183" s="896" t="inlineStr">
        <is>
          <t>Classic Cozy Padded Pajama Dress</t>
        </is>
      </c>
      <c r="B183" s="897" t="inlineStr">
        <is>
          <t>Loungewear</t>
        </is>
      </c>
      <c r="C183" s="898" t="n">
        <v>109</v>
      </c>
      <c r="D183" s="898" t="n">
        <v>76.3</v>
      </c>
      <c r="E183" s="957" t="inlineStr">
        <is>
          <t>Yes</t>
        </is>
      </c>
      <c r="F183" s="899" t="inlineStr">
        <is>
          <t>A single-piece solution for supreme sleep comfort ‚Äî made from the same zero-carbon TENCEL‚Ñ¢ Modal blend as our best-selling Classic Cozy Pajama Set, this Classic Cozy Padded Pajama Dress is an elevated approach to effortless home comfort.</t>
        </is>
      </c>
      <c r="G183" s="900" t="inlineStr">
        <is>
          <t>• Slim-fit minimalist design with a scoop neck collar and full length sleeves. • Features built-in cups for support and a side slit for mobility. Size M is 40.4" in length. • Made from TENCEL‚Ñ¢ True Carbon Zero Modal blended with cashmere proteins for an enhanced texture.</t>
        </is>
      </c>
      <c r="H183" s="901" t="inlineStr">
        <is>
          <t>42% TENCEL‚Ñ¢ Modal, 28% acrylic, 24% viscose, 6% Spandex • Care instructions: Hand wash in cold water</t>
        </is>
      </c>
      <c r="I183" s="902" t="inlineStr">
        <is>
          <t>23.8.18, 23AW, 25JulySale, CarbonZero, Category_Lounge, Category_Lounge/Dress&amp;Jumpsuit, Category_Lounge/Pajamas &amp; Robes, Category_Lounge/Pajamas &amp; Robes/Dress, Fabric_Lounge/Tencel Modal, no-returns, Spring Palette, Tariff Final Sale</t>
        </is>
      </c>
      <c r="J183" s="903" t="inlineStr">
        <is>
          <t>classic-cozy-padded-pajama-dress</t>
        </is>
      </c>
    </row>
    <row r="184" ht="42" customHeight="1" s="229">
      <c r="A184" s="904" t="inlineStr">
        <is>
          <t>Merino Wool 2-way Beanie</t>
        </is>
      </c>
      <c r="B184" s="905" t="inlineStr">
        <is>
          <t>Active</t>
        </is>
      </c>
      <c r="C184" s="906" t="n">
        <v>35</v>
      </c>
      <c r="D184" s="906" t="n">
        <v>24.5</v>
      </c>
      <c r="E184" s="956" t="inlineStr">
        <is>
          <t>Yes</t>
        </is>
      </c>
      <c r="F184" s="907" t="inlineStr">
        <is>
          <t>An elegant accessory that adds an extra layer of warmth to any outfit? That's a winter weather must-have. From Aspen to Whistler and everywhere in between, this Merino Wool 2-way Beanie is perfect for cozy style all season long.</t>
        </is>
      </c>
      <c r="G184" s="908" t="inlineStr">
        <is>
          <t>• Two neutral colors that complement any outfit. Can be worn cuffed or uncuffed. • Knit from luxuriously warm Merino wool with a touch of synthetic fiber for durability and stretch. • A practical addition to any fall and winter wardrobe ‚Äî especially if you're headed to the slopes.</t>
        </is>
      </c>
      <c r="H184" s="909" t="inlineStr">
        <is>
          <t>96% Merino wool, 3% nylon, 1% Spandex • Care Instructions: Hand wash in cold water. Lay flat to dry. Iron on low heat</t>
        </is>
      </c>
      <c r="I184" s="910" t="inlineStr">
        <is>
          <t>23.9.8, 23AW, 25JulySale, Activity_Active/Outdoor, Activity_Active/Snow, Beanie, Category_Active, Category_Active/Accessories, no-returns, Tariff Final Sale</t>
        </is>
      </c>
      <c r="J184" s="911" t="inlineStr">
        <is>
          <t>merino-wool-2-way-beanie</t>
        </is>
      </c>
    </row>
    <row r="185" ht="42" customHeight="1" s="229">
      <c r="A185" s="928" t="inlineStr">
        <is>
          <t>Padded Thermal Set</t>
        </is>
      </c>
      <c r="B185" s="929" t="inlineStr">
        <is>
          <t>Loungewear</t>
        </is>
      </c>
      <c r="C185" s="930" t="n">
        <v>79</v>
      </c>
      <c r="D185" s="930" t="n">
        <v>79</v>
      </c>
      <c r="E185" s="929" t="inlineStr"/>
      <c r="F185" s="931" t="inlineStr">
        <is>
          <t>The Padded Thermal Set is coziness and support in one easy underlayer, retaining your body's natural infrared heat for cold weather comfort and featuring built-in cups for convenient bra-free support.</t>
        </is>
      </c>
      <c r="G185" s="932" t="inlineStr">
        <is>
          <t>• Rated for 23 to -5 degrees Fahrenheit (-5 to -15 degrees Celsius). Lightweight and flexible so that you stay warm without overheating or restricting movement. • Top features a scoop boat neck collar to stay invisible under other tops. Bottom hem lies flat for a seamless fit under your outer later. Full-length pants for warmth from waist to ankle. Size M top is 15.7" and bottom is 34.8" in length. • Tailored in an antistatic, anti-pilling blend featuring carbon-zero TENCEL‚Ñ¢ Modal for comfort and heat-retaining MIYABI‚Ñ¢ acrylic fibers.</t>
        </is>
      </c>
      <c r="H185" s="933" t="inlineStr">
        <is>
          <t>40% TENCEL‚Ñ¢ Modal, 35% MIYABI‚Ñ¢ acrylic, 19% cupro, 6% LYCRA¬Æ Spandex; cups: 100% polyester • Care instructions: For best results, hand wash with like colors in cold water using a neutral detergent. Line dry in the shade. Do not iron</t>
        </is>
      </c>
      <c r="I185" s="934" t="inlineStr">
        <is>
          <t>23.8.18, 23AW, Activity_Active/Snow, Bundle Collection, Category_Lounge, Category_Lounge/Pants, Category_Lounge/Thermal, Category_Lounge/Tops, Category_Underwear/Bottoms/Thermal, Category_Underwear/Tops/Thermal, Fabric_Lounge/Tencel Modal, Fabric_Lounge/Thermal, Fabric_Underwear/Thermal, Feature_Best Seller, Loungewear Sets, Tariff Final Sale, US Inventory</t>
        </is>
      </c>
      <c r="J185" s="935" t="inlineStr">
        <is>
          <t>padded-thermal-set</t>
        </is>
      </c>
    </row>
    <row r="186" ht="42" customHeight="1" s="229">
      <c r="A186" s="958" t="inlineStr">
        <is>
          <t>Men's Thermal Set</t>
        </is>
      </c>
      <c r="B186" s="959" t="inlineStr">
        <is>
          <t>Men</t>
        </is>
      </c>
      <c r="C186" s="960" t="n">
        <v>45</v>
      </c>
      <c r="D186" s="960" t="n">
        <v>45</v>
      </c>
      <c r="E186" s="959" t="inlineStr"/>
      <c r="F186" s="961" t="inlineStr">
        <is>
          <t>Whether you're out on the slopes or just trying to stay warm on the way to work, this Men's Thermal Set retains your body's natural infrared heat ‚Äî absolutely essential for cold weather comfort.</t>
        </is>
      </c>
      <c r="G186" s="962" t="inlineStr">
        <is>
          <t>• Rated for 23 to -5 degrees Fahrenheit (-5 to -15 degrees Celsius). Lightweight and flexible so that you stay warm without restricting movement or getting too stuffy. • Top features a close-cut crew neckline to minimize heat loss from the chest. Bottom hem lies flat for a seamless fit under other clothing. Full-length pants for warmth from waist to ankle. Size M top is 38.2" and bottom is 37.8" in length. • Tailored in an anti-pilling blend of carbon-zero TENCEL‚Ñ¢ Modal for comfort, heat-retaining MIYABI‚Ñ¢ acrylic fibers, and other fabrics for stretch and stability.</t>
        </is>
      </c>
      <c r="H186" s="963" t="inlineStr">
        <is>
          <t>40% TENCEL‚Ñ¢ Modal, 35% MIYABI‚Ñ¢ acrylic, 19% cupro, 6% Spandex • Care instructions: For best results, hand wash with like colors in cold water using a neutral detergent. Line dry in the shade. Do not iron</t>
        </is>
      </c>
      <c r="I186" s="964" t="inlineStr">
        <is>
          <t>23.8.18, 23AW, Bundle Collection, Category_Men, Category_Men/Bottoms, Category_Men/Tops, Category_Men/Underwear, Fabric_Underwear/Thermal, Tariff Final Sale, US Inventory</t>
        </is>
      </c>
      <c r="J186" s="965" t="inlineStr">
        <is>
          <t>mens-thermal-set</t>
        </is>
      </c>
    </row>
    <row r="187" ht="42" customHeight="1" s="229">
      <c r="A187" s="896" t="inlineStr">
        <is>
          <t>Classic Cozy Long Sleeve Tee</t>
        </is>
      </c>
      <c r="B187" s="897" t="inlineStr">
        <is>
          <t>Loungewear</t>
        </is>
      </c>
      <c r="C187" s="898" t="n">
        <v>55</v>
      </c>
      <c r="D187" s="898" t="n">
        <v>55</v>
      </c>
      <c r="E187" s="897" t="inlineStr"/>
      <c r="F187" s="899" t="inlineStr">
        <is>
          <t>Made from the same zero-carbon TENCEL‚Ñ¢ Modal blend as our best-selling Classic Cozy Pajama Set, this Classic Cozy Long Sleeve Tee doubles as a low-profile lounge shirt and an essential piece of a casual wardrobe.</t>
        </is>
      </c>
      <c r="G187" s="900" t="inlineStr">
        <is>
          <t>• Slim-fit minimalist design with a scoop neck collar and long tapered sleeves. • Made from carbon-zero TENCEL‚Ñ¢ Modal blended with cashmere proteins for an enhanced texture. Size M is 23.1" in length. • Complete the set: this top pairs perfectly with the matching Classic Cozy Pajama Pants.</t>
        </is>
      </c>
      <c r="H187" s="901" t="inlineStr">
        <is>
          <t>42% TENCEL‚Ñ¢ Modal, 28% acrylic, 24% viscose, 6% Spandex • Care instructions: Hand wash in cold water</t>
        </is>
      </c>
      <c r="I187" s="902" t="inlineStr">
        <is>
          <t>23.8.18, 23AW, Bundle Collection, CarbonZero, Category_Lounge, Category_Lounge/Pajamas &amp; Robes, Category_Lounge/Pajamas &amp; Robes/Top, Category_Lounge/Tops, Spring Palette, Tariff Final Sale</t>
        </is>
      </c>
      <c r="J187" s="903" t="inlineStr">
        <is>
          <t>classic-cozy-long-sleeve-tee</t>
        </is>
      </c>
    </row>
    <row r="188" ht="42" customHeight="1" s="229">
      <c r="A188" s="928" t="inlineStr">
        <is>
          <t>Plush Fleece Pajama Set</t>
        </is>
      </c>
      <c r="B188" s="929" t="inlineStr">
        <is>
          <t>Loungewear</t>
        </is>
      </c>
      <c r="C188" s="930" t="n">
        <v>55</v>
      </c>
      <c r="D188" s="930" t="n">
        <v>55</v>
      </c>
      <c r="E188" s="929" t="inlineStr"/>
      <c r="F188" s="931" t="inlineStr">
        <is>
          <t>Effortlessly cute, endlessly comfortable ‚Äî choose this Plush Fleece Pajama Set for cozy evenings at home and casual outings to your favorite caf√©, the perfect way to add a pop of color to your everyday style.</t>
        </is>
      </c>
      <c r="G188" s="932" t="inlineStr">
        <is>
          <t>• Set includes both the pajama top and pants ‚Äî a chic sleep style you can even wear out of the house. • Top features a classic crew collar, drop shoulders, long sleeves, and a playful line pattern. Pants feature an elastic waistband and straight uncuffed legs. Size M top is 26.0" and bottom is 39.8" in length. • Tailored in an antistatic synthetic blend available in two cute colors.</t>
        </is>
      </c>
      <c r="H188" s="933" t="inlineStr">
        <is>
          <t>100% polyester • Care instructions: Hand wash in cold water. Dry flat in the shade. Iron on low heat</t>
        </is>
      </c>
      <c r="I188" s="934" t="inlineStr">
        <is>
          <t>23.8.18, 23AW, Bundle Collection, Category_Lounge, Category_Lounge/Pajamas &amp; Robes, Category_Lounge/Pajamas &amp; Robes/Bottoms, Category_Lounge/Pajamas &amp; Robes/Top, Loungewear Sets</t>
        </is>
      </c>
      <c r="J188" s="935" t="inlineStr">
        <is>
          <t>plush-fleece-pajama-set</t>
        </is>
      </c>
    </row>
    <row r="189" ht="42" customHeight="1" s="229">
      <c r="A189" s="896" t="inlineStr">
        <is>
          <t>Classic Cozy Pajama Shirt</t>
        </is>
      </c>
      <c r="B189" s="897" t="inlineStr">
        <is>
          <t>Loungewear</t>
        </is>
      </c>
      <c r="C189" s="898" t="n">
        <v>89</v>
      </c>
      <c r="D189" s="898" t="n">
        <v>89</v>
      </c>
      <c r="E189" s="897" t="inlineStr"/>
      <c r="F189" s="899" t="inlineStr">
        <is>
          <t>Better sleep never goes out of style ‚Äî designed for better rest in the cooler months, this updated version of our best-selling Classic Cozy Pajama Shirt features an improved TENCEL‚Ñ¢ Modal-based blend in a thicker weave.</t>
        </is>
      </c>
      <c r="G189" s="900" t="inlineStr">
        <is>
          <t>• Classic button-down style with a lay-flat camp collar, functional pocket, and a relaxed, cozy fit. • Made from carbon-zero TENCEL‚Ñ¢ Modal with plant-based cashmere fibers for an enhanced texture ‚Äî a planet-friendly alternative to silk and purely synthetic fabrics. Size M is 25.0" in length. • Complete the set: this top pairs perfectly with the matching Classic Cozy Pajama Pants.</t>
        </is>
      </c>
      <c r="H189" s="901" t="inlineStr">
        <is>
          <t>42% TENCEL‚Ñ¢ Modal, 28% acrylic, 24% viscose, 6% Spandex; buttons: 100% polyester • Care instructions: Hand wash in cold water</t>
        </is>
      </c>
      <c r="I189" s="902" t="inlineStr">
        <is>
          <t>23.8.18, 23AW, CarbonZero, Category_Lounge, Category_Lounge/Pajamas &amp; Robes, Category_Lounge/Pajamas &amp; Robes/Top, Category_Lounge/Tops, Fabric_Lounge/Tencel Modal, Spring Palette, Tariff Final Sale, US Inventory</t>
        </is>
      </c>
      <c r="J189" s="903" t="inlineStr">
        <is>
          <t>classic-cozy-pajama-shirt</t>
        </is>
      </c>
    </row>
    <row r="190" ht="42" customHeight="1" s="229">
      <c r="A190" s="928" t="inlineStr">
        <is>
          <t>Classic Cozy Pajama Pants</t>
        </is>
      </c>
      <c r="B190" s="929" t="inlineStr">
        <is>
          <t>Loungewear</t>
        </is>
      </c>
      <c r="C190" s="930" t="n">
        <v>89</v>
      </c>
      <c r="D190" s="930" t="n">
        <v>89</v>
      </c>
      <c r="E190" s="929" t="inlineStr"/>
      <c r="F190" s="931" t="inlineStr">
        <is>
          <t>Better sleep never goes out of style ‚Äî designed for better rest in the cooler months, this updated version of our best-selling Classic Cozy Pajama Pants features an improved TENCEL‚Ñ¢ Modal-based blend in a thicker weave.</t>
        </is>
      </c>
      <c r="G190" s="932" t="inlineStr">
        <is>
          <t>• A timelessly relaxed, cozy fit. Features a double-layered elastic waistband. • Made from carbon-zero TENCEL‚Ñ¢ Modal blended with cashmere proteins for an enhanced texture. Size M is 39.0" in length. • Complete the set: this top pairs perfectly with the matching Classic Cozy Pajama Shirt.</t>
        </is>
      </c>
      <c r="H190" s="933" t="inlineStr">
        <is>
          <t>42% TENCEL‚Ñ¢ Modal, 28% acrylic, 24% viscose, 6% Spandex • Care instructions: Hand wash in cold water</t>
        </is>
      </c>
      <c r="I190" s="934" t="inlineStr">
        <is>
          <t>23.8.18, 23AW, CarbonZero, Category_Lounge, Category_Lounge/Bottoms/Elastic, Category_Lounge/Pajamas &amp; Robes, Category_Lounge/Pajamas &amp; Robes/Bottoms, Category_Lounge/Pants, Fabric_Lounge/Tencel Modal, Spring Palette, Tariff Final Sale, US Inventory</t>
        </is>
      </c>
      <c r="J190" s="935" t="inlineStr">
        <is>
          <t>classic-cozy-pajama-pants</t>
        </is>
      </c>
    </row>
    <row r="191" ht="42" customHeight="1" s="229">
      <c r="A191" s="912" t="inlineStr">
        <is>
          <t>Ballet Wool Wrap Sweater</t>
        </is>
      </c>
      <c r="B191" s="913" t="inlineStr">
        <is>
          <t>Active</t>
        </is>
      </c>
      <c r="C191" s="914" t="n">
        <v>125</v>
      </c>
      <c r="D191" s="914" t="n">
        <v>125</v>
      </c>
      <c r="E191" s="913" t="inlineStr"/>
      <c r="F191" s="915" t="inlineStr">
        <is>
          <t>This Ballet Wool Wrap Sweater is the perfect outer layer for the dancer on her way to or from the studio. Knit from a warm yet sweat-wicking wool blend in a chic wrap style.</t>
        </is>
      </c>
      <c r="G191" s="916" t="inlineStr">
        <is>
          <t>• Features long sleeves and fixed wrap closure. • Tailored from a breathable blend of wool, synthetic and plant-based fibers. • A versatile ballet-inspired style that pairs perfectly with the matching Ballet Drawstring Leggings.</t>
        </is>
      </c>
      <c r="H191" s="917" t="inlineStr">
        <is>
          <t>46% viscose, 41% nylon, 13% wool • Care instructions: Hand wash in cold water. Lay flat to dry. Iron on low heat</t>
        </is>
      </c>
      <c r="I191" s="918" t="inlineStr">
        <is>
          <t>23.8.18, 23AW, Activity_Active/Ballet, Activity_Active/Ballet&amp;Dance, Category_Active, Category_Active/Ballet, Category_Active/Tops, Category_Lounge/Knitwear, Tariff Final Sale, US Inventory</t>
        </is>
      </c>
      <c r="J191" s="919" t="inlineStr">
        <is>
          <t>ballet-wool-wrap-sweater</t>
        </is>
      </c>
    </row>
    <row r="192" ht="42" customHeight="1" s="229">
      <c r="A192" s="888" t="inlineStr">
        <is>
          <t>Nude Shape Triangle Bra 2.0</t>
        </is>
      </c>
      <c r="B192" s="889" t="inlineStr">
        <is>
          <t>Underwear</t>
        </is>
      </c>
      <c r="C192" s="890" t="n">
        <v>45</v>
      </c>
      <c r="D192" s="890" t="n">
        <v>45</v>
      </c>
      <c r="E192" s="889" t="inlineStr"/>
      <c r="F192" s="891" t="inlineStr">
        <is>
          <t>This newest version of our Nude Shape Triangle Bra is the perfect no-show T-shirt bra, now with an improved fabric blend, molded cups, and a gel band for added support ‚Äî the easy choice for almost any outfit.</t>
        </is>
      </c>
      <c r="G192" s="892" t="inlineStr">
        <is>
          <t>• Classic fixed no-show triangle cups for full support and a seamless look. • Completely wireless. Adjustable spaghetti straps and a gel band for added support. • Made from an imported Italian fabric blend ‚Äî Spandex based for flexibility and moisture-wicking, breathable comfort.</t>
        </is>
      </c>
      <c r="H192" s="893" t="inlineStr">
        <is>
          <t>90% nylon, 10% Spandex; cups: 100% polyester • Care instructions: Hand wash in cold water. Line dry in the shade. Do not iron</t>
        </is>
      </c>
      <c r="I192" s="894" t="inlineStr">
        <is>
          <t>23.8.18, 23AW, Band + Cup Bra, Category_Bras/Medium Support, Category_Underwear, Category_Underwear/Tops, Category_Underwear/Tops/Wireless Bra, Category_Underwear/Tops/Wireless Bra/Seamless, Category_Underwear/Tops/Wireless Bra/Triangle, Flexport Stock, Tariff Final Sale, US Inventory</t>
        </is>
      </c>
      <c r="J192" s="895" t="inlineStr">
        <is>
          <t>nude-shape-triangle-bra-2-0</t>
        </is>
      </c>
    </row>
    <row r="193" ht="42" customHeight="1" s="229">
      <c r="A193" s="938" t="inlineStr">
        <is>
          <t>Men's 80s Modal Briefs (3-Pack)</t>
        </is>
      </c>
      <c r="B193" s="939" t="inlineStr">
        <is>
          <t>Men</t>
        </is>
      </c>
      <c r="C193" s="940" t="n">
        <v>39</v>
      </c>
      <c r="D193" s="940" t="n">
        <v>39</v>
      </c>
      <c r="E193" s="939" t="inlineStr"/>
      <c r="F193" s="942" t="inlineStr">
        <is>
          <t>These Men's 80s Modal Briefs are made from a new and improved TENCEL ‚Ñ¢ Modal blend ‚Äî luxuriously silky-soft and more breathable than ever. This pack contains three boxer briefs.</t>
        </is>
      </c>
      <c r="G193" s="943" t="inlineStr">
        <is>
          <t>• All-day comfort: you'll hardly feel they're there. • No friction or chafing. Super thin for no lines, even in sheer slacks. • Made from our latest blend of T ENCEL ‚Ñ¢ Modal &amp; Spandex to keep skin clean, healthy, and comfortable wear after wear.</t>
        </is>
      </c>
      <c r="H193" s="944" t="inlineStr">
        <is>
          <t>Fabric: 90% TENCEL ‚Ñ¢ Modal, 10% Spandex • Care instructions: Machine wash in cool water and line dry</t>
        </is>
      </c>
      <c r="I193" s="945" t="inlineStr">
        <is>
          <t>23.7.28, 23AW, Bundle Collection, Category_Men, Category_Men/Underwear, HR-CX, Tariff Final Sale</t>
        </is>
      </c>
      <c r="J193" s="946" t="inlineStr">
        <is>
          <t>mens-80s-modal-briefs-3-pack</t>
        </is>
      </c>
    </row>
    <row r="194" ht="42" customHeight="1" s="229">
      <c r="A194" s="958" t="inlineStr">
        <is>
          <t>Men's Performance Briefs (3-Pack)</t>
        </is>
      </c>
      <c r="B194" s="959" t="inlineStr">
        <is>
          <t>Men</t>
        </is>
      </c>
      <c r="C194" s="960" t="n">
        <v>79</v>
      </c>
      <c r="D194" s="960" t="n">
        <v>79</v>
      </c>
      <c r="E194" s="959" t="inlineStr"/>
      <c r="F194" s="961" t="inlineStr">
        <is>
          <t>Made to move in: these Men's Performance Briefs are made from a zero-carbon TENCEL ‚Ñ¢ Modal-based performance blend for absolute skin comfort and breathability in even the most intense workouts.</t>
        </is>
      </c>
      <c r="G194" s="962" t="inlineStr">
        <is>
          <t>• Long design prevents riding up when running, cycling, or other rigorous activity. • Internal mesh structure provides extra support. • Made from a sweat-wicking blend to keep skin clean, dry, and comfortable in motion.</t>
        </is>
      </c>
      <c r="H194" s="963" t="inlineStr">
        <is>
          <t>Fabric: 90% TENCEL ‚Ñ¢ Modal, 10% Spandex • Care instructions: Machine wash in cold water, hang to dry</t>
        </is>
      </c>
      <c r="I194" s="964" t="inlineStr">
        <is>
          <t>23.7.28, 23AW, Bundle Collection, Category_Men, Category_Men/Underwear, HR-CX, Tariff Final Sale</t>
        </is>
      </c>
      <c r="J194" s="965" t="inlineStr">
        <is>
          <t>mens-performance-briefs-3-pack</t>
        </is>
      </c>
    </row>
    <row r="195" ht="42" customHeight="1" s="229">
      <c r="A195" s="896" t="inlineStr">
        <is>
          <t>Cotton Cozy Pajama Set</t>
        </is>
      </c>
      <c r="B195" s="897" t="inlineStr">
        <is>
          <t>Loungewear</t>
        </is>
      </c>
      <c r="C195" s="898" t="n">
        <v>115</v>
      </c>
      <c r="D195" s="898" t="n">
        <v>80.5</v>
      </c>
      <c r="E195" s="957" t="inlineStr">
        <is>
          <t>Yes</t>
        </is>
      </c>
      <c r="F195" s="899" t="inlineStr">
        <is>
          <t>Elevate your sleepwear style with the Cotton Cozy Pajama set. Crafted from a luxurious blend of cotton and TENCEL‚Ñ¢ Modal, these matching PJs offer breathable comfort and easy movement for rest and relaxation.</t>
        </is>
      </c>
      <c r="G195" s="900" t="inlineStr">
        <is>
          <t>• Set includes both the Pajama Top &amp; Pants for easy coordination and gifting. • Top features a chic camp collar, dual front pockets, and color-matched buttons. Pants feature elastic waistband and subtly flared legs. Size M top is 26.8" and bottom is 40.2" in length. • Made from a premium blend of long-staple cotton and TENCEL‚Ñ¢ Modal with Spandex for stretch. A subtle pinstripe texture adds dimension.</t>
        </is>
      </c>
      <c r="H195" s="901" t="inlineStr">
        <is>
          <t>49 % TENCEL‚Ñ¢ Modal , 33% cotton, 18% Spandex • Care instructions: For best results, hand wash in cool water using gentle detergent and line dry</t>
        </is>
      </c>
      <c r="I195" s="902" t="inlineStr">
        <is>
          <t>23.7.28, 23AW, 25Feb Sale, Category_Lounge, Category_Lounge/Pajamas &amp; Robes, cotton cozy, Fabric_Lounge/Cotton, Fabric_Lounge/Tencel Modal, Feature_Best Seller, HR-CX, Loungewear Sets, no-returns, pink collection, Spring Palette, Tariff Final Sale</t>
        </is>
      </c>
      <c r="J195" s="903" t="inlineStr">
        <is>
          <t>cotton-cozy-pajama-set</t>
        </is>
      </c>
    </row>
    <row r="196" ht="42" customHeight="1" s="229">
      <c r="A196" s="928" t="inlineStr">
        <is>
          <t>Cotton Cozy Lounge Pants</t>
        </is>
      </c>
      <c r="B196" s="929" t="inlineStr">
        <is>
          <t>Loungewear</t>
        </is>
      </c>
      <c r="C196" s="930" t="n">
        <v>55</v>
      </c>
      <c r="D196" s="930" t="n">
        <v>38.5</v>
      </c>
      <c r="E196" s="936" t="inlineStr">
        <is>
          <t>Yes</t>
        </is>
      </c>
      <c r="F196" s="931" t="inlineStr">
        <is>
          <t>These Cotton Cozy Lounge Pants are an understated sleep style with a loose fit that make them extra comfy to toss, turn, and snooze in. Tailored in a luxuriously soft blend of cotton and TENCEL‚Ñ¢ Modal.</t>
        </is>
      </c>
      <c r="G196" s="932" t="inlineStr">
        <is>
          <t>• Features an elastic waistband, pockets, cropped legs that fall just above the ankle, and a relaxed yet feminine fit. • Complete the set: this top pairs perfectly with our Cotton Cozy Long Sleeve Shirt. Size M is 37.0" in length. • Made from a premium blend of long-staple cotton and TENCEL‚Ñ¢ Modal with Spandex for stretch. A subtle pinstripe texture adds dimension.</t>
        </is>
      </c>
      <c r="H196" s="933" t="inlineStr">
        <is>
          <t>49 % TENCEL‚Ñ¢ Modal , 33% cotton, 18% Spandex • Care instructions: For best results, hand wash in cool water using gentle detergent and line dry</t>
        </is>
      </c>
      <c r="I196" s="934" t="inlineStr">
        <is>
          <t>23.7.28, 23AW, 25Feb Sale, Category_Lounge, Category_Lounge/Bottoms/Elastic, Category_Lounge/Pajamas &amp; Robes, Category_Lounge/Pajamas &amp; Robes/Bottoms, cotton cozy, Fabric_Lounge/Cotton, Fabric_Lounge/Tencel Modal, Flexport Stock, HR-CX, no-returns, pink collection, Spring Palette, Tariff Final Sale</t>
        </is>
      </c>
      <c r="J196" s="935" t="inlineStr">
        <is>
          <t>cotton-cozy-lounge-pants</t>
        </is>
      </c>
    </row>
    <row r="197" ht="42" customHeight="1" s="229">
      <c r="A197" s="880" t="inlineStr">
        <is>
          <t>Cotton Cozy Briefs (3-Pack)</t>
        </is>
      </c>
      <c r="B197" s="881" t="inlineStr">
        <is>
          <t>Underwear</t>
        </is>
      </c>
      <c r="C197" s="882" t="n">
        <v>50</v>
      </c>
      <c r="D197" s="882" t="n">
        <v>35</v>
      </c>
      <c r="E197" s="937" t="inlineStr">
        <is>
          <t>Yes</t>
        </is>
      </c>
      <c r="F197" s="883" t="inlineStr">
        <is>
          <t>Cute, chic, and charming ‚Äî these Cotton Cozy Briefs are an elevated essential designed for all-day comfort and a versatile fit under any bottoms. Made from a luxurious blend of cotton and TENCEL‚Ñ¢ Modal for second-skin comfort.</t>
        </is>
      </c>
      <c r="G197" s="884" t="inlineStr">
        <is>
          <t>• Made from a lush blend of silky TENCEL‚Ñ¢ Modal, high-thread long-staple cotton, and a dash of Spandex for stretch ‚Äî a delightfully skin-friendly mix for all-day comfort. • Complete the set: each color in this Cotton Cozy Briefs pack corresponds to the colors available in the matching Cotton Cozy Logo Bra. • Mid-waist cut provides moderate coverage with a signature logo waist band.</t>
        </is>
      </c>
      <c r="H197" s="885" t="inlineStr">
        <is>
          <t>45% TENCEL‚Ñ¢ Modal, 30% cotton, 25% Spandex; elastic: 64% nylon, 26% polyester, 10% Spandex; lining: 100% cotton • Care instructions: For best results, hand wash in cool water using gentle detergent and line dry</t>
        </is>
      </c>
      <c r="I197" s="886" t="inlineStr">
        <is>
          <t>23 XS-XL Briefs, 23.7.28, 23AW, 25DEC 30OFF, 25DEC SALE, Bundle Collection, Category_Lingerie/Brief, Category_Lingerie/Brief/Mid Waist, Category_Underwear/Bottoms/Panties, cotton cozy, Fabric_Underwear/Cotton, HR-CX, no-returns, pink collection, Spring Palette, Tariff Final Sale</t>
        </is>
      </c>
      <c r="J197" s="887" t="inlineStr">
        <is>
          <t>cotton-cozy-briefs-3-pack</t>
        </is>
      </c>
    </row>
    <row r="198" ht="56" customHeight="1" s="229">
      <c r="A198" s="904" t="inlineStr">
        <is>
          <t>Mousse Drawstring Wide Leg Pants</t>
        </is>
      </c>
      <c r="B198" s="905" t="inlineStr">
        <is>
          <t>Active</t>
        </is>
      </c>
      <c r="C198" s="906" t="n">
        <v>99</v>
      </c>
      <c r="D198" s="906" t="n">
        <v>69.3</v>
      </c>
      <c r="E198" s="956" t="inlineStr">
        <is>
          <t>Yes</t>
        </is>
      </c>
      <c r="F198" s="907" t="inlineStr">
        <is>
          <t>The Mousse Drawstring Wide Leg Pants are designed with a signature flare inspired by the styles worn by professional ballet dancers in rehearsal ‚Äî the perfect choice for bringing an elevated sense of style and elegance to your everyday workout routine.</t>
        </is>
      </c>
      <c r="G198" s="908" t="inlineStr">
        <is>
          <t>• Features pockets and a wide elastic waistband with drawstring for the perfect fit. Relaxed design to accommodate a range of body shapes and sizes. • Tailored in our soft, moisture-wicking Mousse fabric designed to stretch with your every move. • Perfectly complemented by the matching Mousse Cut-out Padded Crop Top ‚Äî or pair them with any of the styles in our Mousse Active series.</t>
        </is>
      </c>
      <c r="H198" s="909" t="inlineStr">
        <is>
          <t>body: 81% nylon, 19% Spandex • Care instructions: F or best results, wash and dry according to instructions on the care label</t>
        </is>
      </c>
      <c r="I198" s="910" t="inlineStr">
        <is>
          <t>23.7.28, 23AW, 25JulySale, Activity_Active/Ballet, Activity_Active/Gym, Activity_Active/Jogging, Activity_Active/Outdoor, Activity_Active/Running, Category_Active, Category_Active/Joggers, mousse, no-returns, Tariff Final Sale, US Inventory</t>
        </is>
      </c>
      <c r="J198" s="911" t="inlineStr">
        <is>
          <t>mousse-drawstring-wide-leg-pants</t>
        </is>
      </c>
    </row>
    <row r="199" ht="42" customHeight="1" s="229">
      <c r="A199" s="912" t="inlineStr">
        <is>
          <t>Mousse Cut-out Padded Crop Top</t>
        </is>
      </c>
      <c r="B199" s="913" t="inlineStr">
        <is>
          <t>Active</t>
        </is>
      </c>
      <c r="C199" s="914" t="n">
        <v>85</v>
      </c>
      <c r="D199" s="914" t="n">
        <v>59.5</v>
      </c>
      <c r="E199" s="955" t="inlineStr">
        <is>
          <t>Yes</t>
        </is>
      </c>
      <c r="F199" s="915" t="inlineStr">
        <is>
          <t>The Mousse Cut-out Padded Crop Top features built-in support for your every move. Inspired by the styles worn by professional dancers in rehearsal, it's the perfect elevated choice for your daily routine.</t>
        </is>
      </c>
      <c r="G199" s="916" t="inlineStr">
        <is>
          <t>• Front keyhole cutout for improved ventilation. Removable cups support a range of bust sizes but can be taken out to accommodate your favorite sports bra. • Thumb holes in the sleeves to keep them in place as you move. Tailored in our soft, moisture-wicking Mousse fabric designed to stretch with your every move. Size M is 14.6" in length. • Perfectly complemented by the Mousse Drawstring Wide Leg Pants ‚Äî or pair it with any legging in our Mousse Active series.</t>
        </is>
      </c>
      <c r="H199" s="917" t="inlineStr">
        <is>
          <t>body: 81% nylon, 19% Spandex; cups: 89% nylon, 11% Spandex; mesh: 79% nylon, 31% Spandex • Care instructions: F or best results, wash and dry according to instructions on the care label</t>
        </is>
      </c>
      <c r="I199" s="918" t="inlineStr">
        <is>
          <t>23.7.28, 23AW, 25JulySale, Activity_Active/Ballet, Activity_Active/Gym, Activity_Active/Jogging, Activity_Active/Outdoor, Activity_Active/Running, Category_Active, Category_Active/Tops, mousse, no-returns, Tariff Final Sale</t>
        </is>
      </c>
      <c r="J199" s="919" t="inlineStr">
        <is>
          <t>mousse-cut-out-padded-crop-top</t>
        </is>
      </c>
    </row>
    <row r="200" ht="56" customHeight="1" s="229">
      <c r="A200" s="904" t="inlineStr">
        <is>
          <t>Ballet Pleated Plunge Bra Top</t>
        </is>
      </c>
      <c r="B200" s="905" t="inlineStr">
        <is>
          <t>Active</t>
        </is>
      </c>
      <c r="C200" s="906" t="n">
        <v>85</v>
      </c>
      <c r="D200" s="906" t="n">
        <v>85</v>
      </c>
      <c r="E200" s="905" t="inlineStr"/>
      <c r="F200" s="907" t="inlineStr">
        <is>
          <t>Inspired by the fluidity of dance, the Ballet Pleated Plunge Bra Top 's crossover back straps and subtle textures make it ideal for effortless support and elegance in light sports and everyday life. Fit tip: If you're in between sizes, we recommend sizing up.</t>
        </is>
      </c>
      <c r="G200" s="908" t="inlineStr">
        <is>
          <t>• Thin double-strap design crosses in the back to relieve pressure from the shoulders. V neckline and removable cups make this bra easy to style. • The fabric is light on the skin yet flexible and breathable enough for your workout. • Complete the set: pairs perfectly with the matching Ballet Drawstring Joggers.</t>
        </is>
      </c>
      <c r="H200" s="909" t="inlineStr">
        <is>
          <t>outer: 78% nylon, 22% Spandex; inner: 75% nylon, 25% Spandex • Care instructions: For best results, wash and dry according to instructions on the care label</t>
        </is>
      </c>
      <c r="I200" s="910" t="inlineStr">
        <is>
          <t>23.7.28, 23AW, Activity_Active/Ballet, Activity_Active/Ballet&amp;Dance, B1 Sports Bra, Category_Active, Category_Active/Sports Bra, Tariff Final Sale</t>
        </is>
      </c>
      <c r="J200" s="911" t="inlineStr">
        <is>
          <t>ballet-pleated-plunge-bra-top</t>
        </is>
      </c>
    </row>
    <row r="201" ht="42" customHeight="1" s="229">
      <c r="A201" s="912" t="inlineStr">
        <is>
          <t>Ballet Pleated Boatneck Bra Top</t>
        </is>
      </c>
      <c r="B201" s="913" t="inlineStr">
        <is>
          <t>Active</t>
        </is>
      </c>
      <c r="C201" s="914" t="n">
        <v>85</v>
      </c>
      <c r="D201" s="914" t="n">
        <v>85</v>
      </c>
      <c r="E201" s="913" t="inlineStr"/>
      <c r="F201" s="915" t="inlineStr">
        <is>
          <t>Inspired by the fluidity of dance, the Ballet Pleated Boatneck Bra Top 's fixed cups, high neckline, and subtle textures make it ideal for medium-impact sports and everyday life. Fit tip: If you're in between sizes, we recommend sizing up.</t>
        </is>
      </c>
      <c r="G201" s="916" t="inlineStr">
        <is>
          <t>• Thin double-strap design and high neckline with fixed cups that support a range of bust sizes. • The fabric is light on the skin yet flexible and breathable enough for your workout. • Complete the set: pairs perfectly with the matching Ballet Drawstring Joggers.</t>
        </is>
      </c>
      <c r="H201" s="917" t="inlineStr">
        <is>
          <t>outer: 78% nylon, 22% Spandex; inner: 75% nylon, 25% Spandex; cups: 100% polyester • Care instructions: For best results, wash and dry according to instructions on the care label</t>
        </is>
      </c>
      <c r="I201" s="918" t="inlineStr">
        <is>
          <t>23.7.28, 23AW, Activity_Active/Ballet, Activity_Active/Ballet&amp;Dance, B1 Sports Bra, Category_Active, Category_Active/Sports Bra, Flexport Stock, US Inventory, US Main</t>
        </is>
      </c>
      <c r="J201" s="919" t="inlineStr">
        <is>
          <t>ballet-pleated-boatneck-bra-top</t>
        </is>
      </c>
    </row>
    <row r="202" ht="42" customHeight="1" s="229">
      <c r="A202" s="896" t="inlineStr">
        <is>
          <t>Cotton Cozy Long Sleeve Shirt</t>
        </is>
      </c>
      <c r="B202" s="897" t="inlineStr">
        <is>
          <t>Loungewear</t>
        </is>
      </c>
      <c r="C202" s="898" t="n">
        <v>40</v>
      </c>
      <c r="D202" s="898" t="n">
        <v>28</v>
      </c>
      <c r="E202" s="957" t="inlineStr">
        <is>
          <t>Yes</t>
        </is>
      </c>
      <c r="F202" s="899" t="inlineStr">
        <is>
          <t>This Cotton Cozy Long Sleeve Shirt is crafted from a luxurious blend of cotton and TENCEL‚Ñ¢ Modal. A wide neckline and loose fit make it extra comfy to toss, turn, and snooze in.</t>
        </is>
      </c>
      <c r="G202" s="900" t="inlineStr">
        <is>
          <t>• A simple, timeless long-sleeve sleep style with a wide round collar, tapered sleeves, and a relaxed feminine fit. • Made from a premium blend of long-staple cotton and TENCEL‚Ñ¢ Modal with Spandex for stretch. A subtle pinstripe texture adds dimension. Size M is 23.7" in length. • Complete the set: this top pairs perfectly with our Cotton Cozy Lounge Pants.</t>
        </is>
      </c>
      <c r="H202" s="901" t="inlineStr">
        <is>
          <t>49% TENCEL‚Ñ¢ Modal , 33% cotton, 18% Spandex • Care instructions: For best results, hand wash in cool water using gentle detergent and line dry</t>
        </is>
      </c>
      <c r="I202" s="902" t="inlineStr">
        <is>
          <t>23.7.28, 23AW, 25Feb Sale, Category_Lounge, Category_Lounge/Pajamas &amp; Robes, Category_Lounge/Pajamas &amp; Robes/Top, Category_Lounge/Tops, cotton cozy, Fabric_Lounge/Cotton, Fabric_Lounge/Tencel Modal, Flexport Stock, HR-CX, no-returns, pink collection, Spring Palette, Tariff Final Sale, US Inventory</t>
        </is>
      </c>
      <c r="J202" s="903" t="inlineStr">
        <is>
          <t>cotton-cozy-long-sleeve-shirt</t>
        </is>
      </c>
    </row>
    <row r="203" ht="42" customHeight="1" s="229">
      <c r="A203" s="947" t="inlineStr">
        <is>
          <t>Mousse Headband</t>
        </is>
      </c>
      <c r="B203" s="948" t="inlineStr">
        <is>
          <t>Accessories</t>
        </is>
      </c>
      <c r="C203" s="949" t="n">
        <v>19</v>
      </c>
      <c r="D203" s="949" t="n">
        <v>19</v>
      </c>
      <c r="E203" s="948" t="inlineStr"/>
      <c r="F203" s="950" t="inlineStr">
        <is>
          <t>The Mousse Headband is a simple, elegant accessory designed to manage your hair and keep your face dry during your workout ‚Äî a must-have that belongs in every gym bag.</t>
        </is>
      </c>
      <c r="G203" s="951" t="inlineStr">
        <is>
          <t>• Wide band with ponytail cutout hole ‚Äî comfier for your hair and keeps the headband in place as you move through your routine. • Made from our smooth, moisture-wicking Mousse blend ‚Äî stretchy, quick-drying, and gentle on your hair. • Easy to match with most workout gear, but pairs perfectly with all performance styles in our Mousse Active series.</t>
        </is>
      </c>
      <c r="H203" s="952" t="inlineStr">
        <is>
          <t>81% nylon, 19% Spandex • Care instructions: For best results, wash and dry according to instructions on the care label</t>
        </is>
      </c>
      <c r="I203" s="953" t="inlineStr">
        <is>
          <t>23.7.28, 23AW, Activity_Active/Ballet, Activity_Active/Gym, Activity_Active/Jogging, Activity_Active/Outdoor, Activity_Active/Running, Category_Active, Category_Active/Accessories, mousse, Tariff Final Sale</t>
        </is>
      </c>
      <c r="J203" s="954" t="inlineStr">
        <is>
          <t>mousse-headband</t>
        </is>
      </c>
    </row>
    <row r="204" ht="42" customHeight="1" s="229">
      <c r="A204" s="888" t="inlineStr">
        <is>
          <t>Nude Shape High Waist Brief 2.0</t>
        </is>
      </c>
      <c r="B204" s="889" t="inlineStr">
        <is>
          <t>Underwear</t>
        </is>
      </c>
      <c r="C204" s="890" t="n">
        <v>65</v>
      </c>
      <c r="D204" s="890" t="n">
        <v>65</v>
      </c>
      <c r="E204" s="889" t="inlineStr"/>
      <c r="F204" s="891" t="inlineStr">
        <is>
          <t>This new version of our Nude Shape High Waist Brief features double-layered tailoring for the perfect balance of abdominal support and light shaping ‚Äî a comfortable, confidence-boosting option for almost any outfit.</t>
        </is>
      </c>
      <c r="G204" s="892" t="inlineStr">
        <is>
          <t>• A full-comfort, no-nonsense approach to shapewear ‚Äî accentuates your waistline so you look and feel great in your day-to-day life. • Friction-free seamless hemlines with added lace for a feminine flair. Super high-rise fit sits above the hips for maximum coverage and a secure, comfortable fit. • Soft, breathable Spandex-based blend with a 100% cotton lining for feminine health.</t>
        </is>
      </c>
      <c r="H204" s="893" t="inlineStr">
        <is>
          <t>shell: 74% nylon, 26% Spandex; lace: 82% nylon, 18% Spandex; lining 1: 58% nylon, 42% Spandex; lining 2: 100% cotton • Care instructions: Hand wash in cold water. Line dry in the shade. Do not iron</t>
        </is>
      </c>
      <c r="I204" s="894" t="inlineStr">
        <is>
          <t>23 XS-XL Briefs, 23.8.18, 23AW, Category_Underwear, Category_Underwear/Bottoms, Category_Underwear/Bottoms/Panties, Category_Underwear/Bottoms/Panties/High Waist, Category_Underwear/Bottoms/Panties/Shapewear, Fabric_Underwear/Lace, HR-CX, Tariff Final Sale</t>
        </is>
      </c>
      <c r="J204" s="895" t="inlineStr">
        <is>
          <t>nude-shape-high-waist-brief</t>
        </is>
      </c>
    </row>
    <row r="205" ht="42" customHeight="1" s="229">
      <c r="A205" s="928" t="inlineStr">
        <is>
          <t>Light Lift Shaping Leggings</t>
        </is>
      </c>
      <c r="B205" s="929" t="inlineStr">
        <is>
          <t>Loungewear</t>
        </is>
      </c>
      <c r="C205" s="930" t="n">
        <v>49</v>
      </c>
      <c r="D205" s="930" t="n">
        <v>34.3</v>
      </c>
      <c r="E205" s="936" t="inlineStr">
        <is>
          <t>Yes</t>
        </is>
      </c>
      <c r="F205" s="931" t="inlineStr">
        <is>
          <t>The Light Lift Shaping Leggings feature double-layer tailoring for light shaping, abdomen support, and a comfortable fit ‚Äî an easy choice for a flattering waistline at the gym, home, and everywhere in between.</t>
        </is>
      </c>
      <c r="G205" s="932" t="inlineStr">
        <is>
          <t>• High-waist, ankle-length street-to-studio style perfect for active life and everyday wear. • Provides light shaping for abdomen support and more defined hips. Size M is 33" in length. • Tailored from a stretchy UPF 50+ Spandex blend with a brushed cotton lining for extra comfort.</t>
        </is>
      </c>
      <c r="H205" s="933" t="inlineStr">
        <is>
          <t>69% nylon, 31% Spandex; lining: 100% cotton • Care instructions: Hand wash in cold water. Line dry in the shade. Do not iron</t>
        </is>
      </c>
      <c r="I205" s="934" t="inlineStr">
        <is>
          <t>23.8.18, 23AW, 25JulySale, Category_Lounge, Category_Lounge/Bottoms, Category_Lounge/Bottoms/Elastic, Category_Lounge/Pants, no-returns, Tariff Final Sale, US Inventory</t>
        </is>
      </c>
      <c r="J205" s="935" t="inlineStr">
        <is>
          <t>light-lift-shaping-leggings</t>
        </is>
      </c>
    </row>
    <row r="206" ht="42" customHeight="1" s="229">
      <c r="A206" s="880" t="inlineStr">
        <is>
          <t>Cotton Cozy Bra</t>
        </is>
      </c>
      <c r="B206" s="881" t="inlineStr">
        <is>
          <t>Underwear</t>
        </is>
      </c>
      <c r="C206" s="882" t="n">
        <v>55</v>
      </c>
      <c r="D206" s="882" t="n">
        <v>38.5</v>
      </c>
      <c r="E206" s="937" t="inlineStr">
        <is>
          <t>Yes</t>
        </is>
      </c>
      <c r="F206" s="883" t="inlineStr">
        <is>
          <t>The Cotton Cozy Bra is an elevated essential designed for breathable wireless support and a versatile fit under any top. Made from a luxurious blend of cotton and TENCEL‚Ñ¢ Modal for second-skin comfort.</t>
        </is>
      </c>
      <c r="G206" s="884" t="inlineStr">
        <is>
          <t>• Features removable cups, adjustable straps, and three-size back clasp closure . Subtle logo band provides an elevated design detail. • Tailored from a lush blend of silky TENCEL‚Ñ¢ Modal, high-thread long-staple cotton, and a dash of Spandex for flexibility ‚Äî a delightfully skin-friendly mix for hours and hours of comfort. • Complete the set: each color corresponds to the colors in the matching Cotton Cozy Briefs (3-Pack).</t>
        </is>
      </c>
      <c r="H206" s="885" t="inlineStr">
        <is>
          <t>45% TENCEL‚Ñ¢ Modal, 30% cotton, 25% Spandex; elastic: 64% nylon, 26% polyester, 10% Spandex • Care instructions: For best results, hand wash in cool water using gentle detergent and line dry</t>
        </is>
      </c>
      <c r="I206" s="886" t="inlineStr">
        <is>
          <t>23.7.28, 23AW, 23SS A3 Size Bra, 25DEC 30OFF, 25DEC SALE, Category_Bras/Cotton, Category_Bras/Medium Support, Category_Underwear, Category_Underwear/Tops, Category_Underwear/Tops/Wireless Bra, cotton cozy, Fabric_Underwear/Cotton, HR-CX, no-returns, pink collection, SML Size Bra, Spring Palette, Tariff Final Sale</t>
        </is>
      </c>
      <c r="J206" s="887" t="inlineStr">
        <is>
          <t>cotton-cozy-bra</t>
        </is>
      </c>
    </row>
    <row r="207" ht="42" customHeight="1" s="229">
      <c r="A207" s="938" t="inlineStr">
        <is>
          <t>Men's Classic Cozy Pajama Pants</t>
        </is>
      </c>
      <c r="B207" s="939" t="inlineStr">
        <is>
          <t>Men</t>
        </is>
      </c>
      <c r="C207" s="940" t="n">
        <v>89</v>
      </c>
      <c r="D207" s="940" t="n">
        <v>89</v>
      </c>
      <c r="E207" s="939" t="inlineStr"/>
      <c r="F207" s="942" t="inlineStr">
        <is>
          <t>Designed for comfort at home and deeper, more restful sleep ‚Äî our Men's Classic Cozy Pajama Pants are tailored in a soft TENCEL‚Ñ¢ Modal-based blend in a timelessly elevated look you'll love to wake up in each morning.</t>
        </is>
      </c>
      <c r="G207" s="943" t="inlineStr">
        <is>
          <t>• Features elastic waistband, side pockets, and a relaxed, generous fit. • Made from carbon-zero TENCEL‚Ñ¢ Modal with plant-based cashmere fibers for an enhanced texture ‚Äî a planet-friendly alternative to silk and synthetic fabrics. Size M is 18.9" in length. • Complete the set: these pants pair perfectly with the matching Men's Classic Cozy Pajama Shirt.</t>
        </is>
      </c>
      <c r="H207" s="944" t="inlineStr">
        <is>
          <t>57% TENCEL‚Ñ¢ Modal, 19% acrylic, 19% viscose, 5% Spandex • Care instructions: For best results, hand wash with like colors in cold water using a neutral detergent. Line dry in the shade. Do not iron</t>
        </is>
      </c>
      <c r="I207" s="945" t="inlineStr">
        <is>
          <t>23.8.18, 23AW, CarbonZero, Category_Men, Category_Men/Bottoms, Category_Men/Pajamas, Category_Men/Pajams, Tariff Final Sale</t>
        </is>
      </c>
      <c r="J207" s="946" t="inlineStr">
        <is>
          <t>mens-classic-cozy-pajama-pants</t>
        </is>
      </c>
    </row>
    <row r="208" ht="42" customHeight="1" s="229">
      <c r="A208" s="958" t="inlineStr">
        <is>
          <t>Men's Classic Cozy Pajama Shirt</t>
        </is>
      </c>
      <c r="B208" s="959" t="inlineStr">
        <is>
          <t>Men</t>
        </is>
      </c>
      <c r="C208" s="960" t="n">
        <v>109</v>
      </c>
      <c r="D208" s="960" t="n">
        <v>109</v>
      </c>
      <c r="E208" s="959" t="inlineStr"/>
      <c r="F208" s="961" t="inlineStr">
        <is>
          <t>Designed for comfort at home and deeper, more restful sleep ‚Äî our Men's Classic Cozy Pajama Shirt is tailored in a soft TENCEL‚Ñ¢ Modal-based blend in a timelessly elevated look you'll love to wake up in each morning.</t>
        </is>
      </c>
      <c r="G208" s="962" t="inlineStr">
        <is>
          <t>• Classic button-down style with a lay-flat camp collar, convenient phone pocket, and a relaxed, generous fit. • Made from carbon-zero TENCEL‚Ñ¢ Modal with plant-based cashmere fibers for an enhanced texture ‚Äî a planet-friendly alternative to silk and synthetic fabrics. Size M is 27.9" in length. • Complete the set: this top pairs perfectly with the matching Men's Classic Cozy Pajama Pants.</t>
        </is>
      </c>
      <c r="H208" s="963" t="inlineStr">
        <is>
          <t>57% TENCEL‚Ñ¢ Modal, 19% acrylic, 19% viscose, 5% Spandex • Care instructions: For best results, hand wash with like colors in cold water using a neutral detergent. Line dry in the shade. Do not iron</t>
        </is>
      </c>
      <c r="I208" s="964" t="inlineStr">
        <is>
          <t>23.8.18, 23AW, CarbonZero, Category_Men, Category_Men/Pajamas, Category_Men/Tops, Tariff Final Sale</t>
        </is>
      </c>
      <c r="J208" s="965" t="inlineStr">
        <is>
          <t>mens-classic-cozy-pajama-shirt</t>
        </is>
      </c>
    </row>
    <row r="209" ht="28" customHeight="1" s="229">
      <c r="A209" s="896" t="inlineStr">
        <is>
          <t>Silk Pajama Set</t>
        </is>
      </c>
      <c r="B209" s="897" t="inlineStr">
        <is>
          <t>Loungewear</t>
        </is>
      </c>
      <c r="C209" s="898" t="n">
        <v>239</v>
      </c>
      <c r="D209" s="898" t="n">
        <v>167.3</v>
      </c>
      <c r="E209" s="957" t="inlineStr">
        <is>
          <t>Yes</t>
        </is>
      </c>
      <c r="F209" s="899" t="inlineStr">
        <is>
          <t>Effortlessly breathable and light on the skin ‚Äî every stitch of this Silk Pajama Set is set to help you feel relaxed and at ease.</t>
        </is>
      </c>
      <c r="G209" s="900" t="inlineStr">
        <is>
          <t>• Set includes both the Pajama Top &amp; Pants ‚Äî a timeless sleep style you won't want to change out of . • Tailored from a hand-washable silk blend, these PJs feel supple and are easier to care for. Size M top is 26.3" and bottom is 39.1" in length. • Top features a chic collar and front pocket, long cuffed sleeves, and color-matched buttons. Pants feature elastic waistband and side pockets.</t>
        </is>
      </c>
      <c r="H209" s="901" t="inlineStr">
        <is>
          <t>61% viscose, 39% silk • Care instructions: For best results, hand wash in cool water using gentle detergent and line dry</t>
        </is>
      </c>
      <c r="I209" s="902" t="inlineStr">
        <is>
          <t>23.7.7, 23AW, 25DEC 30OFF, 25DEC SALE, Bundle Collection, Category_Lounge, Category_Lounge/Pajamas &amp; Robes, Category_Lounge/Pants, Category_Lounge/Tops, Collection_Valentine, Fabric_Lounge/Silk, HR-CX, Loungewear Sets, no-returns, Tariff Final Sale, US Inventory</t>
        </is>
      </c>
      <c r="J209" s="903" t="inlineStr">
        <is>
          <t>silk-pajama-set</t>
        </is>
      </c>
    </row>
    <row r="210" ht="42" customHeight="1" s="229">
      <c r="A210" s="904" t="inlineStr">
        <is>
          <t>Breeze Cropped Sunblock Jacket</t>
        </is>
      </c>
      <c r="B210" s="905" t="inlineStr">
        <is>
          <t>Active</t>
        </is>
      </c>
      <c r="C210" s="906" t="n">
        <v>155</v>
      </c>
      <c r="D210" s="906" t="n">
        <v>108.5</v>
      </c>
      <c r="E210" s="956" t="inlineStr">
        <is>
          <t>Yes</t>
        </is>
      </c>
      <c r="F210" s="907" t="inlineStr">
        <is>
          <t>The Breeze Cropped Sunblock Jacket has a chic boxy silhouette designed to keep you looking stylish as you stay cool, dry, and protected from the sun ‚Äî a versatile piece of outerwear perfect for light sports or casual daily wear.</t>
        </is>
      </c>
      <c r="G210" s="908" t="inlineStr">
        <is>
          <t>• UV-resistant (UPF 50+) to protect your skin. • Features stowable hood, front pockets, and a slight drop-shoulder design. Size M is 19.3" in length. • Pair with the matching Breeze Culottes or Breeze High Waist Bermuda Shorts to complete the look!</t>
        </is>
      </c>
      <c r="H210" s="909" t="inlineStr">
        <is>
          <t>100% polyester • Care Instructions: For best results, wash and dry according to instructions on the care label</t>
        </is>
      </c>
      <c r="I210" s="910" t="inlineStr">
        <is>
          <t>23.7.7, 23AW, 25DEC 30OFF, 25DEC SALE, Activity_Active/Outdoor, Activity_Active/Tennis, Category_Active, Category_Active/Outerwear, Category_Active/Tops, Collection_Breeze, Flexport Stock, HR-CX, no-returns, Outerwear, Tariff Final Sale, US Inventory</t>
        </is>
      </c>
      <c r="J210" s="911" t="inlineStr">
        <is>
          <t>breeze-cropped-sunblock-jacket</t>
        </is>
      </c>
    </row>
    <row r="211" ht="42" customHeight="1" s="229">
      <c r="A211" s="912" t="inlineStr">
        <is>
          <t>Core Racerback Tank Top</t>
        </is>
      </c>
      <c r="B211" s="913" t="inlineStr">
        <is>
          <t>Active</t>
        </is>
      </c>
      <c r="C211" s="914" t="n">
        <v>39</v>
      </c>
      <c r="D211" s="914" t="n">
        <v>23.4</v>
      </c>
      <c r="E211" s="955" t="inlineStr">
        <is>
          <t>Yes</t>
        </is>
      </c>
      <c r="F211" s="915" t="inlineStr">
        <is>
          <t>An essential in any workout wardrobe, our Core Training Tank top features a sleek racerback design for full freedom of movement and is cut from a cooling Spandex blend to keep you dry and comfortable as you work up a sweat.</t>
        </is>
      </c>
      <c r="G211" s="916" t="inlineStr">
        <is>
          <t>• Sleeveless racerback cut with a high neckline. • Skin-friendly, moisture-wicking Spandex blend ‚Äî dries fast and cool to the touch for comfort throughout your fitness routine. • A versatile design that matches everything ‚Äî you can even wear it as part of your everyday casual wardrobe!</t>
        </is>
      </c>
      <c r="H211" s="917" t="inlineStr">
        <is>
          <t>91% nylon, 9% Spandex • Care instructions: For best results, wash and dry according to instructions on the care label</t>
        </is>
      </c>
      <c r="I211" s="918" t="inlineStr">
        <is>
          <t>23.7.7, 23AW, 25DEC 40OFF, 25DEC SALE, 25JulySale, Activity_Active/Outdoor, Activity_Active/Tennis, Category_Active, Category_Active/Tops, no-returns, Tariff Final Sale</t>
        </is>
      </c>
      <c r="J211" s="919" t="inlineStr">
        <is>
          <t>core-racerback-tank-top</t>
        </is>
      </c>
    </row>
    <row r="212" ht="28" customHeight="1" s="229">
      <c r="A212" s="904" t="inlineStr">
        <is>
          <t>Breeze Culottes</t>
        </is>
      </c>
      <c r="B212" s="905" t="inlineStr">
        <is>
          <t>Active</t>
        </is>
      </c>
      <c r="C212" s="906" t="n">
        <v>85</v>
      </c>
      <c r="D212" s="906" t="n">
        <v>59.5</v>
      </c>
      <c r="E212" s="956" t="inlineStr">
        <is>
          <t>Yes</t>
        </is>
      </c>
      <c r="F212" s="907" t="inlineStr">
        <is>
          <t>Effortlessly chic yet endlessly functional, the Breeze Culottes are a stylishly comfortable choice for ease of movement throughout your day.</t>
        </is>
      </c>
      <c r="G212" s="908" t="inlineStr">
        <is>
          <t>• Wide front-pleated legs for a comfortable, billowy fit. • Features wide waistband and side pockets for accessories. Size M is 36.6" in length. • Pair with the matching Breeze Cropped Sunblock Jacket or Breeze Half Zip Crop Top to complete the look!</t>
        </is>
      </c>
      <c r="H212" s="909" t="inlineStr">
        <is>
          <t>83% polyester, 17% Spandex • Care Instructions: For best results, wash and dry according to instructions on the care label</t>
        </is>
      </c>
      <c r="I212" s="910" t="inlineStr">
        <is>
          <t>23.7.7, 23AW, 25DEC 30OFF, 25DEC SALE, Category_Active, Category_Active/Joggers, Collection_Breeze, HR-CX, no-returns, Tariff Final Sale</t>
        </is>
      </c>
      <c r="J212" s="911" t="inlineStr">
        <is>
          <t>breeze-culottes</t>
        </is>
      </c>
    </row>
    <row r="213" ht="42" customHeight="1" s="229">
      <c r="A213" s="928" t="inlineStr">
        <is>
          <t>Washable Wool Mock Neck Sweater</t>
        </is>
      </c>
      <c r="B213" s="929" t="inlineStr">
        <is>
          <t>Loungewear</t>
        </is>
      </c>
      <c r="C213" s="930" t="n">
        <v>169</v>
      </c>
      <c r="D213" s="930" t="n">
        <v>118.3</v>
      </c>
      <c r="E213" s="936" t="inlineStr">
        <is>
          <t>Yes</t>
        </is>
      </c>
      <c r="F213" s="931" t="inlineStr">
        <is>
          <t>Effortlessly chic and easy to pair ‚Äî this Washable Wool Mock Neck Sweater has a seamless 3D knit construction and is made from a washable Merino wool. Fit tip: For a tailored fit, we recommend sizing down.</t>
        </is>
      </c>
      <c r="G213" s="932" t="inlineStr">
        <is>
          <t>• This sweater's classic mock neck creates an elegant silhouette while providing extra warmth . • Tailored from 100% Woolmark-certified Merino wool passed through an environmentally-friendly treatment process to make it washable and easier to care for. Size M is 22.8" in length. • A naturally warm, soft, and breathable layering piece in two easy-pair colors that make it a must in any wardrobe.</t>
        </is>
      </c>
      <c r="H213" s="933" t="inlineStr">
        <is>
          <t>100% Merino wool • Care instructions: For best results, hand wash in cool water using a gentle detergent. Lay flat to dry in the shade</t>
        </is>
      </c>
      <c r="I213" s="934" t="inlineStr">
        <is>
          <t>23.7.28, 23AW, 25JulySale, Category_Lounge, Category_Lounge/Knitwear, Category_Lounge/Tops, Fabric_Lounge/Cashmere &amp; Wool, no-returns, Tariff Final Sale</t>
        </is>
      </c>
      <c r="J213" s="935" t="inlineStr">
        <is>
          <t>washable-wool-mock-neck-sweater</t>
        </is>
      </c>
    </row>
    <row r="214" ht="42" customHeight="1" s="229">
      <c r="A214" s="896" t="inlineStr">
        <is>
          <t>Washable Wool Cardigan</t>
        </is>
      </c>
      <c r="B214" s="897" t="inlineStr">
        <is>
          <t>Loungewear</t>
        </is>
      </c>
      <c r="C214" s="898" t="n">
        <v>159</v>
      </c>
      <c r="D214" s="898" t="n">
        <v>111.3</v>
      </c>
      <c r="E214" s="957" t="inlineStr">
        <is>
          <t>Yes</t>
        </is>
      </c>
      <c r="F214" s="899" t="inlineStr">
        <is>
          <t>The Washable Wool Cardigan is a versatile layering piece for all seasons, featuring seamless 3D knit construction and washable Merino wool. Fit tip: For a tailored fit, we recommend sizing down.</t>
        </is>
      </c>
      <c r="G214" s="900" t="inlineStr">
        <is>
          <t>• Color-matched buttons and a rolled hem are the stars of this piece while its easy relaxed fit echoes its effortless comfort. • Tailored from 100% Woolmark-certified Merino wool passed through an environmentally-friendly treatment process to make it washable and easier to care for. Size M is 23.6" in length. • Naturally warm, soft, and available in two easy-pair colors ‚Äî a staple in any wardrobe.</t>
        </is>
      </c>
      <c r="H214" s="901" t="inlineStr">
        <is>
          <t>100% Merino wool • Care instructions: For best results, hand wash in cool water using a gentle detergent. Lay flat to dry in the shade</t>
        </is>
      </c>
      <c r="I214" s="902" t="inlineStr">
        <is>
          <t>23.7.28, 23AW, 25JulySale, Category_Lounge, Category_Lounge/Knitwear, Category_Lounge/Outerwear, Category_Lounge/Tops, Fabric_Lounge/Cashmere &amp; Wool, no-returns, Tariff Final Sale</t>
        </is>
      </c>
      <c r="J214" s="903" t="inlineStr">
        <is>
          <t>washable-wool-cardigan</t>
        </is>
      </c>
    </row>
    <row r="215" ht="56" customHeight="1" s="229">
      <c r="A215" s="928" t="inlineStr">
        <is>
          <t>Washable Wool V-Neck Sweater</t>
        </is>
      </c>
      <c r="B215" s="929" t="inlineStr">
        <is>
          <t>Loungewear</t>
        </is>
      </c>
      <c r="C215" s="930" t="n">
        <v>149</v>
      </c>
      <c r="D215" s="930" t="n">
        <v>104.3</v>
      </c>
      <c r="E215" s="936" t="inlineStr">
        <is>
          <t>Yes</t>
        </is>
      </c>
      <c r="F215" s="931" t="inlineStr">
        <is>
          <t>A timeless classic returns ‚Äî this Washable Wool V-Neck Sweater is a fall staple that never goes out of style, now in a washable Merino wool to simplify care. A seamless 3D knit construction provides a sleek silhouette. Fit tip: For a tailored fit, we recommend sizing down.</t>
        </is>
      </c>
      <c r="G215" s="932" t="inlineStr">
        <is>
          <t>• This sweater's wide V-neckline flatters your collarbone and features a slimming fit . • Tailored from 100% Woolmark-certified Merino wool passed through an environmentally-friendly treatment process to make it washable and easier to care for. Size M is 22.8" in length. • A naturally warm, soft, and breathable layering piece in two versatile colors.</t>
        </is>
      </c>
      <c r="H215" s="933" t="inlineStr">
        <is>
          <t>100% Merino wool • Care instructions: For best results, hand wash in cool water using a gentle detergent. Lay flat to dry in the shade</t>
        </is>
      </c>
      <c r="I215" s="934" t="inlineStr">
        <is>
          <t>23.7.28, 23AW, 25JulySale, Category_Lounge, Category_Lounge/Knitwear, Category_Lounge/Tops, Fabric_Lounge/Cashmere &amp; Wool, no-returns, Tariff Final Sale</t>
        </is>
      </c>
      <c r="J215" s="935" t="inlineStr">
        <is>
          <t>washable-wool-v-neck-sweater</t>
        </is>
      </c>
    </row>
    <row r="216" ht="56" customHeight="1" s="229">
      <c r="A216" s="966" t="inlineStr">
        <is>
          <t>Barely Zero T-Shirt Bra Trio</t>
        </is>
      </c>
      <c r="B216" s="967" t="inlineStr">
        <is>
          <t>Bundle3</t>
        </is>
      </c>
      <c r="C216" s="968" t="n">
        <v>49</v>
      </c>
      <c r="D216" s="968" t="n">
        <v>39.5</v>
      </c>
      <c r="E216" s="969" t="inlineStr">
        <is>
          <t>Yes</t>
        </is>
      </c>
      <c r="F216" s="970" t="inlineStr">
        <is>
          <t>This bundle includes three of the latest in our best-selling series, the Barely Zero T-Shirt Bra. This bra shapes and supports with fixed cups, a low profile silhouette, and an updated CloudFit fabric blend with cooling and breathable properties.</t>
        </is>
      </c>
      <c r="G216" s="971" t="inlineStr">
        <is>
          <t>• Adapts for a comfortable, supportive fit for a range of bra sizes. Please see the size guide for more detailed sizing guidance. • Classic t-shirt bra cut with adjustable straps and back clasp (size M-L features 3 rows of clasps and slightly thicker straps). Features fixed cups for easy washing and a new rubber strip along the lower band for better shaping. Doesn't dig in or show lines, even under tight clothing! • Made from an updated CloudFit blend: soft, ultra-elastic, moisture-wicking, and now includes breathable fibers to keep your bra cleaner and odor-free for longer.</t>
        </is>
      </c>
      <c r="H216" s="972" t="inlineStr">
        <is>
          <t>67% CloudFit nylon blend, 33% Spandex</t>
        </is>
      </c>
      <c r="I216" s="973" t="inlineStr">
        <is>
          <t>23.7.7, 23AW, Bundle Collection, Category_Bras/Medium Support, Category_Underwear, Category_Underwear/Tops, Category_Underwear/Tops/Wireless Bra, Collection_Barely Zero, Collection_Barely Zero/Bras, Memorial Day Bundle Price Update, Priority Products, Sized BZ Bras</t>
        </is>
      </c>
      <c r="J216" s="974" t="inlineStr">
        <is>
          <t>barely-zero-t-shirt-bra-trio</t>
        </is>
      </c>
    </row>
    <row r="217" ht="56" customHeight="1" s="229">
      <c r="A217" s="966" t="inlineStr">
        <is>
          <t>Barely Zero T-Shirt Bra Bundle</t>
        </is>
      </c>
      <c r="B217" s="967" t="inlineStr">
        <is>
          <t>Bundle</t>
        </is>
      </c>
      <c r="C217" s="968" t="n">
        <v>49</v>
      </c>
      <c r="D217" s="968" t="n">
        <v>44.25</v>
      </c>
      <c r="E217" s="969" t="inlineStr">
        <is>
          <t>Yes</t>
        </is>
      </c>
      <c r="F217" s="970" t="inlineStr">
        <is>
          <t>This bundle includes two of the latest in our best-selling series, the Barely Zero T-Shirt Bra. This bra shapes and supports with fixed cups, a low profile silhouette, and an updated CloudFit fabric blend with cooling and breathable properties.</t>
        </is>
      </c>
      <c r="G217" s="971" t="inlineStr">
        <is>
          <t>• Adapts for a comfortable, supportive fit for a range of bra sizes. Please see the size guide for more detailed sizing guidance. • Classic t-shirt bra cut with adjustable straps and back clasp (size M-L features 3 rows of clasps and slightly thicker straps). Features fixed cups for easy washing and a new rubber strip along the lower band for better shaping. Doesn't dig in or show lines, even under tight clothing! • Made from an updated CloudFit blend: soft, ultra-elastic, moisture-wicking, and now includes breathable fibers to keep your bra cleaner and odor-free for longer.</t>
        </is>
      </c>
      <c r="H217" s="972" t="inlineStr">
        <is>
          <t>67% CloudFit nylon blend, 33% Spandex</t>
        </is>
      </c>
      <c r="I217" s="973" t="inlineStr">
        <is>
          <t>23.7.7, 23AW, Bundle Collection, Category_Bras/Medium Support, Category_Underwear, Category_Underwear/Tops, Category_Underwear/Tops/Wireless Bra, Collection_Barely Zero, Collection_Barely Zero/Bras, Memorial Day Bundle Price Update, Priority Products, Sized BZ Bras</t>
        </is>
      </c>
      <c r="J217" s="974" t="inlineStr">
        <is>
          <t>barely-zero-t-shirt-bra-bundle</t>
        </is>
      </c>
    </row>
    <row r="218" ht="42" customHeight="1" s="229">
      <c r="A218" s="975" t="inlineStr">
        <is>
          <t>Barely Zero Plunge Bra Trio</t>
        </is>
      </c>
      <c r="B218" s="976" t="inlineStr">
        <is>
          <t>Bundle3</t>
        </is>
      </c>
      <c r="C218" s="977" t="n">
        <v>49</v>
      </c>
      <c r="D218" s="977" t="n">
        <v>39.5</v>
      </c>
      <c r="E218" s="978" t="inlineStr">
        <is>
          <t>Yes</t>
        </is>
      </c>
      <c r="F218" s="979" t="inlineStr">
        <is>
          <t>This bundle includes three one-size Barely Zero Plunge Bras. This bra features a lower neckline, fixed cups, and an updated CloudFit fabric blend with cooling and breathable properties.</t>
        </is>
      </c>
      <c r="G218" s="980" t="inlineStr">
        <is>
          <t>• Adapts for a comfortable, supportive fit for a range of bra sizes. Please see the size guide for more detailed sizing guidance. • Low plunge pullover style stays hidden under low-cut tops. Features fixed cups for easy washing and a new rubber strip along the lower band for better shaping. Doesn't dig in or show lines, even under tight clothing! • Made from an updated CloudFit blend: soft, ultra-elastic, moisture-wicking, and now includes breathable fibers to keep your bra cleaner for longer.</t>
        </is>
      </c>
      <c r="H218" s="981" t="inlineStr">
        <is>
          <t>67% CloudFit nylon blend, 33% Spandex</t>
        </is>
      </c>
      <c r="I218" s="982" t="inlineStr">
        <is>
          <t>23.7.7, 23AW, Bundle Collection, Category_Bras/Medium Support, Category_Underwear, Category_Underwear/Tops, Category_Underwear/Tops/Wireless Bra, Collection_Barely Zero, Collection_Barely Zero/Bras, Memorial Day Bundle Price Update, Priority Products</t>
        </is>
      </c>
      <c r="J218" s="983" t="inlineStr">
        <is>
          <t>barely-zero-plunge-bra-trio</t>
        </is>
      </c>
    </row>
    <row r="219" ht="42" customHeight="1" s="229">
      <c r="A219" s="975" t="inlineStr">
        <is>
          <t>Barely Zero Plunge Bra Bundle</t>
        </is>
      </c>
      <c r="B219" s="976" t="inlineStr">
        <is>
          <t>Bundle</t>
        </is>
      </c>
      <c r="C219" s="977" t="n">
        <v>49</v>
      </c>
      <c r="D219" s="977" t="n">
        <v>44.25</v>
      </c>
      <c r="E219" s="978" t="inlineStr">
        <is>
          <t>Yes</t>
        </is>
      </c>
      <c r="F219" s="979" t="inlineStr">
        <is>
          <t>This bundle includes two one-size Barely Zero Plunge Bras. This bra features a lower neckline, fixed cups, and an updated CloudFit¬© fabric blend with cooling and breathable properties.</t>
        </is>
      </c>
      <c r="G219" s="980" t="inlineStr">
        <is>
          <t>• Adapts for a comfortable, supportive fit for a range of bra sizes. Please see the size guide for more detailed sizing guidance. • Low plunge pullover style stays hidden under low-cut tops. Features fixed cups for easy washing and a new rubber strip along the lower band for better shaping. Doesn't dig in or show lines, even under tight clothing! • Made from an updated CloudFit blend: soft, ultra-elastic, moisture-wicking, and now includes breathable fibers to keep your bra cleaner for longer.</t>
        </is>
      </c>
      <c r="H219" s="981" t="inlineStr">
        <is>
          <t>67% CloudFit nylon blend, 33% Spandex</t>
        </is>
      </c>
      <c r="I219" s="982" t="inlineStr">
        <is>
          <t>23.7.7, 23AW, Bundle Collection, Category_Bras/Medium Support, Category_Underwear, Category_Underwear/Tops, Category_Underwear/Tops/Wireless Bra, Collection_Barely Zero, Collection_Barely Zero/Bras, Memorial Day Bundle Price Update, Priority Products</t>
        </is>
      </c>
      <c r="J219" s="983" t="inlineStr">
        <is>
          <t>barely-zero-plunge-bra-bundle</t>
        </is>
      </c>
    </row>
    <row r="220" ht="56" customHeight="1" s="229">
      <c r="A220" s="912" t="inlineStr">
        <is>
          <t>Core Training Skort</t>
        </is>
      </c>
      <c r="B220" s="913" t="inlineStr">
        <is>
          <t>Active</t>
        </is>
      </c>
      <c r="C220" s="914" t="n">
        <v>69</v>
      </c>
      <c r="D220" s="914" t="n">
        <v>48.3</v>
      </c>
      <c r="E220" s="955" t="inlineStr">
        <is>
          <t>Yes</t>
        </is>
      </c>
      <c r="F220" s="915" t="inlineStr">
        <is>
          <t>Classic white, or a bold flash of blue? Back by popular demand, the Core Training Skort is the perfect choice for a flowy, flexible fit to get moving in ‚Äî or as a stunning way to elevate any casual outfit. A truly versatile addition to any wardrobe rotation.</t>
        </is>
      </c>
      <c r="G220" s="916" t="inlineStr">
        <is>
          <t>• Timeless wrap-style A-line skirt with fitted inner shorts for modesty in motion. • Hidden zipper pockets on each side for your phone and keys. • Customizable fit with a wide elastic waistband and drawstring front. • Perfect for golf, tennis, and everyday athleisure wear.</t>
        </is>
      </c>
      <c r="H220" s="917" t="inlineStr">
        <is>
          <t>77% nylon, 23% Spandex • Care instructions: For best results, wash and dry according to instructions on the care label</t>
        </is>
      </c>
      <c r="I220" s="918" t="inlineStr">
        <is>
          <t>23.7.7, 23AW, 25DEC 30OFF, 25DEC SALE, Activity_Active/Tennis, Category_Active, Category_Active/Shorts, Category_Lounge/Bottoms/Elastic, HR-CX, no-returns, Tariff Final Sale</t>
        </is>
      </c>
      <c r="J220" s="919" t="inlineStr">
        <is>
          <t>core-training-skort</t>
        </is>
      </c>
    </row>
    <row r="221" ht="42" customHeight="1" s="229">
      <c r="A221" s="904" t="inlineStr">
        <is>
          <t>Ballet Drawstring Joggers</t>
        </is>
      </c>
      <c r="B221" s="905" t="inlineStr">
        <is>
          <t>Active</t>
        </is>
      </c>
      <c r="C221" s="906" t="n">
        <v>99</v>
      </c>
      <c r="D221" s="906" t="n">
        <v>69.3</v>
      </c>
      <c r="E221" s="956" t="inlineStr">
        <is>
          <t>Yes</t>
        </is>
      </c>
      <c r="F221" s="907" t="inlineStr">
        <is>
          <t>A modern style Inspired by the dynamic flair of dance, the Ballet Drawstring Joggers are an elegant alternative to shorts and designed for total mobility in a range of activities in the gym, dance studio, and daily life.</t>
        </is>
      </c>
      <c r="G221" s="908" t="inlineStr">
        <is>
          <t>• Streamlined taper design visually lengthens the legs. Adjustable drawstring elastic waist and cuffs. Side pockets for accessories. • Tailored in a moisture-wicking Spandex blend with an inner mesh for extra airflow and breathability ‚Äî keeps skin cool, dry, and comfortable now matter how intense your workout. Size M is 41.3" in length. • Complete the look: pairs perfectly with either of the matching Ballet Pleated Sports Bras available in this set.</t>
        </is>
      </c>
      <c r="H221" s="909" t="inlineStr">
        <is>
          <t>83% polyester, 17% Spandex; mesh: 79% nylon, 21% Spandex • Care instructions: For best results, wash and dry according to instructions on the care label</t>
        </is>
      </c>
      <c r="I221" s="910" t="inlineStr">
        <is>
          <t>23.7.28, 23AW, 25DEC 30OFF, 25DEC SALE, Activity_Active/Ballet, Activity_Active/Ballet&amp;Dance, Category_Active, Category_Active/Joggers, HR-CX, no-returns, Tariff Final Sale, US Inventory</t>
        </is>
      </c>
      <c r="J221" s="911" t="inlineStr">
        <is>
          <t>ballet-drawstring-joggers</t>
        </is>
      </c>
    </row>
    <row r="222" ht="42" customHeight="1" s="229">
      <c r="A222" s="888" t="inlineStr">
        <is>
          <t>High Waist Shaping Boy Short</t>
        </is>
      </c>
      <c r="B222" s="889" t="inlineStr">
        <is>
          <t>Underwear</t>
        </is>
      </c>
      <c r="C222" s="890" t="n">
        <v>39</v>
      </c>
      <c r="D222" s="890" t="n">
        <v>39</v>
      </c>
      <c r="E222" s="889" t="inlineStr"/>
      <c r="F222" s="891" t="inlineStr">
        <is>
          <t>These High Waist Shaping Boy Shorts feature double-layered tailoring for a precise balance of comfortable fit and light shaping ‚Äî the perfect choice to accentuate your waistline in almost any outfit.</t>
        </is>
      </c>
      <c r="G222" s="892" t="inlineStr">
        <is>
          <t>• Provides light shaping for a more defined waistline. • Friction-free seamless hemlines. High-rise fit for maximum coverage and a secure, comfortable fit. • Soft, breathable Spandex-based blend with a 100% cotton lining for feminine health.</t>
        </is>
      </c>
      <c r="H222" s="893" t="inlineStr">
        <is>
          <t>shell: 74% nylon, 26% Spandex; lining 1: 58% nylon, 42% Spandex; lining 2: 100% cotton • Care instructions: Hand wash in cold water. Line dry in the shade. Do not iron</t>
        </is>
      </c>
      <c r="I222" s="894" t="inlineStr">
        <is>
          <t>23 XS-XL Briefs, 23.8.18, 23AW, Category_Underwear, Category_Underwear/Bottoms, Category_Underwear/Bottoms/Panties, Category_Underwear/Bottoms/Panties/High Waist, Category_Underwear/Bottoms/Panties/Shapewear, HR-CX</t>
        </is>
      </c>
      <c r="J222" s="895" t="inlineStr">
        <is>
          <t>high-waist-shaping-boy-short</t>
        </is>
      </c>
    </row>
    <row r="223" ht="42" customHeight="1" s="229">
      <c r="A223" s="880" t="inlineStr">
        <is>
          <t>Barely Zero T-Shirt Bra</t>
        </is>
      </c>
      <c r="B223" s="881" t="inlineStr">
        <is>
          <t>Underwear</t>
        </is>
      </c>
      <c r="C223" s="882" t="n">
        <v>49</v>
      </c>
      <c r="D223" s="882" t="n">
        <v>49</v>
      </c>
      <c r="E223" s="881" t="inlineStr"/>
      <c r="F223" s="883" t="inlineStr">
        <is>
          <t>The latest in our best-selling series, the Barely Zero T-Shirt Bra shapes and supports with fixed cups, a low profile silhouette, and an updated CloudFit fabric blend with cooling and breathable properties.</t>
        </is>
      </c>
      <c r="G223" s="884" t="inlineStr">
        <is>
          <t>• Adapts for a comfortable, supportive fit for a range of bra sizes. Please see the size guide for more detailed sizing guidance. • Classic t-shirt bra cut with adjustable straps and back clasp (size M-L features 3 rows of clasps and slightly thicker straps). Features fixed cups for easy washing and a rubber strip along the lower band for better shaping. Doesn't dig in or show lines, even under tight clothing! • Made from an updated CloudFit blend: soft, ultra-elastic, moisture-wicking, and now includes cooling and breathable properties to keep your bra fresher for longer.</t>
        </is>
      </c>
      <c r="H223" s="885" t="inlineStr">
        <is>
          <t>67% CloudFit nylon blend, 33% Spandex</t>
        </is>
      </c>
      <c r="I223" s="886" t="inlineStr">
        <is>
          <t>23.7.7, 23AW, Category_Bras/Everyday, Category_Bras/Medium Support, Category_Bras/Plunge, Category_Underwear, Category_Underwear/Tops, Category_Underwear/Tops/Wireless Bra, Collection_Barely Zero, Collection_Barely Zero/Bras, Feature_Best Seller, Priority Products, Sized BZ Bras, US Inventory, US Main</t>
        </is>
      </c>
      <c r="J223" s="887" t="inlineStr">
        <is>
          <t>barely-zero-t-shirt-bra</t>
        </is>
      </c>
    </row>
    <row r="224" ht="42" customHeight="1" s="229">
      <c r="A224" s="888" t="inlineStr">
        <is>
          <t>Barely Zero Plunge Bra</t>
        </is>
      </c>
      <c r="B224" s="889" t="inlineStr">
        <is>
          <t>Underwear</t>
        </is>
      </c>
      <c r="C224" s="890" t="n">
        <v>49</v>
      </c>
      <c r="D224" s="890" t="n">
        <v>49</v>
      </c>
      <c r="E224" s="889" t="inlineStr"/>
      <c r="F224" s="891" t="inlineStr">
        <is>
          <t>The latest in our popular one-size bra series, the Barely Zero Plunge Bra features a lower neckline, fixed cups, and an updated CloudFit fabric blend with cooling and breathable properties .</t>
        </is>
      </c>
      <c r="G224" s="892" t="inlineStr">
        <is>
          <t>• Adapts for a comfortable, supportive fit for a range of bra sizes. Please see the size guide for more detailed sizing guidance. • Low plunge pullover style stays hidden under low-cut shirts. Features fixed cups for easy washing and a rubber strip along the lower band for better shaping. Doesn't dig in or show lines, even under tight clothing! • Made from an updated CloudFit blend: soft, ultra-elastic, moisture-wicking, and now includes cooling and breathable properties to keep your bra fresher for longer.</t>
        </is>
      </c>
      <c r="H224" s="893" t="inlineStr">
        <is>
          <t>67% CloudFit nylon blend, 33% Spandex</t>
        </is>
      </c>
      <c r="I224" s="894" t="inlineStr">
        <is>
          <t>23.7.7, 23AW, Category_Bras/Everyday, Category_Bras/Medium Support, Category_Bras/Plunge, Category_Underwear, Category_Underwear/Tops, Category_Underwear/Tops/Wireless Bra, Collection_Barely Zero, Collection_Barely Zero/Bras, Feature_Best Seller, Flexport Stock, Priority Products, Tariff Final Sale, US Inventory</t>
        </is>
      </c>
      <c r="J224" s="895" t="inlineStr">
        <is>
          <t>barely-zero-plunge-bra</t>
        </is>
      </c>
    </row>
    <row r="225" ht="42" customHeight="1" s="229">
      <c r="A225" s="912" t="inlineStr">
        <is>
          <t>Breeze High Waist Bermuda Shorts</t>
        </is>
      </c>
      <c r="B225" s="913" t="inlineStr">
        <is>
          <t>Active</t>
        </is>
      </c>
      <c r="C225" s="914" t="n">
        <v>69</v>
      </c>
      <c r="D225" s="914" t="n">
        <v>48.3</v>
      </c>
      <c r="E225" s="955" t="inlineStr">
        <is>
          <t>Yes</t>
        </is>
      </c>
      <c r="F225" s="915" t="inlineStr">
        <is>
          <t>Chic, relaxed, yet ready to move at a moment's notice ‚Äî the Breeze High Waist Bermuda Shorts are versatile bottoms perfect for your summer workout or hitting the beach and boardwalk in style.</t>
        </is>
      </c>
      <c r="G225" s="916" t="inlineStr">
        <is>
          <t>• Classic Bermuda shorts with an elastic waistband, zippered side pockets (with an internal card pocket) to carry your daily essentials. • Cut from a breathable, moisture-wicking performance fabric designed to keep you cool and comfortable no matter where your day takes you. Size M is 16.5" in length. • Pair with the matching Breeze Half Zip Crop Top or Breeze Cropped Sunblock Jacket to complete the look.</t>
        </is>
      </c>
      <c r="H225" s="917" t="inlineStr">
        <is>
          <t>68% nylon, 32% Spandex; pocket: 100% polyester • Care Instructions: For best results, wash and dry according to instructions on the care label</t>
        </is>
      </c>
      <c r="I225" s="918" t="inlineStr">
        <is>
          <t>23.7.7, 23AW, 25DEC 30OFF, 25DEC SALE, Activity_Active/Tennis, Category_Active, Category_Active/Shorts, Category_Lounge/Bottoms/Elastic, Collection_Breeze, Flexport Stock, HR-CX, no-returns, Tariff Final Sale, US Inventory</t>
        </is>
      </c>
      <c r="J225" s="919" t="inlineStr">
        <is>
          <t>breeze-high-waist-bermuda-shorts</t>
        </is>
      </c>
    </row>
    <row r="226" ht="42" customHeight="1" s="229">
      <c r="A226" s="904" t="inlineStr">
        <is>
          <t>Breeze Half Zip Crop Top</t>
        </is>
      </c>
      <c r="B226" s="905" t="inlineStr">
        <is>
          <t>Active</t>
        </is>
      </c>
      <c r="C226" s="906" t="n">
        <v>69</v>
      </c>
      <c r="D226" s="906" t="n">
        <v>48.3</v>
      </c>
      <c r="E226" s="956" t="inlineStr">
        <is>
          <t>Yes</t>
        </is>
      </c>
      <c r="F226" s="907" t="inlineStr">
        <is>
          <t>Inspired by active styles of the 1970s, the Breeze Half Zip Crop Top is the perfect choice for a chic, relaxed style and flattering silhouette for your summer workout or casual everyday wear.</t>
        </is>
      </c>
      <c r="G226" s="908" t="inlineStr">
        <is>
          <t>• Slim-fit, retro-inspired sleeveless top in a semi-ribbed texture. • Cut from a breathable, moisture-wicking performance fabric designed to keep you cool and comfortable no matter where your day takes you. Size M is 14.8" in length. • Pair with the matching Breeze High Waist Bermuda Shorts to complete the look.</t>
        </is>
      </c>
      <c r="H226" s="909" t="inlineStr">
        <is>
          <t>68% nylon, 32% Spandex • Care Instructions: For best results, wash and dry according to instructions on the care label</t>
        </is>
      </c>
      <c r="I226" s="910" t="inlineStr">
        <is>
          <t>23.7.7, 23AW, 25DEC 30OFF, 25DEC SALE, Activity_Active/Outdoor, Activity_Active/Tennis, Category_Active, Category_Active/Tops, Collection_Breeze, HR-CX, no-returns, Tariff Final Sale</t>
        </is>
      </c>
      <c r="J226" s="911" t="inlineStr">
        <is>
          <t>breeze-half-zip-crop-top</t>
        </is>
      </c>
    </row>
    <row r="227" ht="42" customHeight="1" s="229">
      <c r="A227" s="912" t="inlineStr">
        <is>
          <t>Ballet Knotted Cardigan - NY Pop-up</t>
        </is>
      </c>
      <c r="B227" s="913" t="inlineStr">
        <is>
          <t>Active</t>
        </is>
      </c>
      <c r="C227" s="914" t="n">
        <v>129</v>
      </c>
      <c r="D227" s="914" t="n">
        <v>129</v>
      </c>
      <c r="E227" s="913" t="inlineStr"/>
      <c r="F227" s="915" t="inlineStr">
        <is>
          <t>An elegant outer layer for any active outfit, this reversible sheer Ballet Knotted Cardigan is equally at home as part of your casual wardrobe rotation ‚Äî a versatile and easy-to-match top designed to be as flexible as you are.</t>
        </is>
      </c>
      <c r="G227" s="916" t="inlineStr">
        <is>
          <t>• Reversible twist design designed to be styled in front or back ‚Äî two options for greater style versatility. • Tailored from a breathable linen-textured nylon blend. • Complete the look with the matching Ballet Slit Joggers!</t>
        </is>
      </c>
      <c r="H227" s="917" t="inlineStr">
        <is>
          <t>76% acetate, 24% nylon • Care instructions: Hand wash in cool water. Line dry in the shade. Do not iron</t>
        </is>
      </c>
      <c r="I227" s="918" t="inlineStr">
        <is>
          <t>23.3.8, 23SS, Activity_Active/Ballet, Activity_Active/Ballet&amp;Dance, Category_Active, Category_Active/Outerwear, Category_Active/Tops, NY Active, NY Sample Sale Upstair, Outerwear</t>
        </is>
      </c>
      <c r="J227" s="919" t="inlineStr">
        <is>
          <t>ballet-knotted-cardigan-ny-pop-up</t>
        </is>
      </c>
    </row>
    <row r="228" ht="42" customHeight="1" s="229">
      <c r="A228" s="880" t="inlineStr">
        <is>
          <t>Core Seamless Sport Boxer Brief - NY Pop-up</t>
        </is>
      </c>
      <c r="B228" s="881" t="inlineStr">
        <is>
          <t>Underwear</t>
        </is>
      </c>
      <c r="C228" s="882" t="n">
        <v>25</v>
      </c>
      <c r="D228" s="882" t="n">
        <v>25</v>
      </c>
      <c r="E228" s="881" t="inlineStr"/>
      <c r="F228" s="883" t="inlineStr">
        <is>
          <t>Our Core Seamless Sport Boxer Brief has an ultra-flattering, comfortable fit with a seamless construction that give these sleek workout undies a light, airy feel ‚Äî perfect for focusing on your movement or lounging around.</t>
        </is>
      </c>
      <c r="G228" s="884" t="inlineStr">
        <is>
          <t>• Unique boxer cut. It sits right at your natural waist and matches well with many other styles. • Soft and smooth, designed to effortlessly lie flat against your skin. • Completely invisible under leggings and fitted jeans.</t>
        </is>
      </c>
      <c r="H228" s="885" t="inlineStr">
        <is>
          <t>Shell: 60% nylon, 40% Spandex. Lining: 100% Cotton • Care instructions: For best results, hand wash with a light detergent in cold water</t>
        </is>
      </c>
      <c r="I228" s="886" t="inlineStr">
        <is>
          <t>22.8.5, 22FW, Category_Active, Category_Active/Core, Category_Underwear, Category_Underwear/Bottoms, Category_Underwear/Bottoms/Panties, HR-CX, NY Sample Sale Upstair, NY Underwear</t>
        </is>
      </c>
      <c r="J228" s="887" t="inlineStr">
        <is>
          <t>core-seamless-sport-boxer-brief-ny-pop-up</t>
        </is>
      </c>
    </row>
    <row r="229" ht="42" customHeight="1" s="229">
      <c r="A229" s="888" t="inlineStr">
        <is>
          <t>Core Seamless Sport Thong - NY Pop-up</t>
        </is>
      </c>
      <c r="B229" s="889" t="inlineStr">
        <is>
          <t>Underwear</t>
        </is>
      </c>
      <c r="C229" s="890" t="n">
        <v>25</v>
      </c>
      <c r="D229" s="890" t="n">
        <v>25</v>
      </c>
      <c r="E229" s="889" t="inlineStr"/>
      <c r="F229" s="891" t="inlineStr">
        <is>
          <t>Completely invisible, breathable, and light as air, our Core Seamless Sport Thong offers a luxe, barely-there feel thanks to a raw-edge finish &amp; ultra-soft, second-skin fabric that moves with you on and off the mat.</t>
        </is>
      </c>
      <c r="G229" s="892" t="inlineStr">
        <is>
          <t>• The ultimate comfortable thong that sits right at your natural waist. • Completely invisible under even the tightest leggings or biker shorts. • Soft and smooth, lies effortlessly flat against your skin.</t>
        </is>
      </c>
      <c r="H229" s="893" t="inlineStr">
        <is>
          <t>Shell: 60% nylon, 40% Spandex. Lining: 100% Cotton • Care instructions: For best results, hand wash with a light detergent in cold water</t>
        </is>
      </c>
      <c r="I229" s="894" t="inlineStr">
        <is>
          <t>22.8.5, 22FW, Category_Active, Category_Active/Core, Category_Underwear, Category_Underwear/Bottoms, Category_Underwear/Bottoms/Panties, Category_Underwear/Bottoms/Panties/Thongs, HR-CX, NY Sample Sale Upstair, NY Underwear</t>
        </is>
      </c>
      <c r="J229" s="895" t="inlineStr">
        <is>
          <t>core-seamless-sport-thong-ny-pop-up</t>
        </is>
      </c>
    </row>
    <row r="230" ht="56" customHeight="1" s="229">
      <c r="A230" s="904" t="inlineStr">
        <is>
          <t>Knotted 2-way Short Sleeve Top - NY Pop-up</t>
        </is>
      </c>
      <c r="B230" s="905" t="inlineStr">
        <is>
          <t>Active</t>
        </is>
      </c>
      <c r="C230" s="906" t="n">
        <v>49</v>
      </c>
      <c r="D230" s="906" t="n">
        <v>49</v>
      </c>
      <c r="E230" s="905" t="inlineStr"/>
      <c r="F230" s="907" t="inlineStr">
        <is>
          <t>The perfect shade from the sun on your morning run or pump cover for your gym set, this Knotted 2-Way Short Sleeve Top is a versatile, lightweight top layer for your workout fit cut from a breathable blend and designed to pair perfectly with your favorite sports bra and leggings.</t>
        </is>
      </c>
      <c r="G230" s="908" t="inlineStr">
        <is>
          <t>• Reversible style ‚Äî wear the twist in front or back depending on where you need airflow most! • Loose fit for mobility and ease of wear for a range of body types. • Tailored in a moisture-wicking, elastic blend of natural and synthetic fibers.</t>
        </is>
      </c>
      <c r="H230" s="909" t="inlineStr">
        <is>
          <t>77% polyester, 17% lyocell, 6% Spandex • Care instructions: For best results, hand wash with like colors in cold water</t>
        </is>
      </c>
      <c r="I230" s="910" t="inlineStr">
        <is>
          <t>23.3.22, 23SS, Activity_Active/Outdoor, Activity_Active/Tennis, Activity_Active/Yoga, Category_Active, Category_Active/Core, Category_Active/Tops, NY Active, NY Sample Sale Upstair, Spring Palette</t>
        </is>
      </c>
      <c r="J230" s="911" t="inlineStr">
        <is>
          <t>knotted-2-way-short-sleeve-top-ny-pop-up</t>
        </is>
      </c>
    </row>
    <row r="231" ht="56" customHeight="1" s="229">
      <c r="A231" s="912" t="inlineStr">
        <is>
          <t>Tennis Skort - NY Pop-up</t>
        </is>
      </c>
      <c r="B231" s="913" t="inlineStr">
        <is>
          <t>Active</t>
        </is>
      </c>
      <c r="C231" s="914" t="n">
        <v>89</v>
      </c>
      <c r="D231" s="914" t="n">
        <v>89</v>
      </c>
      <c r="E231" s="913" t="inlineStr"/>
      <c r="F231" s="915" t="inlineStr">
        <is>
          <t>Designed for comfort and confidence on and off the tennis court, this cute Tennis Skort is made from a wrinkle-resistant elastic blend in two easy-to-match colors ‚Äî perfect for your next match or as part of virtually any elevated casual outfit. Fit tip: if you're in between sizes, we recommend sizing up.</t>
        </is>
      </c>
      <c r="G231" s="916" t="inlineStr">
        <is>
          <t>• Thigh-length with wide elastic waistband and side slits for ease of mobility. • Modesty in motion: includes built-in color-matched shorts with side pockets to keep your hands free on your way to and from your tennis club . • T ailored from a cotton-like Spandex blend for flexibility and durability .</t>
        </is>
      </c>
      <c r="H231" s="917" t="inlineStr">
        <is>
          <t>outer: 88% polyester, 12% Spandex; inner: 84% nylon, 16% Spandex; mesh: 70% nylon, 20% Spandex • Care instructions: Hand wash with like colors in cold water</t>
        </is>
      </c>
      <c r="I231" s="918" t="inlineStr">
        <is>
          <t>23.3.22, 23SS, Activity_Active/Gym, Activity_Active/Outdoor, Activity_Active/Tennis, Category_Active, Category_Active/Shorts, NY Active, NY Sample Sale Upstair</t>
        </is>
      </c>
      <c r="J231" s="919" t="inlineStr">
        <is>
          <t>tennis-skort-ny-pop-up</t>
        </is>
      </c>
    </row>
    <row r="232" ht="56" customHeight="1" s="229">
      <c r="A232" s="904" t="inlineStr">
        <is>
          <t>Tennis Dress - NY Pop-up</t>
        </is>
      </c>
      <c r="B232" s="905" t="inlineStr">
        <is>
          <t>Active</t>
        </is>
      </c>
      <c r="C232" s="906" t="n">
        <v>159</v>
      </c>
      <c r="D232" s="906" t="n">
        <v>159</v>
      </c>
      <c r="E232" s="905" t="inlineStr"/>
      <c r="F232" s="907" t="inlineStr">
        <is>
          <t>Trendy yet timeless, this 2-in-1 Tennis Dress comes with matching shorts for comfort and coverage on and off the court. Whether your sport of choice is tennis, pickleball, or running around town, you'll ace your style in this dress. Fit tip: if you're in between sizes, we recommend sizing up.</t>
        </is>
      </c>
      <c r="G232" s="908" t="inlineStr">
        <is>
          <t>• Features built-in shelf bra with removable cups, open-back design for airflow, and side slits for greater mobility. • Modesty in motion: includes separate color-matched shorts with side pockets to keep your hands free on your way to and from your tennis club (and easy bathroom breaks!). • Tailored from a cotton-like Spandex blend for flexibility and durability.</t>
        </is>
      </c>
      <c r="H232" s="909" t="inlineStr">
        <is>
          <t>shell: 84% nylon, 16% Spandex; mesh: 70% nylon, 30% Spandex • Care instructions: Hand wash with like colors in cold water</t>
        </is>
      </c>
      <c r="I232" s="910" t="inlineStr">
        <is>
          <t>23.3.22, 23SS, Activity_Active/Gym, Activity_Active/Outdoor, Activity_Active/Tennis, Category_Active, NY Active, NY Sample Sale Upstair</t>
        </is>
      </c>
      <c r="J232" s="911" t="inlineStr">
        <is>
          <t>tennis-dress-ny-pop-up</t>
        </is>
      </c>
    </row>
    <row r="233" ht="56" customHeight="1" s="229">
      <c r="A233" s="912" t="inlineStr">
        <is>
          <t>Dance Flare Leggings - NY Pop-up</t>
        </is>
      </c>
      <c r="B233" s="913" t="inlineStr">
        <is>
          <t>Active</t>
        </is>
      </c>
      <c r="C233" s="914" t="n">
        <v>119</v>
      </c>
      <c r="D233" s="914" t="n">
        <v>119</v>
      </c>
      <c r="E233" s="913" t="inlineStr"/>
      <c r="F233" s="915" t="inlineStr">
        <is>
          <t>Made from a buttery smooth fabric that comfortably molds to your body, these Dance Flare Leggings are a great way to upgrade your wardrobe with a confidence-boosting contemporary-retro style perfect for practice and beyond. Fit tip: if you're in between sizes, we recommend sizing up.</t>
        </is>
      </c>
      <c r="G233" s="916" t="inlineStr">
        <is>
          <t>• High waist cut with contrasting-color piping that adds an elegant touch. • Designed for style and support in ballet &amp; yoga – anywhere you find yourself on the move or lounging. • Complete this beautiful set with the matching Dance Halter Sports Bra! • Inseam is 30" for Size M.</t>
        </is>
      </c>
      <c r="H233" s="917" t="inlineStr">
        <is>
          <t>8 1% nylon, 19% Spandex. • Care instructions: For best results, hand wash with like colors in cold water</t>
        </is>
      </c>
      <c r="I233" s="918" t="inlineStr">
        <is>
          <t>22.9.2, Activity_Active/Ballet, Activity_Active/Ballet&amp;Dance, Activity_Active/Gym, Activity_Active/Yoga, Category_Active, Category_Active/Leggings, mousse, NY Mousse, NY Mousse/Core, NY Sample Sale Upstair</t>
        </is>
      </c>
      <c r="J233" s="919" t="inlineStr">
        <is>
          <t>dance-flare-leggings-ny-pop-up</t>
        </is>
      </c>
    </row>
    <row r="234" ht="70" customHeight="1" s="229">
      <c r="A234" s="904" t="inlineStr">
        <is>
          <t>Dance U-Neck Long Sleeve Top - NY Pop-up</t>
        </is>
      </c>
      <c r="B234" s="905" t="inlineStr">
        <is>
          <t>Active</t>
        </is>
      </c>
      <c r="C234" s="906" t="n">
        <v>89</v>
      </c>
      <c r="D234" s="906" t="n">
        <v>89</v>
      </c>
      <c r="E234" s="905" t="inlineStr"/>
      <c r="F234" s="907" t="inlineStr">
        <is>
          <t>From studio to dinner, from home to outdoors, and everywhere else your day might take you: glide through life with the grace of a dancer in our Dance U-Neck Long Sleeve Top: a confidence-boosting contemporary x retro style designed for an elevated look in any environment. Fit tip: if you're in between sizes, we recommend sizing up.</t>
        </is>
      </c>
      <c r="G234" s="908" t="inlineStr">
        <is>
          <t>• U-neck design with stand-out contrasting-color piping. • Mousse fabric – perfect for those who enjoy outdoor city life. • Designed for style and support in ballet &amp; yoga – and anywhere you find yourself on the move.</t>
        </is>
      </c>
      <c r="H234" s="909" t="inlineStr">
        <is>
          <t>8 1% nylon, 19% Spandex. • Care instructions: For best results, hand wash with like colors in cold water</t>
        </is>
      </c>
      <c r="I234" s="910" t="inlineStr">
        <is>
          <t>22.9.16, Activity_Active/Ballet&amp;Dance, Activity_Active/Gym, Activity_Active/Outdoor, Activity_Active/Yoga, Category_Active, Category_Active/Ballet, Category_Active/Tops, mousse, NY Mousse, NY Mousse/Core, NY Sample Sale Upstair</t>
        </is>
      </c>
      <c r="J234" s="911" t="inlineStr">
        <is>
          <t>dance-u-neck-long-sleeve-top-1</t>
        </is>
      </c>
    </row>
    <row r="235" ht="56" customHeight="1" s="229">
      <c r="A235" s="912" t="inlineStr">
        <is>
          <t>Dance Halter Sports Bra - NY Pop-up</t>
        </is>
      </c>
      <c r="B235" s="913" t="inlineStr">
        <is>
          <t>Active</t>
        </is>
      </c>
      <c r="C235" s="914" t="n">
        <v>85</v>
      </c>
      <c r="D235" s="914" t="n">
        <v>85</v>
      </c>
      <c r="E235" s="913" t="inlineStr"/>
      <c r="F235" s="915" t="inlineStr">
        <is>
          <t>Stand out with our Dance Halter Sports Bra, a contemporary-meets-retro style with so many exquisite details that don't hinder fluid motion, a must-have piece to boost your confidence no matter where your day takes you! Fit tip: if you're in between sizes, we recommend sizing up.</t>
        </is>
      </c>
      <c r="G235" s="916" t="inlineStr">
        <is>
          <t>• V-neck, pleated front design with contrasting-color piping that add an elegant touch. • Designed for style and support in ballet, yoga, or light sports. Best suited for A-C cup sizes. • Complete the beautiful set with matching Dance Flare Leggings!</t>
        </is>
      </c>
      <c r="H235" s="917" t="inlineStr">
        <is>
          <t>8 1% nylon, 19% Spandex. • Care instructions: For best results, hand wash with like colors in cold water</t>
        </is>
      </c>
      <c r="I235" s="918" t="inlineStr">
        <is>
          <t>22.9.2, Activity_Active/Ballet, Activity_Active/Ballet&amp;Dance, Activity_Active/Gym, Activity_Active/Yoga, Category_Active, Category_Active/Sports Bra, mousse, NY Mousse, NY Mousse/Core, NY Sample Sale Upstair</t>
        </is>
      </c>
      <c r="J235" s="919" t="inlineStr">
        <is>
          <t>dance-halter-sports-bra-ny-pop-up</t>
        </is>
      </c>
    </row>
    <row r="236" ht="70" customHeight="1" s="229">
      <c r="A236" s="904" t="inlineStr">
        <is>
          <t>Mousse Long Sleeve Sports Top - NY Pop-up</t>
        </is>
      </c>
      <c r="B236" s="905" t="inlineStr">
        <is>
          <t>Active</t>
        </is>
      </c>
      <c r="C236" s="906" t="n">
        <v>65</v>
      </c>
      <c r="D236" s="906" t="n">
        <v>65</v>
      </c>
      <c r="E236" s="905" t="inlineStr"/>
      <c r="F236" s="907" t="inlineStr">
        <is>
          <t>Meet our Mousse Long Sleeve Sports Top, a sleek active shirt designed to help you move to your own rhythm. A slim fit cut and middle-seam detail add a touch of informal elegance to this piece, making it ideal for mixing &amp; matching with your favorite leggings and bottoms for any gym-to-street look! Fit tip: if you're in between sizes, we recommend sizing up.</t>
        </is>
      </c>
      <c r="G236" s="908" t="inlineStr">
        <is>
          <t>• High neckline with long sleeves and a thumbhole design for optimal flexibility while staying stylish. • Features soft yet moisture-wicking Mousse fabric, designed to stretch with your every move. • Perfectly suited for yoga, cycling, studio practice, and everyday wear: anywhere that you'd benefit from full control and freedom of motion!</t>
        </is>
      </c>
      <c r="H236" s="909" t="inlineStr">
        <is>
          <t>80% nylon, 20% Spandex. • Care instructions: For best results, hand wash with a light detergent in cold water</t>
        </is>
      </c>
      <c r="I236" s="910" t="inlineStr">
        <is>
          <t>22.9.16, Activity_Active/Gym, Activity_Active/Outdoor, Activity_Active/Yoga, Category_Active, Category_Active/Core, Category_Active/Tops, mousse, NY Mousse, NY Mousse/Core, NY Sample Sale Upstair</t>
        </is>
      </c>
      <c r="J236" s="911" t="inlineStr">
        <is>
          <t>mousse-long-sleeve-sports-top-ny-pop-up</t>
        </is>
      </c>
    </row>
    <row r="237" ht="56" customHeight="1" s="229">
      <c r="A237" s="912" t="inlineStr">
        <is>
          <t>Mousse Cropped Sports Tank - NY Pop-up</t>
        </is>
      </c>
      <c r="B237" s="913" t="inlineStr">
        <is>
          <t>Active</t>
        </is>
      </c>
      <c r="C237" s="914" t="n">
        <v>49</v>
      </c>
      <c r="D237" s="914" t="n">
        <v>49</v>
      </c>
      <c r="E237" s="913" t="inlineStr"/>
      <c r="F237" s="915" t="inlineStr">
        <is>
          <t>Simple and chic, our Mousse Cropped Sports Tank is designed to allow you to move to your own rhythm. Made from a sleek Mousse fabric that's moisture-wicking and quick-drying, this top will work to keep you cool and comfortable in the gym or anywhere you go. Fit tip: if you're in between sizes, we recommend sizing up.</t>
        </is>
      </c>
      <c r="G237" s="916" t="inlineStr">
        <is>
          <t>• Sleeveless with a high neckline. • Features soft yet moisture-wicking Mousse fabric, designed to stretch with your every move. • Perfectly suited for yoga, cycling, studio practice, and everyday wear: anywhere that you'd benefit from full control and freedom of motion!</t>
        </is>
      </c>
      <c r="H237" s="917" t="inlineStr">
        <is>
          <t>80% nylon, 20% Spandex. • Care instructions: For best results, hand wash with a light detergent in cold water</t>
        </is>
      </c>
      <c r="I237" s="918" t="inlineStr">
        <is>
          <t>22.9.16, Activity_Active/Gym, Activity_Active/Outdoor, Activity_Active/Tennis, Activity_Active/Yoga, Category_Active, Category_Active/Core, Category_Active/Tops, mousse, NY Mousse, NY Mousse/Core, NY Sample Sale Upstair</t>
        </is>
      </c>
      <c r="J237" s="919" t="inlineStr">
        <is>
          <t>mousse-cropped-sports-tank-ny-pop-up</t>
        </is>
      </c>
    </row>
    <row r="238" ht="70" customHeight="1" s="229">
      <c r="A238" s="904" t="inlineStr">
        <is>
          <t>Core High Support Leggings 2.0 - NY Pop-up</t>
        </is>
      </c>
      <c r="B238" s="905" t="inlineStr">
        <is>
          <t>Active</t>
        </is>
      </c>
      <c r="C238" s="906" t="n">
        <v>99</v>
      </c>
      <c r="D238" s="906" t="n">
        <v>99</v>
      </c>
      <c r="E238" s="905" t="inlineStr"/>
      <c r="F238" s="907" t="inlineStr">
        <is>
          <t>The Core High Support Leggings 2.0 feature several improvements from their previous iteration including a new drawstring waistband for a better fit, V-shaped waist seams for greater definition, and an improved fabric blend. Available in two easy-to-match colors, this elegantly minimalist style was made with even your most intense workouts in mind!</t>
        </is>
      </c>
      <c r="G238" s="908" t="inlineStr">
        <is>
          <t>• High-waist, ankle-length, street-to-studio style designed for comfort and mobility in any activity. • Tailored from a p erformance blend of Spandex and nylon ‚Äî fast-drying, breathable, and extremely elastic. • Features functional side pockets for your phone, keys, and other accessories. • Inseam is 22.6" for Size M.</t>
        </is>
      </c>
      <c r="H238" s="909" t="inlineStr">
        <is>
          <t>body: 63% nylon, 37% Spandex; mesh: 71% nylon, 29% Spandex • Care instructions: For best results, hand wash with like colors in cold water</t>
        </is>
      </c>
      <c r="I238" s="910" t="inlineStr">
        <is>
          <t>23.3.29, 23SS, Activity_Active/Running, Activity_Active/Yoga, Category_Active, Category_Active/Core, Category_Active/Leggings, NY Mousse/Core, NY Sample Sale Upstair</t>
        </is>
      </c>
      <c r="J238" s="911" t="inlineStr">
        <is>
          <t>core-high-support-leggings-2-0-ny-pop-up</t>
        </is>
      </c>
    </row>
    <row r="239" ht="84" customHeight="1" s="229">
      <c r="A239" s="912" t="inlineStr">
        <is>
          <t>Core High Support X-Back Sports Bra - NY Pop-up</t>
        </is>
      </c>
      <c r="B239" s="913" t="inlineStr">
        <is>
          <t>Active</t>
        </is>
      </c>
      <c r="C239" s="914" t="n">
        <v>79</v>
      </c>
      <c r="D239" s="914" t="n">
        <v>79</v>
      </c>
      <c r="E239" s="913" t="inlineStr"/>
      <c r="F239" s="915" t="inlineStr">
        <is>
          <t>The Core High-Support X-Back Sports Bra: for those days when you push yourself to the limit. This sports bra is exactly what you need for full chest support during even the most high-impact exercises, with adjustable back straps for a custom fit and a reflective stripe for low-light safety when your workout takes you out before dawn or after dusk. Fit tip: if you're in between sizes, we recommend sizing up.</t>
        </is>
      </c>
      <c r="G239" s="916" t="inlineStr">
        <is>
          <t>• Made from a d urable nylon-Spandex blend with Motion Support‚Ñ¢ lining to prevent unwanted movement &amp; friction. • Moisture-wicking Turbo Dry¬Æ technology • Adjustable X-shaped back straps offer maximum support for intense exercises such as running, aerobics, jumping rope, or any activity with a lot of up-and-down motions.</t>
        </is>
      </c>
      <c r="H239" s="917" t="inlineStr">
        <is>
          <t>Body: 54% nylon, 46% Spandex; Mesh: 80% nylon, 20% Spandex; Elastic: 89% nylon, 11% Spandex; Cups: 100% polyester • Care instructions: Gently hand wash with like colors in cold water</t>
        </is>
      </c>
      <c r="I239" s="918" t="inlineStr">
        <is>
          <t>22.10.28, 23.3.29, 23SS, Activity_Active/Gym, Activity_Active/Running, Activity_Active/Tennis, Category_Active, Category_Active/Core, Category_Active/Sports Bra, Category_Active/Sports Bra/V-M-X Core Collection, Feature_Best Seller, NY Mousse/Core, NY Sample Sale Upstair, Sports Bra with Plus Sizes</t>
        </is>
      </c>
      <c r="J239" s="919" t="inlineStr">
        <is>
          <t>core-high-support-x-back-sports-bra-ny-pop-up</t>
        </is>
      </c>
    </row>
    <row r="240" ht="56" customHeight="1" s="229">
      <c r="A240" s="904" t="inlineStr">
        <is>
          <t>Mousse Core Light Support V-Back Sports Bra - NY Pop-up</t>
        </is>
      </c>
      <c r="B240" s="905" t="inlineStr">
        <is>
          <t>Active</t>
        </is>
      </c>
      <c r="C240" s="906" t="n">
        <v>69</v>
      </c>
      <c r="D240" s="906" t="n">
        <v>69</v>
      </c>
      <c r="E240" s="905" t="inlineStr"/>
      <c r="F240" s="907" t="inlineStr">
        <is>
          <t>Our latest rendition of a popular Core series sports bra, the Mousse Core Light Support V-Back Sports Bra features improved support and is tailored from a smooth mousse blend ‚Äî perfect for comfort and confidence as you pursue yoga, Pilates, and other low-intensity activities of your choice.</t>
        </is>
      </c>
      <c r="G240" s="908" t="inlineStr">
        <is>
          <t>• Soft, moisture-wicking, &amp; breathable mousse blend in a rich emerald green. • Features non-adjustable V-shaped back straps. • Complete the set: pair with the matching Mousse Core Light Support High Waist Leggings!</t>
        </is>
      </c>
      <c r="H240" s="909" t="inlineStr">
        <is>
          <t>Body: 81% nylon, 19% Spandex; Lining: 89% nylon, 11% Spandex; Mesh: 70% nylon, 30% Spandex • Care instructions: For best results, hand wash with like colors in cold water</t>
        </is>
      </c>
      <c r="I240" s="910" t="inlineStr">
        <is>
          <t>23.3.29, 23SS, Activity_Active/Gym, Activity_Active/Outdoor, Activity_Active/Yoga, Category_Active, Category_Active/Core, Category_Active/Sports Bra, Category_Active/Sports Bra/V-M-X Core Collection, mousse, NY Mousse, NY Mousse/Core, NY Sample Sale Upstair</t>
        </is>
      </c>
      <c r="J240" s="911" t="inlineStr">
        <is>
          <t>mousse-core-light-support-v-back-sports-bra-ny-pop-up</t>
        </is>
      </c>
    </row>
    <row r="241" ht="56" customHeight="1" s="229">
      <c r="A241" s="912" t="inlineStr">
        <is>
          <t>Mousse Core Medium Support M Back Long Sports Bra - NY Pop-up</t>
        </is>
      </c>
      <c r="B241" s="913" t="inlineStr">
        <is>
          <t>Active</t>
        </is>
      </c>
      <c r="C241" s="914" t="n">
        <v>89</v>
      </c>
      <c r="D241" s="914" t="n">
        <v>89</v>
      </c>
      <c r="E241" s="913" t="inlineStr"/>
      <c r="F241" s="915" t="inlineStr">
        <is>
          <t>Our latest rendition of a popular Core series sports bra, the Mousse Core Medium Support M-Back Sports Bra features an improved fixed-cup structure and is tailored in a smooth mousse blend ‚Äî perfect for comfort and confidence as you pursue dance, cycling, and other mid-intensity activities of your choice.</t>
        </is>
      </c>
      <c r="G241" s="916" t="inlineStr">
        <is>
          <t>• Soft, moisture-wicking, &amp; breathable mousse blend in an easy-to-match neutral color. • Features non-adjustable M-shaped back straps. • Complete the set: pair with the matching Mousse Core Medium Support Leggings!</t>
        </is>
      </c>
      <c r="H241" s="917" t="inlineStr">
        <is>
          <t>Body: 70% nylon, 30% Spandex; Lining: 88% nylon, 12% Spandex; Mesh: 100% polyester • Care instructions: For best results, hand wash with like colors in cold water</t>
        </is>
      </c>
      <c r="I241" s="918" t="inlineStr">
        <is>
          <t>23.3.29, 23SS, Activity_Active/Gym, Activity_Active/Outdoor, Activity_Active/Running, Activity_Active/Tennis, Activity_Active/Yoga, Category_Active, Category_Active/Core, Category_Active/Sports Bra, Category_Active/Sports Bra/V-M-X Core Collection, mousse, NY Mousse, NY Mousse/Core, NY Sample Sale Upstair</t>
        </is>
      </c>
      <c r="J241" s="919" t="inlineStr">
        <is>
          <t>mousse-core-medium-support-m-back-long-sports-bra-ny-pop-up</t>
        </is>
      </c>
    </row>
    <row r="242" ht="28" customHeight="1" s="229">
      <c r="A242" s="880" t="inlineStr">
        <is>
          <t>Seamless Sculpting Bandeau Bra</t>
        </is>
      </c>
      <c r="B242" s="881" t="inlineStr">
        <is>
          <t>Underwear</t>
        </is>
      </c>
      <c r="C242" s="882" t="n">
        <v>45</v>
      </c>
      <c r="D242" s="882" t="n">
        <v>45</v>
      </c>
      <c r="E242" s="881" t="inlineStr"/>
      <c r="F242" s="883" t="inlineStr">
        <is>
          <t>The Seamless Sculpting Bandeau Bra features removable straps and a non-slip silicone strip for clasp-free support under any outfit.</t>
        </is>
      </c>
      <c r="G242" s="884" t="inlineStr">
        <is>
          <t>• One-piece pullover design with classic 3/4 push-up cups, removable straps, and non-slip silicone strip. • Clasp-free and seamless for reduced friction and a sleek finish under form-fitting dresses or crop tops. • Tailored from a moisture-wicking breathable blend.</t>
        </is>
      </c>
      <c r="H242" s="885" t="inlineStr">
        <is>
          <t>shell: 77% nylon, 23% Spandex; side: 79% nylon, 21% Spandex; lining: 100% polyester • Care instructions: For best results, wash and dry according to instructions on the care label</t>
        </is>
      </c>
      <c r="I242" s="886" t="inlineStr">
        <is>
          <t>23.5.17, 23SS, 23SS A3 Size Bra, Category_Bras/Light Support, Category_Bras/Strapless, Category_Underwear, Category_Underwear/Tops, Category_Underwear/Tops/Wireless Bra, Category_Underwear/Tops/Wireless Bra/Bandeau, Category_Underwear/Tops/Wireless Bra/Seamless, Feature_Best Seller, Flexport Stock, LBD23, SML Size Bras, US Inventory, US Main</t>
        </is>
      </c>
      <c r="J242" s="887" t="inlineStr">
        <is>
          <t>seamless-sculpting-bandeau-bra</t>
        </is>
      </c>
    </row>
    <row r="243" ht="56" customHeight="1" s="229">
      <c r="A243" s="888" t="inlineStr">
        <is>
          <t>Essential Support Bandeau Bra</t>
        </is>
      </c>
      <c r="B243" s="889" t="inlineStr">
        <is>
          <t>Underwear</t>
        </is>
      </c>
      <c r="C243" s="890" t="n">
        <v>55</v>
      </c>
      <c r="D243" s="890" t="n">
        <v>55</v>
      </c>
      <c r="E243" s="889" t="inlineStr"/>
      <c r="F243" s="891" t="inlineStr">
        <is>
          <t>The comfort and strapless support of our best-selling Essential Bandeau Bra are now available in a higher support option ‚Äî the Essential Support Bandeau Bra features improved cup support and an anti-slip silicone band that make it a must-have for those of us with more curves.</t>
        </is>
      </c>
      <c r="G243" s="892" t="inlineStr">
        <is>
          <t>• Wireless construction with wide removable straps and an M-shaped cup structure for easy support under any strapless tops or dresses. • Made from a flexible, breathable poly-Spandex blend for the perfect stretch and form-fitting support. Anti-slip silicone band for a secure fit. • Non-removable chest padding. Back clasp closure with mesh panel for enhanced airflow.</t>
        </is>
      </c>
      <c r="H243" s="893" t="inlineStr">
        <is>
          <t>cups: 84% nylon, 16% Spandex; side: 70% Spandex, 30% nylon; lining: 100% polyester • Care instructions: For best results, wash and dry according to instructions on the care label</t>
        </is>
      </c>
      <c r="I243" s="894" t="inlineStr">
        <is>
          <t>23.5.17, 23SS, A-D Size Bras, Band + Cup Bra, Category_Bras/High Support, Category_Bras/Strapless, Category_Underwear, Category_Underwear/Tops, Category_Underwear/Tops/Wireless Bra, Category_Underwear/Tops/Wireless Bra/Bandeau, Feature_Best Seller, Flexport Stock, LBD23, US Inventory, US Main</t>
        </is>
      </c>
      <c r="J243" s="895" t="inlineStr">
        <is>
          <t>essential-support-bandeau-bra</t>
        </is>
      </c>
    </row>
    <row r="244" ht="42" customHeight="1" s="229">
      <c r="A244" s="904" t="inlineStr">
        <is>
          <t>Seamless Active T-Shirt</t>
        </is>
      </c>
      <c r="B244" s="905" t="inlineStr">
        <is>
          <t>Active</t>
        </is>
      </c>
      <c r="C244" s="906" t="n">
        <v>49</v>
      </c>
      <c r="D244" s="906" t="n">
        <v>34.3</v>
      </c>
      <c r="E244" s="956" t="inlineStr">
        <is>
          <t>Yes</t>
        </is>
      </c>
      <c r="F244" s="907" t="inlineStr">
        <is>
          <t>Peak performance and a style to match: our Seamless Active T-Shirt is tailored for a slim, seamless fit perfect for any workout routine and a confidence-boosting fit anywhere else you find yourself on the way to or from the gym or studio.</t>
        </is>
      </c>
      <c r="G244" s="908" t="inlineStr">
        <is>
          <t>• Classic slim-fit raglan-sleeved athletic tee ‚Äî a perfect choice whenever and wherever it's time to get moving. • Tailored for a seamless fit: fewer hemlines for less friction as you push through your active routine. Size M is 20.5" in length. • Cut from a moisture-wicking blend perfect for staying cool and comfortable under any conditions.</t>
        </is>
      </c>
      <c r="H244" s="909" t="inlineStr">
        <is>
          <t>51% nylon, 45% polyester, 4% Spandex • Care instructions: For best results, wash and dry according to instructions on the care label</t>
        </is>
      </c>
      <c r="I244" s="910" t="inlineStr">
        <is>
          <t>23.4.26, 23SS, 25Feb Sale, Activity_Active/Gym, Activity_Active/Outdoor, Activity_Active/Running, Activity_Active/Yoga, Category_Active, Category_Active/Tops, HR-CX, LBD23, no-returns, Tariff Final Sale</t>
        </is>
      </c>
      <c r="J244" s="911" t="inlineStr">
        <is>
          <t>seamless-active-t-shirt</t>
        </is>
      </c>
    </row>
    <row r="245" ht="42" customHeight="1" s="229">
      <c r="A245" s="896" t="inlineStr">
        <is>
          <t>Maternity V-Neck Top</t>
        </is>
      </c>
      <c r="B245" s="897" t="inlineStr">
        <is>
          <t>Loungewear</t>
        </is>
      </c>
      <c r="C245" s="898" t="n">
        <v>55</v>
      </c>
      <c r="D245" s="898" t="n">
        <v>55</v>
      </c>
      <c r="E245" s="897" t="inlineStr"/>
      <c r="F245" s="899" t="inlineStr">
        <is>
          <t>Crafted for comfort and style in the most tender time of your life: our Maternity V-Neck Top is made from a soft silk-modal blend in a timeless aesthetic ‚Äî perfect for getting much-needed rest through pregnancy and beyond.</t>
        </is>
      </c>
      <c r="G245" s="900" t="inlineStr">
        <is>
          <t>• Features a chic crossover design, cropped sleeves for comfort in warmer months, and generous drape to accommodate your belly in pregnancy. • Tailored from a premium blend of rich mulberry silk and supple TENCEL‚Ñ¢ Modal with just a bit of Spandex added for stretch ‚Äî naturally breathable, carbon neutral for a cleaner environment, and so, so soft on the skin. • Complete the set: pair with the matching Maternity Pajama Pants.</t>
        </is>
      </c>
      <c r="H245" s="901" t="inlineStr">
        <is>
          <t>79% TENCEL‚Ñ¢ M odal, 11% mulberry silk, 10% Spandex • Care instructions: For best results, wash and dry according to instructions on the care label</t>
        </is>
      </c>
      <c r="I245" s="902" t="inlineStr">
        <is>
          <t>23.4.19, 23SS, CarbonZero, Category_Bras/Nursing, Category_Lounge, Category_Lounge/Pajamas &amp; Robes, Category_Lounge/Pajamas &amp; Robes/Top, Category_Lounge/Tops, Fabric_Lounge/Silk, Fabric_Lounge/Tencel Modal, LBD23, Tariff Final Sale</t>
        </is>
      </c>
      <c r="J245" s="903" t="inlineStr">
        <is>
          <t>maternity-v-neck-top</t>
        </is>
      </c>
    </row>
    <row r="246" ht="56" customHeight="1" s="229">
      <c r="A246" s="928" t="inlineStr">
        <is>
          <t>Maternity Wrap Top</t>
        </is>
      </c>
      <c r="B246" s="929" t="inlineStr">
        <is>
          <t>Loungewear</t>
        </is>
      </c>
      <c r="C246" s="930" t="n">
        <v>69</v>
      </c>
      <c r="D246" s="930" t="n">
        <v>69</v>
      </c>
      <c r="E246" s="929" t="inlineStr"/>
      <c r="F246" s="931" t="inlineStr">
        <is>
          <t>Loungewear carefully crafted for comfort and style in the most tender time of your life: our Maternity Wrap Top is tailored from a luxuriously soft silk-modal blend in a timeless caesthetic ‚Äî perfect for getting much-needed rest and relaxation through pregnancy, into maternity, and beyond.</t>
        </is>
      </c>
      <c r="G246" s="932" t="inlineStr">
        <is>
          <t>• Features a chic crossover tie design for easy access when nursing and a generous drape to accommodate your belly in pregnancy. • Tailored from a premium blend of rich mulberry silk and supple TENCEL‚Ñ¢ Modal with just a bit of Spandex added for stretch ‚Äî carbon neutral for a cleaner environment, and so, so soft on the skin. Size M is 26.0" in length. • Complete the set: pair with the matching Maternity Pajama Pants.</t>
        </is>
      </c>
      <c r="H246" s="933" t="inlineStr">
        <is>
          <t>79% TENCEL‚Ñ¢ M odal, 11% mulberry silk, 10% Spandex • Care instructions: For best results, wash and dry according to instructions on the care label</t>
        </is>
      </c>
      <c r="I246" s="934" t="inlineStr">
        <is>
          <t>23.4.19, 23SS, CarbonZero, Category_Bras/Nursing, Category_Lounge, Category_Lounge/Pajamas &amp; Robes, Category_Lounge/Pajamas &amp; Robes/Top, Category_Lounge/Tops, Fabric_Lounge/Silk, Fabric_Lounge/Tencel Modal, Flexport Stock, LBD23, Tariff Final Sale, US Inventory</t>
        </is>
      </c>
      <c r="J246" s="935" t="inlineStr">
        <is>
          <t>maternity-wrap-top</t>
        </is>
      </c>
    </row>
    <row r="247" ht="42" customHeight="1" s="229">
      <c r="A247" s="938" t="inlineStr">
        <is>
          <t>Men's Low-Cut Socks (3-Pack) - NY Office</t>
        </is>
      </c>
      <c r="B247" s="939" t="inlineStr">
        <is>
          <t>Men</t>
        </is>
      </c>
      <c r="C247" s="940" t="n">
        <v>19</v>
      </c>
      <c r="D247" s="940" t="n">
        <v>19</v>
      </c>
      <c r="E247" s="939" t="inlineStr"/>
      <c r="F247" s="942" t="inlineStr">
        <is>
          <t>Perfect everyday minimalist socks with a low profile and ultra-comfort, these Men's Low-Cut Socks come in a convenient value pack (perfect for stocking your own sock drawer or as a practical gift for loved ones).</t>
        </is>
      </c>
      <c r="G247" s="943" t="inlineStr">
        <is>
          <t>• Low-cut socks in easy-to-match colors. Each pack includes three pairs of socks. • Made from a comfortable, antibacterial blend of cotton &amp; Spandex that keeps skin clean, dry, and healthy. • Easy care- durable &amp; machine washable.</t>
        </is>
      </c>
      <c r="H247" s="944" t="inlineStr">
        <is>
          <t>60% cotton, 32% nylon, 4% Spandex, 4% Polyester. • Care Instructions: Machine wash in cold water, hang to dry</t>
        </is>
      </c>
      <c r="I247" s="945" t="inlineStr">
        <is>
          <t>22.7.15, 22FW, 22SS 7.15, Bundle Collection, Category_Men, Category_Men/Accessories, Category_Men/Socks, Collection_Valentine, Feature_Best Seller, NY Sample Sale Upstair</t>
        </is>
      </c>
      <c r="J247" s="946" t="inlineStr">
        <is>
          <t>mens-low-cut-socks-3-pack-ny-sample-sale</t>
        </is>
      </c>
    </row>
    <row r="248" ht="56" customHeight="1" s="229">
      <c r="A248" s="958" t="inlineStr">
        <is>
          <t>Men's Modal Brief 2.0 - NY Pop-up</t>
        </is>
      </c>
      <c r="B248" s="959" t="inlineStr">
        <is>
          <t>Men</t>
        </is>
      </c>
      <c r="C248" s="960" t="n">
        <v>19</v>
      </c>
      <c r="D248" s="960" t="n">
        <v>19</v>
      </c>
      <c r="E248" s="959" t="inlineStr"/>
      <c r="F248" s="961" t="inlineStr">
        <is>
          <t>Tailored from a silky-smooth blend of TENCEL‚Ñ¢ Modal and Spandex, our Men's Modal Brief 2.0 provides excellent stretch and superb comfort ‚Äî you'll love the feeling of wearing nothing at all with its completely seamless design and stay-put waistband.</t>
        </is>
      </c>
      <c r="G248" s="962" t="inlineStr">
        <is>
          <t>• Highly flexible to accommodate different body types. • Flat chafe-free seams- no friction or show-through lines, in jeans or even thin slacks. • Made from a durable, antibacterial blend of TENCEL‚Ñ¢ Modal &amp; Spandex. Keeps skin clean, healthy, and breathing easy. • Available in multiple colors for different moods and styles!</t>
        </is>
      </c>
      <c r="H248" s="963" t="inlineStr">
        <is>
          <t>90% TENCEL‚Ñ¢ Modal, 10% Spandex. • Care instructions: Hand or machine wash and dry according to instructions on the care label using a mild laundry detergent</t>
        </is>
      </c>
      <c r="I248" s="964" t="inlineStr">
        <is>
          <t>22.7.22, 22FW, Category_Men, Category_Men/Underwear, Collection_Valentine, Feature_Best Seller, HR-CX, NY Sample Sale Upstair</t>
        </is>
      </c>
      <c r="J248" s="965" t="inlineStr">
        <is>
          <t>mens-modal-brief-2-0-ny-sample-sale</t>
        </is>
      </c>
    </row>
    <row r="249" ht="42" customHeight="1" s="229">
      <c r="A249" s="938" t="inlineStr">
        <is>
          <t>Men‚Äôs Cotton Boxer Brief - NY Pop-up</t>
        </is>
      </c>
      <c r="B249" s="939" t="inlineStr">
        <is>
          <t>Men</t>
        </is>
      </c>
      <c r="C249" s="940" t="n">
        <v>19</v>
      </c>
      <c r="D249" s="940" t="n">
        <v>19</v>
      </c>
      <c r="E249" s="939" t="inlineStr"/>
      <c r="F249" s="942" t="inlineStr">
        <is>
          <t>Our best-selling boxer brief, now available in cotton. The Men's Cotton Boxer Brief is our elevated take on a classic design designed to maximize comfort with soft &amp; breathable cotton, with great support and an excellent fit.</t>
        </is>
      </c>
      <c r="G249" s="943" t="inlineStr">
        <is>
          <t>• Crafted with super soft cotton blend stretch for a long-lasting comfort. • Available in multiple colors suited for different moods and styles. • S turdy comfort waistband to prevent rolling or digging throughout the day.</t>
        </is>
      </c>
      <c r="H249" s="944" t="inlineStr">
        <is>
          <t>91% cotton, 9% Spandex. • Care instructions: Hand or machine wash and dry according to instructions on the care label using a mild laundry detergent</t>
        </is>
      </c>
      <c r="I249" s="945" t="inlineStr">
        <is>
          <t>22.7.15, 22FW, 22SS 7.15, Category_Men, Category_Men/Underwear, Collection_Valentine, HR-CX, NY Sample Sale Upstair</t>
        </is>
      </c>
      <c r="J249" s="946" t="inlineStr">
        <is>
          <t>men-s-cotton-boxer-brief-ny-sample-sale</t>
        </is>
      </c>
    </row>
    <row r="250" ht="56" customHeight="1" s="229">
      <c r="A250" s="896" t="inlineStr">
        <is>
          <t>Boundless Soft Tapered Pants - NY Pop-up</t>
        </is>
      </c>
      <c r="B250" s="897" t="inlineStr">
        <is>
          <t>Loungewear</t>
        </is>
      </c>
      <c r="C250" s="898" t="n">
        <v>69</v>
      </c>
      <c r="D250" s="898" t="n">
        <v>69</v>
      </c>
      <c r="E250" s="897" t="inlineStr"/>
      <c r="F250" s="899" t="inlineStr">
        <is>
          <t>A timeless loungewear set you don't want to miss! Our Boundless Soft Tapered Pants exude ease and simplicity. The relaxed yet elegant shape is perfect for lounging and for running errand s ‚Äî exactly what you need to unwind after a long day.</t>
        </is>
      </c>
      <c r="G250" s="900" t="inlineStr">
        <is>
          <t>• Tapered fit, front pockets, and a smooth drape for a flattering fit. • Constructed in a cotton blend, this relaxed loungewear feels soft against the skin; slipping them on is delightfully soothing! • Simple yet versatile for multiple occasions: reading on the couch, walking the dog in the morning, or as a comfy airport outfit. • Complete this cozy set with the matching Boundless Soft Tapered Sweatshirt!</t>
        </is>
      </c>
      <c r="H250" s="901" t="inlineStr">
        <is>
          <t>96% cotton, 4% Spandex. • Care instructions: For best results, hand wash with a light detergent in cold water</t>
        </is>
      </c>
      <c r="I250" s="902" t="inlineStr">
        <is>
          <t>22.9.23, Category_Lounge, Category_Lounge/Bottoms, Category_Lounge/Bottoms/Elastic, Category_Lounge/Pants, Collection_Boundless, NY Lounge, NY Sample Sale Upstair</t>
        </is>
      </c>
      <c r="J250" s="903" t="inlineStr">
        <is>
          <t>boundless-soft-tapered-pants-ny-sample-sale</t>
        </is>
      </c>
    </row>
    <row r="251" ht="56" customHeight="1" s="229">
      <c r="A251" s="928" t="inlineStr">
        <is>
          <t>Boundless Fleece Jacket 2.0 - NY Pop-up</t>
        </is>
      </c>
      <c r="B251" s="929" t="inlineStr">
        <is>
          <t>Loungewear</t>
        </is>
      </c>
      <c r="C251" s="930" t="n">
        <v>129</v>
      </c>
      <c r="D251" s="930" t="n">
        <v>129</v>
      </c>
      <c r="E251" s="929" t="inlineStr"/>
      <c r="F251" s="931" t="inlineStr">
        <is>
          <t>Reimagine your everyday jacket with our ultra-comfy Boundless Fleece Jacket! This upgraded version of our best-selling fleece jacket is the perfect outer layer for a day of exploring or relaxing at home. Made from a cozy blend of cashmere and cotton to keep you warm while staying effortlessly stylish.</t>
        </is>
      </c>
      <c r="G251" s="932" t="inlineStr">
        <is>
          <t>• Casual, on-trend oversized silhouette with two-way zipper closure and side pockets. • Drawstring at the hem for a sporty look while keeping you warm on cold days. • Made from a warm and durable cotton blend with a touch of cashmere.</t>
        </is>
      </c>
      <c r="H251" s="933" t="inlineStr">
        <is>
          <t>32% viscose, 21% acrylic, 18% cotton, 17% polyester, 10% Spandex, 2% cashmere. • Care instructions: For best results, hand wash with a light detergent in cold water</t>
        </is>
      </c>
      <c r="I251" s="934" t="inlineStr">
        <is>
          <t>22.9.23, Category_Lounge, Category_Lounge/Sweatshirts, Category_Lounge/Tops, Collection_Boundless, NY Lounge, NY Sample Sale Upstair</t>
        </is>
      </c>
      <c r="J251" s="935" t="inlineStr">
        <is>
          <t>boundless-fleece-jacket-2-0-ny-sample-sale</t>
        </is>
      </c>
    </row>
    <row r="252" ht="42" customHeight="1" s="229">
      <c r="A252" s="896" t="inlineStr">
        <is>
          <t>Satin Wrap Shirt - NY Pop-up</t>
        </is>
      </c>
      <c r="B252" s="897" t="inlineStr">
        <is>
          <t>Loungewear</t>
        </is>
      </c>
      <c r="C252" s="898" t="n">
        <v>155</v>
      </c>
      <c r="D252" s="898" t="n">
        <v>155</v>
      </c>
      <c r="E252" s="897" t="inlineStr"/>
      <c r="F252" s="899" t="inlineStr">
        <is>
          <t>Designed with holiday parties and late nights with friends and family in mind, this chic Satin Wrap Shirt is an easy statement top for dressing up or down at any soiree.</t>
        </is>
      </c>
      <c r="G252" s="900" t="inlineStr">
        <is>
          <t>• Features long sleeves, wrap-around belt tie, and chic collar. • Tailored for a slim fit, easy to style or layer in any season. • A versatile style equally at home in the office, at holiday parties, or as part of any elevated outfit.</t>
        </is>
      </c>
      <c r="H252" s="901" t="inlineStr">
        <is>
          <t>100% polyester • Care instructions: Handwashing recommended. Line dry. Do not iron</t>
        </is>
      </c>
      <c r="I252" s="902" t="inlineStr">
        <is>
          <t>22.10.28, Category_Lounge, Category_Lounge/Tops, Collection_Valentine, NY Lounge, NY Sample Sale Upstair</t>
        </is>
      </c>
      <c r="J252" s="903" t="inlineStr">
        <is>
          <t>satin-wrap-shirt-ny-sample-sale</t>
        </is>
      </c>
    </row>
    <row r="253" ht="42" customHeight="1" s="229">
      <c r="A253" s="928" t="inlineStr">
        <is>
          <t>Alpaca Wrap Cardigan - NY Pop-up</t>
        </is>
      </c>
      <c r="B253" s="929" t="inlineStr">
        <is>
          <t>Loungewear</t>
        </is>
      </c>
      <c r="C253" s="930" t="n">
        <v>269</v>
      </c>
      <c r="D253" s="930" t="n">
        <v>269</v>
      </c>
      <c r="E253" s="929" t="inlineStr"/>
      <c r="F253" s="931" t="inlineStr">
        <is>
          <t>This elevated Alpaca Wrap Cardigan is a sure stand-out in any winter wardrobe this season, the perfect knit piece for layering into any outfit: equal parts warm, versatile, and eye-catching!</t>
        </is>
      </c>
      <c r="G253" s="932" t="inlineStr">
        <is>
          <t>• Shawl style cardigan with a chic waist tie. • Knit from a thick warm alpaca wool blend. • Available in two season-appropriate colors that will easily match the rest of your winter wardrobe.</t>
        </is>
      </c>
      <c r="H253" s="933" t="inlineStr">
        <is>
          <t>78% alpaca wool, 20% nylon, 2% Spandex • Care instructions: Professional dry-cleaning recommended</t>
        </is>
      </c>
      <c r="I253" s="934" t="inlineStr">
        <is>
          <t>22.10.28, Category_Lounge, Category_Lounge/Knitwear, Category_Lounge/Outerwear, Category_Lounge/Tops, Collection_Valentine, Fabric_Lounge/Cashmere &amp; Wool, NY Lounge, NY Sample Sale Upstair</t>
        </is>
      </c>
      <c r="J253" s="935" t="inlineStr">
        <is>
          <t>alpaca-wrap-cardigan-ny-sample-sale</t>
        </is>
      </c>
    </row>
    <row r="254" ht="42" customHeight="1" s="229">
      <c r="A254" s="896" t="inlineStr">
        <is>
          <t>Classic Cozy Fleece Robe 2.0 - NY Pop-up</t>
        </is>
      </c>
      <c r="B254" s="897" t="inlineStr">
        <is>
          <t>Loungewear</t>
        </is>
      </c>
      <c r="C254" s="898" t="n">
        <v>99</v>
      </c>
      <c r="D254" s="898" t="n">
        <v>99</v>
      </c>
      <c r="E254" s="897" t="inlineStr"/>
      <c r="F254" s="899" t="inlineStr">
        <is>
          <t>It's back: this delightfully plush Classic Cozy Fleece Robe 2.0 is now available in new colors ‚Äî precisely what you need to wrap yourself in warmth and luxury at the end of a long day.</t>
        </is>
      </c>
      <c r="G254" s="900" t="inlineStr">
        <is>
          <t>• Thick, velvety soft fleece material with a fluffy texture. • Classic collared robe in new colors, cut for a comfortably loose fit. • Features functional side pockets, removable belt, and inner ties for an extra secure wrap.</t>
        </is>
      </c>
      <c r="H254" s="901" t="inlineStr">
        <is>
          <t>100% polyester • Care instructions: For best results, hand wash with like colors in cold water</t>
        </is>
      </c>
      <c r="I254" s="902" t="inlineStr">
        <is>
          <t>22.10.14, Category_Lounge, NY Lounge, NY Sample Sale Upstair, Spring Palette</t>
        </is>
      </c>
      <c r="J254" s="903" t="inlineStr">
        <is>
          <t>classic-cozy-fleece-robe-2-0-ny-sample-sale</t>
        </is>
      </c>
    </row>
    <row r="255" ht="42" customHeight="1" s="229">
      <c r="A255" s="928" t="inlineStr">
        <is>
          <t>Classic Cozy Pajama Tee - NY Pop-up</t>
        </is>
      </c>
      <c r="B255" s="929" t="inlineStr">
        <is>
          <t>Loungewear</t>
        </is>
      </c>
      <c r="C255" s="930" t="n">
        <v>65</v>
      </c>
      <c r="D255" s="930" t="n">
        <v>65</v>
      </c>
      <c r="E255" s="929" t="inlineStr"/>
      <c r="F255" s="931" t="inlineStr">
        <is>
          <t>Meet our new cozy Pajama Tee- a comfortably relaxed fit that's perfect for sleeping in late. Go ahead, hit the "snooze" button again- perfect for staying home and lounging around in fall.</t>
        </is>
      </c>
      <c r="G255" s="932" t="inlineStr">
        <is>
          <t>• Loose fit, flexible for all body types. • Crew neck for an easy pullover, half sleeves, lazy-dropped shoulder seams. • Made from a buttery soft blend of modal and Spandex.</t>
        </is>
      </c>
      <c r="H255" s="933" t="inlineStr">
        <is>
          <t>57% modal, 20% acrylic, 18% viscose, 5% Spandex. • Care instructions: For best results, machine wash on gentle cycle. Tumble dry on low heat or hang to dry</t>
        </is>
      </c>
      <c r="I255" s="934" t="inlineStr">
        <is>
          <t>22.8.5, 22FW, Category_Lounge, Category_Lounge/Pajamas &amp; Robes/Top, Category_Lounge/Tees&amp;Tanks, Category_Lounge/Tops, Fabric_Lounge/Tencel Modal, NY Lounge, NY Sample Sale Upstair, Spring Palette</t>
        </is>
      </c>
      <c r="J255" s="935" t="inlineStr">
        <is>
          <t>classic-cozy-pajama-tee-ny-sample-sale</t>
        </is>
      </c>
    </row>
    <row r="256" ht="42" customHeight="1" s="229">
      <c r="A256" s="896" t="inlineStr">
        <is>
          <t>Classic Cozy Pajama Pants 3.0 - NY Pop-up</t>
        </is>
      </c>
      <c r="B256" s="897" t="inlineStr">
        <is>
          <t>Loungewear</t>
        </is>
      </c>
      <c r="C256" s="898" t="n">
        <v>75</v>
      </c>
      <c r="D256" s="898" t="n">
        <v>75</v>
      </c>
      <c r="E256" s="897" t="inlineStr"/>
      <c r="F256" s="899" t="inlineStr">
        <is>
          <t>Made from a luxuriously soft TENCEL‚Ñ¢ blend, our Classic Cozy Pajama Pants 3.0 are breathable and extra cozy, a classic straight leg bottom that will keep you comfortable while running errands, traveling, or relaxing at home.</t>
        </is>
      </c>
      <c r="G256" s="900" t="inlineStr">
        <is>
          <t>• Generously sized for relaxed luxury, upgraded wide waistband flatters any figure , with side pockets for small objects. • Made from sustainable, biodegradable carbon-zero TENCEL‚Ñ¢ fibers: all the functional benefits of Modal and Lyocell while contributing to lower carbon emissions. • Features cashmere protein fibers for an enhanced texture: extremely fine and soft to the touch.</t>
        </is>
      </c>
      <c r="H256" s="901" t="inlineStr">
        <is>
          <t>57% TENCEL‚Ñ¢ Modal, 20% acrylic, 18% viscose, 5% Spandex. • Care instructions: For best results, hand wash with like colors in cold water. Lay flat or hang to dry</t>
        </is>
      </c>
      <c r="I256" s="902" t="inlineStr">
        <is>
          <t>22.9.23, Category_Lounge, Category_Lounge/Bottoms, Category_Lounge/Bottoms/Elastic, Category_Lounge/Pants, Fabric_Lounge/Tencel Modal, NY Lounge, NY Sample Sale Upstair, Spring Palette</t>
        </is>
      </c>
      <c r="J256" s="903" t="inlineStr">
        <is>
          <t>classic-cozy-pajama-pants-3-0-ny-sample-sale</t>
        </is>
      </c>
    </row>
    <row r="257" ht="70" customHeight="1" s="229">
      <c r="A257" s="928" t="inlineStr">
        <is>
          <t>Classic Cozy Belted Pajama Shirt 3.0 - NY Pop-up</t>
        </is>
      </c>
      <c r="B257" s="929" t="inlineStr">
        <is>
          <t>Loungewear</t>
        </is>
      </c>
      <c r="C257" s="930" t="n">
        <v>89</v>
      </c>
      <c r="D257" s="930" t="n">
        <v>89</v>
      </c>
      <c r="E257" s="929" t="inlineStr"/>
      <c r="F257" s="931" t="inlineStr">
        <is>
          <t>Made from a luxuriously soft TENCEL‚Ñ¢ blend, the Classic Cozy Belted Pajama Shirt 3.0 is softer-than-soft, drapes beautifully, and is exactly the breathable and extra cozy loungewear you'll want to live in this fall and winter. An added belt makes this classic style more versatile than ever; wear it as an everyday pajama top or alone as a short robe.</t>
        </is>
      </c>
      <c r="G257" s="932" t="inlineStr">
        <is>
          <t>• Generously sized for relaxed luxury; classic button-down style with removable belt. • Made from sustainable, biodegradable carbon-zero TENCEL‚Ñ¢ fibers: all the functional benefits of Modal and Lyocell while contributing to lower carbon emissions. • Features cashmere protein fibers for an enhanced texture: extremely fine and soft to the touch.</t>
        </is>
      </c>
      <c r="H257" s="933" t="inlineStr">
        <is>
          <t>57% TENCEL‚Ñ¢ Modal, 20% acrylic, 18% viscose, 5% Spandex. • Care instructions: For best results, hand wash with like colors in cold water. Lay flat or hang to dry</t>
        </is>
      </c>
      <c r="I257" s="934" t="inlineStr">
        <is>
          <t>22.9.23, Category_Lounge, Category_Lounge/Tops, Fabric_Lounge/Tencel Modal, NY Lounge, NY Sample Sale Upstair, Spring Palette</t>
        </is>
      </c>
      <c r="J257" s="935" t="inlineStr">
        <is>
          <t>classic-cozy-belted-pajama-shirt-3-0-ny-sample-sale</t>
        </is>
      </c>
    </row>
    <row r="258" ht="56" customHeight="1" s="229">
      <c r="A258" s="912" t="inlineStr">
        <is>
          <t>Core Light Support V-Back Long Sports Bra - NY Pop-up</t>
        </is>
      </c>
      <c r="B258" s="913" t="inlineStr">
        <is>
          <t>Active</t>
        </is>
      </c>
      <c r="C258" s="914" t="n">
        <v>79</v>
      </c>
      <c r="D258" s="914" t="n">
        <v>79</v>
      </c>
      <c r="E258" s="913" t="inlineStr"/>
      <c r="F258" s="915" t="inlineStr">
        <is>
          <t>The Core Light Support V-Back Long Sports Bra is the perfect sports bra for comfort and support in low-intensity activities and features a longer torso perfect for layering in cooler weather. Fit tip: if you're in between sizes, we recommend sizing up.</t>
        </is>
      </c>
      <c r="G258" s="916" t="inlineStr">
        <is>
          <t>• Made from a d urable, moisture-wicking blend of nylon &amp; Spandex in two easy-to-match colors. • Longer torso for greater coverage and easy layerability. • V-shaped back straps offer light support for low-intensity exercises such as yoga, pilates, and stretching.</t>
        </is>
      </c>
      <c r="H258" s="917" t="inlineStr">
        <is>
          <t>Body: 81% nylon, 19% Spandex; Lining: 88% nylon, 12% Spandex; Mesh: 71% nylon, 29% Spandex • Care instructions: Gently hand wash with like colors in cold water</t>
        </is>
      </c>
      <c r="I258" s="918" t="inlineStr">
        <is>
          <t>22.10.28, B1 Sports Bra, Category_Active, Category_Active/Core, Category_Active/Sports Bra, Category_Active/Sports Bra/V-M-X Core Collection, Feature_Best Seller, NY Mousse/Core, NY Sample Sale Upstair</t>
        </is>
      </c>
      <c r="J258" s="919" t="inlineStr">
        <is>
          <t>core-light-support-v-back-long-sports-bra-ny-sample-sale</t>
        </is>
      </c>
    </row>
    <row r="259" ht="56" customHeight="1" s="229">
      <c r="A259" s="904" t="inlineStr">
        <is>
          <t>Mousse Medium Support High Waist Leggings - NY Office</t>
        </is>
      </c>
      <c r="B259" s="905" t="inlineStr">
        <is>
          <t>Active</t>
        </is>
      </c>
      <c r="C259" s="906" t="n">
        <v>89</v>
      </c>
      <c r="D259" s="906" t="n">
        <v>89</v>
      </c>
      <c r="E259" s="905" t="inlineStr"/>
      <c r="F259" s="907" t="inlineStr">
        <is>
          <t>The perfect everyday leggings for almost any workout, the Core Medium Support High Waist Leggings are stylish and functional, and a little thicker than average for greater comfort in cooler weather. Fit tip: if you're in between sizes, we recommend sizing up.</t>
        </is>
      </c>
      <c r="G259" s="908" t="inlineStr">
        <is>
          <t>• Tailored for a slim fit from a high-stretch, moisture-wicking blend of nylon and Spandex in two easy-to-match colors. • High-waisted and ankle-length, with a high-visibility stripe for safety in low-light conditions and a small pocket for carrying essentials like keys and cards. • Perfect for mid-intensity activities and a wide range of everyday workouts, from cycling, dance, your gym routine, plus everyday casual wear!</t>
        </is>
      </c>
      <c r="H259" s="909" t="inlineStr">
        <is>
          <t>70 % nylon, 30% Spandex • Care instructions: Hand wash with like colors in cold water</t>
        </is>
      </c>
      <c r="I259" s="910" t="inlineStr">
        <is>
          <t>22.10.28, Category_Active, Category_Active/Core, Category_Active/Leggings, Category_Active/Sports Bra/V-M-X Core Collection, Feature_Best Seller, NY Mousse, NY Mousse/Core, NY Sample Sale Upstair</t>
        </is>
      </c>
      <c r="J259" s="911" t="inlineStr">
        <is>
          <t>core-medium-support-high-waist-leggings-ny-sample-sale</t>
        </is>
      </c>
    </row>
    <row r="260" ht="42" customHeight="1" s="229">
      <c r="A260" s="912" t="inlineStr">
        <is>
          <t>Core Medium Support M-Back Sports Bra - NY Pop-up</t>
        </is>
      </c>
      <c r="B260" s="913" t="inlineStr">
        <is>
          <t>Active</t>
        </is>
      </c>
      <c r="C260" s="914" t="n">
        <v>69</v>
      </c>
      <c r="D260" s="914" t="n">
        <v>69</v>
      </c>
      <c r="E260" s="913" t="inlineStr"/>
      <c r="F260" s="915" t="inlineStr">
        <is>
          <t>The Core Medium Support M-Back Sports Bra: a versatile sports bra perfect for your everyday workouts, featuring fixed cups so that everything stays put and is easier to wash. Fit tip: if you're in between sizes, we recommend sizing up.</t>
        </is>
      </c>
      <c r="G260" s="916" t="inlineStr">
        <is>
          <t>• Made from a durable, moisture-wicking blend of nylon &amp; Spandex in two easy-to-match colors. • Iconic front keyhole cutout for improved ventilation. • M-shaped back straps offer medium support for a wide range of moderate-intensity exercises such as cycling, dance, everyday workouts, and others.</t>
        </is>
      </c>
      <c r="H260" s="917" t="inlineStr">
        <is>
          <t>Body: 70% nylon, 30% Spandex; Lining: 88% nylon, 12% Spandex; Cups: 100% polyester • Care instructions: Gently hand wash with like colors in cold water</t>
        </is>
      </c>
      <c r="I260" s="918" t="inlineStr">
        <is>
          <t>22.10.28, Activity_Active/Gym, Category_Active, Category_Active/Core, Category_Active/Sports Bra, Category_Active/Sports Bra/V-M-X Core Collection, Feature_Best Seller, NY Mousse/Core, NY Sample Sale Upstair, Sports Bra with Plus Sizes</t>
        </is>
      </c>
      <c r="J260" s="919" t="inlineStr">
        <is>
          <t>core-medium-support-m-back-sports-bra-ny-sample-sale</t>
        </is>
      </c>
    </row>
    <row r="261" ht="56" customHeight="1" s="229">
      <c r="A261" s="904" t="inlineStr">
        <is>
          <t>Active Ballet Stirrup Drawstring Leggings - NY Pop-up</t>
        </is>
      </c>
      <c r="B261" s="905" t="inlineStr">
        <is>
          <t>Active</t>
        </is>
      </c>
      <c r="C261" s="906" t="n">
        <v>109</v>
      </c>
      <c r="D261" s="906" t="n">
        <v>76.3</v>
      </c>
      <c r="E261" s="956" t="inlineStr">
        <is>
          <t>Yes</t>
        </is>
      </c>
      <c r="F261" s="907" t="inlineStr">
        <is>
          <t>The new Active Ballet Stirrup Drawstring Leggings are a great choice for getting back into your outdoor dance or exercise routine! Fit tip: if you're in between sizes, we recommend sizing up. This item is FINAL SALE and cannot be returned or exchanged.</t>
        </is>
      </c>
      <c r="G261" s="908" t="inlineStr">
        <is>
          <t>• Features a chic adjustable wrap-around style drawstring waistband. • Tailored from a moisture-wicking, skin-friendly Spandex blend. • Functional, casual, &amp; elegant style for the studio, gym, or anywhere else. • Inseam is 30" for Size M.</t>
        </is>
      </c>
      <c r="H261" s="909" t="inlineStr">
        <is>
          <t>69% nylon, 31% Spandex • Care instructions: For best results, hand wash with like colors in cold water</t>
        </is>
      </c>
      <c r="I261" s="910" t="inlineStr">
        <is>
          <t>NY Active, NY Sample Sale Upstair</t>
        </is>
      </c>
      <c r="J261" s="911" t="inlineStr">
        <is>
          <t>active-ballet-stirrup-drawstring-leggings-ny-sample-sale</t>
        </is>
      </c>
    </row>
    <row r="262" ht="42" customHeight="1" s="229">
      <c r="A262" s="912" t="inlineStr">
        <is>
          <t>Ballet Ribbed Cardigan - NY Pop-up</t>
        </is>
      </c>
      <c r="B262" s="913" t="inlineStr">
        <is>
          <t>Active</t>
        </is>
      </c>
      <c r="C262" s="914" t="n">
        <v>149</v>
      </c>
      <c r="D262" s="914" t="n">
        <v>149</v>
      </c>
      <c r="E262" s="913" t="inlineStr"/>
      <c r="F262" s="915" t="inlineStr">
        <is>
          <t>The Ballet Ribbed Cardigan is perfect for staying warm on cool spring mornings on the way to the gym or studio or layering up later in the day when your routine is done.</t>
        </is>
      </c>
      <c r="G262" s="916" t="inlineStr">
        <is>
          <t>• Long sleeves, knitted ribbed texture, unique waist-wrap closure. • Knit from a soft, breathable synthetic fiber blend. • A versatile spring style for the dance studio, yoga in the park, or anywhere else.</t>
        </is>
      </c>
      <c r="H262" s="917" t="inlineStr">
        <is>
          <t>76% acetate, 24% nylon • Care instructions: For best results, hand wash with like colors in cold water</t>
        </is>
      </c>
      <c r="I262" s="918" t="inlineStr">
        <is>
          <t>NY Active, NY Sample Sale Upstair</t>
        </is>
      </c>
      <c r="J262" s="919" t="inlineStr">
        <is>
          <t>ballet-ribbed-cardigan-ny-sample-sale</t>
        </is>
      </c>
    </row>
    <row r="263" ht="56" customHeight="1" s="229">
      <c r="A263" s="904" t="inlineStr">
        <is>
          <t>Active Wool Cardigan - NY Pop-up</t>
        </is>
      </c>
      <c r="B263" s="905" t="inlineStr">
        <is>
          <t>Active</t>
        </is>
      </c>
      <c r="C263" s="906" t="n">
        <v>189</v>
      </c>
      <c r="D263" s="906" t="n">
        <v>189</v>
      </c>
      <c r="E263" s="905" t="inlineStr"/>
      <c r="F263" s="907" t="inlineStr">
        <is>
          <t>This Active Wool Cardigan is cut for a slim fit with features designed to optimize airflow and keep you comfortable at any time of day this coming season ‚Äî the perfect lightweight layering piece for blending fashion and function when paired with both casual and activewear outfits!</t>
        </is>
      </c>
      <c r="G263" s="908" t="inlineStr">
        <is>
          <t>• Sporty zip-up cardigan with long sleeves and scalloped underarms for improved airflow. • Made from a breathable Merino wool blend ‚Äî perfect for both staying warm on chilly spring mornings and staying cool later in the day. • A versatile spring athleisure style for the dance studio, gym, and everywhere else. • OEKO-TEX¬Æ STANDARD 100 Environmental Protection Certification</t>
        </is>
      </c>
      <c r="H263" s="909" t="inlineStr">
        <is>
          <t>84% Merino wool, 14% nylon, 2% Spandex • Care instructions: Professional dry-cleaning recommended</t>
        </is>
      </c>
      <c r="I263" s="910" t="inlineStr">
        <is>
          <t>NY Active, NY Sample Sale Upstair</t>
        </is>
      </c>
      <c r="J263" s="911" t="inlineStr">
        <is>
          <t>active-wool-cardigan-ny-sample-sale</t>
        </is>
      </c>
    </row>
    <row r="264" ht="42" customHeight="1" s="229">
      <c r="A264" s="912" t="inlineStr">
        <is>
          <t>Cocoon Wide Leg Pants - NY Pop-up</t>
        </is>
      </c>
      <c r="B264" s="913" t="inlineStr">
        <is>
          <t>Active</t>
        </is>
      </c>
      <c r="C264" s="914" t="n">
        <v>109</v>
      </c>
      <c r="D264" s="914" t="n">
        <v>109</v>
      </c>
      <c r="E264" s="913" t="inlineStr"/>
      <c r="F264" s="915" t="inlineStr">
        <is>
          <t>These Cocoon Wide Leg Pants are a chic &amp; versatile athleisure style perfect for staying comfortable cool mornings and chilly evenings equally at home as part of your workout wardrobe or as part of any casual fit.</t>
        </is>
      </c>
      <c r="G264" s="916" t="inlineStr">
        <is>
          <t>• Pleated wide leg pants with elastic tie waistband. • Tailored from 37.5¬Æ Technology smart temperature fabric to help maintain ideal body temperature in any weather. • The perfect pairing for our Relaxed Fit Sweat Cardigan.</t>
        </is>
      </c>
      <c r="H264" s="917" t="inlineStr">
        <is>
          <t>body: 60% cotton, 34% polyester, 6% Spandex; piping: 98% polyester, 2% Spandex • Care instructions: Hand wash in cool water. Line dry in the shade. Do not iron</t>
        </is>
      </c>
      <c r="I264" s="918" t="inlineStr">
        <is>
          <t>NY Active, NY Sample Sale Upstair</t>
        </is>
      </c>
      <c r="J264" s="919" t="inlineStr">
        <is>
          <t>cocoon-wide-leg-pants-ny-sample-sale</t>
        </is>
      </c>
    </row>
    <row r="265" ht="42" customHeight="1" s="229">
      <c r="A265" s="904" t="inlineStr">
        <is>
          <t>Relaxed Fit Sweat Cardigan - NY Pop-up</t>
        </is>
      </c>
      <c r="B265" s="905" t="inlineStr">
        <is>
          <t>Active</t>
        </is>
      </c>
      <c r="C265" s="906" t="n">
        <v>229</v>
      </c>
      <c r="D265" s="906" t="n">
        <v>229</v>
      </c>
      <c r="E265" s="905" t="inlineStr"/>
      <c r="F265" s="907" t="inlineStr">
        <is>
          <t>The Relaxed Fit Sweat Cardigan is a chic &amp; versatile athleisure style ideal for blending fashion with function on cool mornings and chilly evenings ‚Äî ideal for layering with workout clothes or any casual fit!</t>
        </is>
      </c>
      <c r="G265" s="908" t="inlineStr">
        <is>
          <t>• Sporty cardigan with chic curved hemline and long dolman sleeves. • Tailored from 37.5¬Æ Technology smart temperature fabric to help maintain ideal body temperature in any weather. • A versatile athleisure style for the dance studio, gym, and everywhere else.</t>
        </is>
      </c>
      <c r="H265" s="909" t="inlineStr">
        <is>
          <t>body: 60% cotton, 34% polyester, 6% Spandex; piping: 98% polyester, 2% Spandex • Care instructions: Hand wash in cool water. Line dry in the shade. Do not iron</t>
        </is>
      </c>
      <c r="I265" s="910" t="inlineStr">
        <is>
          <t>NY Active, NY Sample Sale Upstair</t>
        </is>
      </c>
      <c r="J265" s="911" t="inlineStr">
        <is>
          <t>relaxed-fit-sweat-cardigan-ny-sample-sale</t>
        </is>
      </c>
    </row>
    <row r="266" ht="42" customHeight="1" s="229">
      <c r="A266" s="912" t="inlineStr">
        <is>
          <t>Breeze Light Sun Block Jacket - NY Pop-up</t>
        </is>
      </c>
      <c r="B266" s="913" t="inlineStr">
        <is>
          <t>Active</t>
        </is>
      </c>
      <c r="C266" s="914" t="n">
        <v>159</v>
      </c>
      <c r="D266" s="914" t="n">
        <v>159</v>
      </c>
      <c r="E266" s="913" t="inlineStr"/>
      <c r="F266" s="915" t="inlineStr">
        <is>
          <t>Water-repellant and sun-resistant, this hooded Breeze Light Sun Block Jacket is designed to keep you cool, dry, and unburned in any weather ‚Äî designed in a chic style, this versatile top is perfect for light sports or casual daily wear.</t>
        </is>
      </c>
      <c r="G266" s="916" t="inlineStr">
        <is>
          <t>• Breathable and UV resistant (UPF 40+) to keep you dry and your skin protected. • Features hood, front pockets, and mesh back (for added ventilation as you get active). • Pair with the matching Breeze Pants or High Waist Drawstring Shorts for the complete look!</t>
        </is>
      </c>
      <c r="H266" s="917" t="inlineStr">
        <is>
          <t>100% nylon • Care Instructions: For best results, hand wash in cold water</t>
        </is>
      </c>
      <c r="I266" s="918" t="inlineStr">
        <is>
          <t>NY Active, NY Sample Sale Upstair</t>
        </is>
      </c>
      <c r="J266" s="919" t="inlineStr">
        <is>
          <t>breeze-light-sun-block-jacket-ny-sample-sale</t>
        </is>
      </c>
    </row>
    <row r="267" ht="42" customHeight="1" s="229">
      <c r="A267" s="904" t="inlineStr">
        <is>
          <t>Breeze Pants - NY Pop-up</t>
        </is>
      </c>
      <c r="B267" s="905" t="inlineStr">
        <is>
          <t>Active</t>
        </is>
      </c>
      <c r="C267" s="906" t="n">
        <v>129</v>
      </c>
      <c r="D267" s="906" t="n">
        <v>129</v>
      </c>
      <c r="E267" s="905" t="inlineStr"/>
      <c r="F267" s="907" t="inlineStr">
        <is>
          <t>Water-repellant and sun-resistant, these Breeze Pants are the perfect choice for staying cool, dry, and unburned in any weather ‚Äî versatile bottoms designed to be equally useful for light sports or casual daily wear.</t>
        </is>
      </c>
      <c r="G267" s="908" t="inlineStr">
        <is>
          <t>• Breathable and UV resistant (UPF 40+) to keep you dry and your skin protected. • Features semi-elastic waistband and snap-closure pockets. • Pair with the matching Breeze Light Sun Block Jacket for the complete look!</t>
        </is>
      </c>
      <c r="H267" s="909" t="inlineStr">
        <is>
          <t>94% nylon, 6% Spandex • Care Instructions: For best results, hand wash in cold water</t>
        </is>
      </c>
      <c r="I267" s="910" t="inlineStr">
        <is>
          <t>NY Active, NY Sample Sale Upstair</t>
        </is>
      </c>
      <c r="J267" s="911" t="inlineStr">
        <is>
          <t>breeze-pants-ny-sample-sale</t>
        </is>
      </c>
    </row>
    <row r="268" ht="56" customHeight="1" s="229">
      <c r="A268" s="912" t="inlineStr">
        <is>
          <t>Breeze High Waist Drawstring Shorts - NY Pop-up</t>
        </is>
      </c>
      <c r="B268" s="913" t="inlineStr">
        <is>
          <t>Active</t>
        </is>
      </c>
      <c r="C268" s="914" t="n">
        <v>89</v>
      </c>
      <c r="D268" s="914" t="n">
        <v>89</v>
      </c>
      <c r="E268" s="913" t="inlineStr"/>
      <c r="F268" s="915" t="inlineStr">
        <is>
          <t>Water-repellant and sun-resistant, these Breeze High Waist Drawstring Shorts are the perfect choice for staying cool, dry, and unburned in any weather ‚Äî versatile bottoms designed to be equally useful for light sports or casual daily wear.</t>
        </is>
      </c>
      <c r="G268" s="916" t="inlineStr">
        <is>
          <t>• Breathable and UV resistant (UPF 40+) to keep you dry and your skin protected. • Features elastic drawstring waistband and large side pockets for all your accessories. • Pair with the matching Breeze Light Sun Block Jacket for the complete look!</t>
        </is>
      </c>
      <c r="H268" s="917" t="inlineStr">
        <is>
          <t>100% nylon • Care Instructions: For best results, hand wash in cold water</t>
        </is>
      </c>
      <c r="I268" s="918" t="inlineStr">
        <is>
          <t>NY Active, NY Sample Sale Upstair</t>
        </is>
      </c>
      <c r="J268" s="919" t="inlineStr">
        <is>
          <t>breeze-high-waist-drawstring-shorts-ny-sample-sale</t>
        </is>
      </c>
    </row>
    <row r="269" ht="56" customHeight="1" s="229">
      <c r="A269" s="880" t="inlineStr">
        <is>
          <t>Pure Comfort Ribbed Low Waist Brief - NY Pop-up</t>
        </is>
      </c>
      <c r="B269" s="881" t="inlineStr">
        <is>
          <t>Underwear</t>
        </is>
      </c>
      <c r="C269" s="882" t="n">
        <v>19</v>
      </c>
      <c r="D269" s="882" t="n">
        <v>19</v>
      </c>
      <c r="E269" s="881" t="inlineStr"/>
      <c r="F269" s="883" t="inlineStr">
        <is>
          <t>Back by popular demand in exciting new pastel colors, this Pure Comfort Ribbed Low Waist Brief is constructed from a luxuriously soft cotton blend with just the right amount of Spandex for added stretch where you need it most ‚Äî a brief that's perfected the formula for what comfortable underwear should be!</t>
        </is>
      </c>
      <c r="G269" s="884" t="inlineStr">
        <is>
          <t>• Low-waist cut sits just below the hips for moderate coverage. 100% cotton lining. • Features t imeless ribbed crossover design that perfectly matches our Pure Comfort Ribbed Triangle Bra &amp; Ribbed Plunge Bra. • Carbon neutral construction: better for you and the planet.</t>
        </is>
      </c>
      <c r="H269" s="885" t="inlineStr">
        <is>
          <t>86% c otton, 14% Spandex; 100% cotton lining • Care instructions: For best results, hand wash in cold water with an underwear-safe detergent. Lay flat to dry</t>
        </is>
      </c>
      <c r="I269" s="886" t="inlineStr">
        <is>
          <t>NY Sample Sale Upstair, NY Underwear</t>
        </is>
      </c>
      <c r="J269" s="887" t="inlineStr">
        <is>
          <t>copy-of-pure-comfort-ribbed-low-waist-brief</t>
        </is>
      </c>
    </row>
    <row r="270" ht="42" customHeight="1" s="229">
      <c r="A270" s="888" t="inlineStr">
        <is>
          <t>Pure Comfort Ribbed Plunge Bra - NY Pop-up</t>
        </is>
      </c>
      <c r="B270" s="889" t="inlineStr">
        <is>
          <t>Underwear</t>
        </is>
      </c>
      <c r="C270" s="890" t="n">
        <v>49</v>
      </c>
      <c r="D270" s="890" t="n">
        <v>49</v>
      </c>
      <c r="E270" s="889" t="inlineStr"/>
      <c r="F270" s="891" t="inlineStr">
        <is>
          <t>Back by popular demand in exciting new pastel colors, this Pure Comfort Ribbed Plunge Bra is constructed from a luxuriously soft cotton blend with extra-thin wireless cups that perfectly balance support and breathability.</t>
        </is>
      </c>
      <c r="G270" s="892" t="inlineStr">
        <is>
          <t>• Timeless ribbed crossover design supports a wide range of cup sizes, up to D cup. • Adjustable straps and buckle with new fixed cup pattern that makes care and maintenance easier than ever. • Carbon neutral construction: better for you and the planet.</t>
        </is>
      </c>
      <c r="H270" s="893" t="inlineStr">
        <is>
          <t>86% c otton, 14% Spandex • Care instructions: For best results, hand wash in cold water with an underwear-safe detergent. Lay flat to dry</t>
        </is>
      </c>
      <c r="I270" s="894" t="inlineStr">
        <is>
          <t>NY Sample Sale Upstair, NY Underwear</t>
        </is>
      </c>
      <c r="J270" s="895" t="inlineStr">
        <is>
          <t>copy-of-pure-comfort-ribbed-plunge-bra</t>
        </is>
      </c>
    </row>
    <row r="271" ht="42" customHeight="1" s="229">
      <c r="A271" s="880" t="inlineStr">
        <is>
          <t>Pure Comfort Ribbed Triangle Bra - NY Pop-up</t>
        </is>
      </c>
      <c r="B271" s="881" t="inlineStr">
        <is>
          <t>Underwear</t>
        </is>
      </c>
      <c r="C271" s="882" t="n">
        <v>39</v>
      </c>
      <c r="D271" s="882" t="n">
        <v>39</v>
      </c>
      <c r="E271" s="881" t="inlineStr"/>
      <c r="F271" s="883" t="inlineStr">
        <is>
          <t>Back by popular demand and in exciting new pastel colors, this Pure Comfort Ribbed Triangle Bra is constructed from a luxuriously soft cotton blend with extra-thin wireless cups that perfectly balance support and breathability.</t>
        </is>
      </c>
      <c r="G271" s="884" t="inlineStr">
        <is>
          <t>• Timeless ribbed crossover design with triangle cups. Supports AA-B cup sizes. • Adjustable straps and buckle with new fixed cup pattern that makes care and maintenance easier than ever. • Carbon neutral construction: better for you and the planet.</t>
        </is>
      </c>
      <c r="H271" s="885" t="inlineStr">
        <is>
          <t>86% c otton, 14% Spandex • Care instructions: For best results, hand wash in cold water with a gentle detergent. Lay flat to dry</t>
        </is>
      </c>
      <c r="I271" s="886" t="inlineStr">
        <is>
          <t>NY Sample Sale Upstair, NY Underwear</t>
        </is>
      </c>
      <c r="J271" s="887" t="inlineStr">
        <is>
          <t>copy-of-pure-comfort-ribbed-triangle-bra</t>
        </is>
      </c>
    </row>
    <row r="272" ht="70" customHeight="1" s="229">
      <c r="A272" s="888" t="inlineStr">
        <is>
          <t>Barely Zero Fixed Cup Clasp Bra - SA</t>
        </is>
      </c>
      <c r="B272" s="889" t="inlineStr">
        <is>
          <t>Underwear</t>
        </is>
      </c>
      <c r="C272" s="890" t="n">
        <v>49</v>
      </c>
      <c r="D272" s="890" t="n">
        <v>49</v>
      </c>
      <c r="E272" s="889" t="inlineStr"/>
      <c r="F272" s="891" t="inlineStr">
        <is>
          <t>The latest in our Barely Zero Collection innovations, the Barely Zero Fixed Cup Clasp Bra introduces Flo Support‚Ñ¢ and Bisous Cups‚Ñ¢, two new fabric technologies that allow for greater stability, support, and comfort than ever before. This Barely Zero bra is available in two adaptive sizes for a range of body types ‚Äî and as always, with Barely Zero Your Size Is The Size .</t>
        </is>
      </c>
      <c r="G272" s="892" t="inlineStr">
        <is>
          <t>• Features adjustable spaghetti straps and a convenient back clasp for easy on-and-off. Size XS-S comes with two hooks and size M-L comes with three hooks. • Flo Support‚Ñ¢: lower band lined with food-grade silicone in a distinct water-ripple pattern to support and improve breathability and skin comfort. • Bisous Cups‚Ñ¢: crease-resistant, non-removable laminated cups designed to better fit your natural curves. • Made from our highly-elastic blend of CloudFit¬© &amp; Spandex in two sizes: XS-S and M-L, making it a great option for nursing and fluctuating sizes. Please see our size chart for detailed guidance.</t>
        </is>
      </c>
      <c r="H272" s="893" t="inlineStr">
        <is>
          <t>outer: 70% CloudFit¬© nylon blend, 30% Spandex; cup lining: 86% polyester, 14% Spandex • To preserve and lengthen its wear-life, we strongly recommend handwashing your Barely Zero. Dissolve a gentle detergent in cold water (86 °F /30 °C max ) and fully immerse the underwear. Gently press/knead it, then rinse (soak no longer than 5 minutes)</t>
        </is>
      </c>
      <c r="I272" s="894" t="n"/>
      <c r="J272" s="895" t="inlineStr">
        <is>
          <t>copy-of-barely-zero-fixed-cup-clasp-bra</t>
        </is>
      </c>
    </row>
    <row r="273" ht="70" customHeight="1" s="229">
      <c r="A273" s="880" t="inlineStr">
        <is>
          <t>Barely Zero Fixed Cup Wavy Bra - SA</t>
        </is>
      </c>
      <c r="B273" s="881" t="inlineStr">
        <is>
          <t>Underwear</t>
        </is>
      </c>
      <c r="C273" s="882" t="n">
        <v>49</v>
      </c>
      <c r="D273" s="882" t="n">
        <v>49</v>
      </c>
      <c r="E273" s="881" t="inlineStr"/>
      <c r="F273" s="883" t="inlineStr">
        <is>
          <t>The latest in our Barely Zero Collection innovations, the Barely Zero Fixed Cup Wavy Bra introduces Flo Support‚Ñ¢ and Bisous Cups‚Ñ¢, two new fabric technologies that allow for greater stability, support, and comfort than ever before. This Barely Zero bra is available in two adaptive sizes for a range of body types ‚Äî and as always, with Barely Zero Your Size Is The Size .</t>
        </is>
      </c>
      <c r="G273" s="884" t="inlineStr">
        <is>
          <t>• Features adjustable spaghetti straps, a subtle wavy neckline, and a seamless buckle-free back. • Flo Support‚Ñ¢: lower band lined with food-grade silicone in a distinct water-ripple pattern to support and improve breathability and skin comfort. • Bisous Cups‚Ñ¢: crease-resistant, non-removable laminated cups designed to better fit your natural curves. • Made from our highly-elastic blend of CloudFit¬© &amp; Spandex in two sizes: XS-S and M-L, making it a great option for nursing and fluctuating sizes. Please see our size chart for detailed guidance.</t>
        </is>
      </c>
      <c r="H273" s="885" t="inlineStr">
        <is>
          <t>outer: 67% CloudFit¬© nylon blend, 33% Spandex; cup lining: 86% polyester, 14% Spandex • To preserve and lengthen its wear-life, we strongly recommend handwashing your Barely Zero. Dissolve a gentle detergent in cold water (86 °F /30 °C max ) and fully immerse the underwear. Gently press/knead it, then rinse (soak no longer than 5 minutes)</t>
        </is>
      </c>
      <c r="I273" s="886" t="n"/>
      <c r="J273" s="887" t="inlineStr">
        <is>
          <t>copy-of-barely-zero-fixed-cup-wavy-bra</t>
        </is>
      </c>
    </row>
    <row r="274" ht="56" customHeight="1" s="229">
      <c r="A274" s="904" t="inlineStr">
        <is>
          <t>Seamless Light Support Long Sports Bra</t>
        </is>
      </c>
      <c r="B274" s="905" t="inlineStr">
        <is>
          <t>Active</t>
        </is>
      </c>
      <c r="C274" s="906" t="n">
        <v>49</v>
      </c>
      <c r="D274" s="906" t="n">
        <v>34.3</v>
      </c>
      <c r="E274" s="956" t="inlineStr">
        <is>
          <t>Yes</t>
        </is>
      </c>
      <c r="F274" s="907" t="inlineStr">
        <is>
          <t>Designed for friction-free ease of motion, the Seamless Light Support Sports Bra is free of uncomfortable hemlines that rub or dig in during your workout ‚Äî the ideal choice for light support during sessions with lots of floorwork, yoga, cycling, and other low-impact activities.</t>
        </is>
      </c>
      <c r="G274" s="908" t="inlineStr">
        <is>
          <t>• Tailored from a moisture-wicking Spandex blend. • Features light padding and four-point straps for a supportive fit and full range of motion. • Complete the set: pair with the matching Seamless Biker Shorts!</t>
        </is>
      </c>
      <c r="H274" s="909" t="inlineStr">
        <is>
          <t>outer: 96% nylon, 4% Spandex; band: 92% nylon, 8% Spandex; mesh: 94% nylon, 6% Spandex • Care instructions: For best results, hand wash with like colors in cold water</t>
        </is>
      </c>
      <c r="I274" s="910" t="inlineStr">
        <is>
          <t>23.4.5, 23SS, 25Feb Sale, Activity_Active/Gym, Activity_Active/Yoga, Category_Active, Category_Active/Sports Bra, HR-CX, LBD23, no-returns</t>
        </is>
      </c>
      <c r="J274" s="911" t="inlineStr">
        <is>
          <t>seamless-light-support-long-sports-bra</t>
        </is>
      </c>
    </row>
    <row r="275" ht="42" customHeight="1" s="229">
      <c r="A275" s="912" t="inlineStr">
        <is>
          <t>Retro Bikini Top</t>
        </is>
      </c>
      <c r="B275" s="913" t="inlineStr">
        <is>
          <t>Active</t>
        </is>
      </c>
      <c r="C275" s="914" t="n">
        <v>49</v>
      </c>
      <c r="D275" s="914" t="n">
        <v>49</v>
      </c>
      <c r="E275" s="913" t="inlineStr"/>
      <c r="F275" s="915" t="inlineStr">
        <is>
          <t>Inspired by popular swimwear styles of the 1960s, the Retro Bikini Top blends fashion and function with its summer-ready design and resilient, comfortable construction. Fit tip: If you're in between sizes, we recommend sizing up.</t>
        </is>
      </c>
      <c r="G275" s="916" t="inlineStr">
        <is>
          <t>• A timeless design inspired by popular 1960s swimwear icons. • Features adjustable wide straps, back-clasp closure, removable padding for easy cleaning, and signature NEIWAI cutout. • Tailored from a highly-elastic, chlorine-resistant blend of fabrics imported from Italy. • C omplete the look with the matching High Waist Bikini Bottom.</t>
        </is>
      </c>
      <c r="H275" s="917" t="inlineStr">
        <is>
          <t>82% nylon, 18% Spandex • Care instructions: For best results, hand wash with like colors in cold water</t>
        </is>
      </c>
      <c r="I275" s="918" t="inlineStr">
        <is>
          <t>23.4.12, 23SS, Activity_Active/Swim, Category_Active, Category_Active/Swimwear, Category_Active/Swimwear/Top, Flexport Stock, LBD23, US Inventory, US Main</t>
        </is>
      </c>
      <c r="J275" s="919" t="inlineStr">
        <is>
          <t>retro-bikini-top</t>
        </is>
      </c>
    </row>
    <row r="276" ht="42" customHeight="1" s="229">
      <c r="A276" s="896" t="inlineStr">
        <is>
          <t>Dreamy Cotton Modal Cami Lounge Set</t>
        </is>
      </c>
      <c r="B276" s="897" t="inlineStr">
        <is>
          <t>Loungewear</t>
        </is>
      </c>
      <c r="C276" s="898" t="n">
        <v>79</v>
      </c>
      <c r="D276" s="898" t="n">
        <v>55.3</v>
      </c>
      <c r="E276" s="957" t="inlineStr">
        <is>
          <t>Yes</t>
        </is>
      </c>
      <c r="F276" s="899" t="inlineStr">
        <is>
          <t>This Dreamy Cotton Modal Cami Lounge Set features a subtly pleated cotton-modal blend. The chic drape and elevated texture are perfect for lounging around the house or wearing out in casual settings.</t>
        </is>
      </c>
      <c r="G276" s="900" t="inlineStr">
        <is>
          <t>• Casual minimalist pajamas , easy to mix &amp; match with everyday outfits . • Tailored from a carbon-neutral blend of modal and cotton ‚Äî breathable, silky-soft to the touch, and better for the environment. Size M top is 10.7" and bottom is 33.5" in length. • Set includes: cropped U-neck spaghetti-strap camisole and cropped elastic-waist pants.</t>
        </is>
      </c>
      <c r="H276" s="901" t="inlineStr">
        <is>
          <t>cami: 38% Modal, 34% cotton, 28% polyester (body); 89% cotton, 11% Spandex (ribbing) pants: 3 8% Modal , 3 4 % cotton , 28 % polyester • Care instructions: For best results, hand wash in cold water with like colors</t>
        </is>
      </c>
      <c r="I276" s="902" t="inlineStr">
        <is>
          <t>23.4.5, 23SS, 24JuneSale, CarbonZero, Category_Lounge, Category_Lounge/Pajamas &amp; Robes, Collection_Valentine, Fabric_Lounge/Cotton, Fabric_Lounge/Tencel Modal, HR-CX, LBD23, Loungewear Sets, no-returns, Tariff Final Sale</t>
        </is>
      </c>
      <c r="J276" s="903" t="inlineStr">
        <is>
          <t>dreamy-cotton-modal-cami-lounge-set</t>
        </is>
      </c>
    </row>
    <row r="277" ht="42" customHeight="1" s="229">
      <c r="A277" s="928" t="inlineStr">
        <is>
          <t>Dreamy Cotton Modal Lounge Set</t>
        </is>
      </c>
      <c r="B277" s="929" t="inlineStr">
        <is>
          <t>Loungewear</t>
        </is>
      </c>
      <c r="C277" s="930" t="n">
        <v>89</v>
      </c>
      <c r="D277" s="930" t="n">
        <v>62.3</v>
      </c>
      <c r="E277" s="936" t="inlineStr">
        <is>
          <t>Yes</t>
        </is>
      </c>
      <c r="F277" s="931" t="inlineStr">
        <is>
          <t>This Dreamy Cotton Modal Lounge Set features a subtly pleated cotton-modal blend. The classic T-shirt and lounge pants are perfect for lounging around the house or wearing out in casual settings.</t>
        </is>
      </c>
      <c r="G277" s="932" t="inlineStr">
        <is>
          <t>• Casual minimalist pajamas , easy to mix &amp; match with everyday outfits . • Tailored from a carbon-neutral blend of modal and cotton ‚Äî breathable, silky-soft to the touch, and better for the environment. Size M top is 20.6" and bottom is 33.5" in length. • Set includes: comfortably-loose cropped tee with chic side cutout and cropped elastic-waist pants.</t>
        </is>
      </c>
      <c r="H277" s="933" t="inlineStr">
        <is>
          <t>shirt: 38% Modal, 34% cotton, 28% polyester (body); 89% cotton, 11% Spandex (ribbing) pants: 3 8% Modal , 3 4 % cotton , 28 % polyester • Care instructions: For best results, hand wash in cold water with like colors</t>
        </is>
      </c>
      <c r="I277" s="934" t="inlineStr">
        <is>
          <t>23.4.5, 23SS, 24JuneSale, CarbonZero, Category_Lounge, Category_Lounge/Pajamas &amp; Robes, Collection_Valentine, Fabric_Lounge/Cotton, Fabric_Lounge/Tencel Modal, HR-CX, LBD23, Loungewear Sets, no-returns, Tariff Final Sale</t>
        </is>
      </c>
      <c r="J277" s="935" t="inlineStr">
        <is>
          <t>dreamy-cotton-modal-lounge-set</t>
        </is>
      </c>
    </row>
    <row r="278" ht="56" customHeight="1" s="229">
      <c r="A278" s="904" t="inlineStr">
        <is>
          <t>Seamless Biker Shorts</t>
        </is>
      </c>
      <c r="B278" s="905" t="inlineStr">
        <is>
          <t>Active</t>
        </is>
      </c>
      <c r="C278" s="906" t="n">
        <v>49</v>
      </c>
      <c r="D278" s="906" t="n">
        <v>34.3</v>
      </c>
      <c r="E278" s="956" t="inlineStr">
        <is>
          <t>Yes</t>
        </is>
      </c>
      <c r="F278" s="907" t="inlineStr">
        <is>
          <t>Designed for friction-free ease of motion, these Seamless Biker Shorts are free of uncomfortable hemlines that rub or dig in during your workout ‚Äî the ideal choice for sessions with lots of floorwork, cycling, yoga, and similar activities.</t>
        </is>
      </c>
      <c r="G278" s="908" t="inlineStr">
        <is>
          <t>• Tailored from a moisture-wicking Spandex blend. • Perfectly blends style and comfort ‚Äî an elastic fit, chic cropped-leggings style, and two easy-to-match colors. • Complete the set: pair with the matching Seamless Light Support Sports Bra!</t>
        </is>
      </c>
      <c r="H278" s="909" t="inlineStr">
        <is>
          <t>blend 1: 90% nylon, 10% Spandex; blend 2: 80% nylon, 20% Spandex • Care instructions: For best results, hand wash with like colors in cold water</t>
        </is>
      </c>
      <c r="I278" s="910" t="inlineStr">
        <is>
          <t>23.4.5, 23SS, 25Feb Sale, Activity_Active/Gym, Activity_Active/Outdoor, Activity_Active/Running, Activity_Active/Yoga, Category_Active, Category_Active/Leggings, Category_Active/Shorts, HR-CX, LBD23, no-returns, Tariff Final Sale</t>
        </is>
      </c>
      <c r="J278" s="911" t="inlineStr">
        <is>
          <t>seamless-biker-shorts</t>
        </is>
      </c>
    </row>
    <row r="279" ht="42" customHeight="1" s="229">
      <c r="A279" s="912" t="inlineStr">
        <is>
          <t>Retro Swimsuit</t>
        </is>
      </c>
      <c r="B279" s="913" t="inlineStr">
        <is>
          <t>Active</t>
        </is>
      </c>
      <c r="C279" s="914" t="n">
        <v>109</v>
      </c>
      <c r="D279" s="914" t="n">
        <v>109</v>
      </c>
      <c r="E279" s="913" t="inlineStr"/>
      <c r="F279" s="915" t="inlineStr">
        <is>
          <t>Inspired by in-vogue swimwear styles of the 1960s, this Retro Swimsuit blends fashion and function with its summer-ready retro design and resilient, comfortable construction. Fit tip: If you're in between sizes, we recommend sizing up.</t>
        </is>
      </c>
      <c r="G279" s="916" t="inlineStr">
        <is>
          <t>• A timeless modest design inspired by 1960s swimwear icons. • Features thick straps and signature NEIWAI cutout. • Tailored from a highly-elastic, chlorine-resistant, and color-fast blend of imported Italian fabrics.</t>
        </is>
      </c>
      <c r="H279" s="917" t="inlineStr">
        <is>
          <t>82% nylon, 18% Spandex • Care instructions: For best results, hand wash with like colors in cold water</t>
        </is>
      </c>
      <c r="I279" s="918" t="inlineStr">
        <is>
          <t>23.4.12, 23SS, Activity_Active/Swim, Category_Active, Category_Active/Swimwear, Category_Active/Swimwear/One_Piece, Flexport Stock, LBD23, US Inventory, US Main</t>
        </is>
      </c>
      <c r="J279" s="919" t="inlineStr">
        <is>
          <t>retro-swimsuit</t>
        </is>
      </c>
    </row>
    <row r="280" ht="56" customHeight="1" s="229">
      <c r="A280" s="904" t="inlineStr">
        <is>
          <t>High Waist Bikini Bottom</t>
        </is>
      </c>
      <c r="B280" s="905" t="inlineStr">
        <is>
          <t>Active</t>
        </is>
      </c>
      <c r="C280" s="906" t="n">
        <v>39</v>
      </c>
      <c r="D280" s="906" t="n">
        <v>39</v>
      </c>
      <c r="E280" s="905" t="inlineStr"/>
      <c r="F280" s="907" t="inlineStr">
        <is>
          <t>Inspired by popular swimwear styles of the 1960s, these High Waist Bikini Bottom blend fashion and function with a summer-ready retro design and resilient, comfortable construction. Fit tip: If you're in between sizes, we recommend sizing up.</t>
        </is>
      </c>
      <c r="G280" s="908" t="inlineStr">
        <is>
          <t>• Features high waistline, full bottom coverage, and built-in underwear lining. • Tailored from a highly-elastic, chlorine-resistant blend of fabrics imported from Italy. • C omplete the look with the matching Retro Bikini Top.</t>
        </is>
      </c>
      <c r="H280" s="909" t="inlineStr">
        <is>
          <t>82% nylon, 18% Spandex • Care instructions: For best results, hand wash with like colors in cold water</t>
        </is>
      </c>
      <c r="I280" s="910" t="inlineStr">
        <is>
          <t>23.4.12, 23SS, Activity_Active/Swim, Category_Active, Category_Active/Swimwear, Category_Active/Swimwear/Bottom, Flexport Stock, LBD23, US Inventory, US Main</t>
        </is>
      </c>
      <c r="J280" s="911" t="inlineStr">
        <is>
          <t>high-waist-bikini-bottom</t>
        </is>
      </c>
    </row>
    <row r="281" ht="42" customHeight="1" s="229">
      <c r="A281" s="912" t="inlineStr">
        <is>
          <t>Long Bikini Top</t>
        </is>
      </c>
      <c r="B281" s="913" t="inlineStr">
        <is>
          <t>Active</t>
        </is>
      </c>
      <c r="C281" s="914" t="n">
        <v>49</v>
      </c>
      <c r="D281" s="914" t="n">
        <v>49</v>
      </c>
      <c r="E281" s="913" t="inlineStr"/>
      <c r="F281" s="915" t="inlineStr">
        <is>
          <t>Inspired by in-vogue swimwear styles of the 1960s, this Long Bikini Top blends fashion and function with its summer-ready retro design and resilient, comfortable construction. Fit tip: If you're in between sizes, we recommend sizing up.</t>
        </is>
      </c>
      <c r="G281" s="916" t="inlineStr">
        <is>
          <t>• A timelessly modest design inspired by 1960s swimwear icons. • Features boatneck cut, back-clasp closure, and removable padding for easy cleaning. • Tailored from a highly-elastic, chlorine-resistant blend of imported Italian fabrics. • C omplete the look with the matching High Waist Bikini Bottom .</t>
        </is>
      </c>
      <c r="H281" s="917" t="inlineStr">
        <is>
          <t>82% nylon, 18% Spandex • Care instructions: For best results, hand wash with like colors in cold water</t>
        </is>
      </c>
      <c r="I281" s="918" t="inlineStr">
        <is>
          <t>23.4.12, 23SS, Activity_Active/Swim, Category_Active, Category_Active/Swimwear, Category_Active/Swimwear/Top, Flexport Stock, LBD23, US Inventory, US Main</t>
        </is>
      </c>
      <c r="J281" s="919" t="inlineStr">
        <is>
          <t>long-bikini-top</t>
        </is>
      </c>
    </row>
    <row r="282" ht="42" customHeight="1" s="229">
      <c r="A282" s="888" t="inlineStr">
        <is>
          <t>Nursing Bra</t>
        </is>
      </c>
      <c r="B282" s="889" t="inlineStr">
        <is>
          <t>Underwear</t>
        </is>
      </c>
      <c r="C282" s="890" t="n">
        <v>65</v>
      </c>
      <c r="D282" s="890" t="n">
        <v>65</v>
      </c>
      <c r="E282" s="889" t="inlineStr"/>
      <c r="F282" s="891" t="inlineStr">
        <is>
          <t>Thoughtfully-crafted support for your journey into motherhood: this Nursing Bra from our Maternity Collection is designed for easy breastfeeding and all-day comfort as you spend tender moments with your little one.</t>
        </is>
      </c>
      <c r="G282" s="892" t="inlineStr">
        <is>
          <t>• Adapts to fit throughout your body's natural changes ‚Äî flexible up to two cup sizes as you move through post-partum recovery and nursing. • Convenient buckles on each strap for easy access when it's time to feed . Includes side panels for support and adjustable straps for a better fit. • Leakproof design ‚Äî fast-drying, ultra-absorbant fixed cups mean more worry-free days and fewer stained shirts. • Tailored from a plant-based fabric blend ‚Äî soft, skin-friendly, and cleaner for you and your little one.</t>
        </is>
      </c>
      <c r="H282" s="893" t="inlineStr">
        <is>
          <t>main: 69% viscose, 25% nylon, 6% Spandex; band: 65 % viscose, 22% nylon, 13% Spandex; lining: 85% nylon, 15% Spandex; cup lining: 100% polyester • Care instructions: For best results, wash and dry according to instructions on the care label</t>
        </is>
      </c>
      <c r="I282" s="894" t="inlineStr">
        <is>
          <t>23.4.19, 23SS, Category_Bras/Maternity, Category_Bras/Medium Support, Category_Bras/Nursing, Category_Underwear, Category_Underwear/Tops, Category_Underwear/Tops/Wireless Bra, Feature_Best Seller, Flexport Stock, LBD23, US Inventory, US Main</t>
        </is>
      </c>
      <c r="J282" s="895" t="inlineStr">
        <is>
          <t>nursing-bra</t>
        </is>
      </c>
    </row>
    <row r="283" ht="42" customHeight="1" s="229">
      <c r="A283" s="880" t="inlineStr">
        <is>
          <t>Crossover Nursing Bra</t>
        </is>
      </c>
      <c r="B283" s="881" t="inlineStr">
        <is>
          <t>Underwear</t>
        </is>
      </c>
      <c r="C283" s="882" t="n">
        <v>55</v>
      </c>
      <c r="D283" s="882" t="n">
        <v>55</v>
      </c>
      <c r="E283" s="881" t="inlineStr"/>
      <c r="F283" s="883" t="inlineStr">
        <is>
          <t>Tender comfort &amp; adaptive support for your journey into motherhood: the Crossover Nursing Bra is designed to adapt to your maternity needs every step of the way, from late pregnancy through recovery and nursing.</t>
        </is>
      </c>
      <c r="G283" s="884" t="inlineStr">
        <is>
          <t>• Adapts to fit throughout your body's natural changes, expanding up to two full cup sizes. • Leakproof design ‚Äî fast-drying, ultra-absorbant cups mean more worry-free days and fewer stained shirts. • Seamless &amp; skin-friendly: this bra was intentionally cut for fewer friction points and no back buckle for easy on and off and greater comfort. Includes adjustable straps for a better fit. • Tailored from a plant-based fabric blend ‚Äî soft, breathable, and cleaner for you and your little one.</t>
        </is>
      </c>
      <c r="H283" s="885" t="inlineStr">
        <is>
          <t>main: 70% viscose, 24% nylon, 6% Spandex; band: 65 % viscose, 22% nylon, 13% Spandex; mesh: 83% nylon, 17% Spandex; lining: 85% nylon, 15% Spandex; cup lining: 100% polyester • Care instructions: For best results, wash and dry according to instructions on the care label</t>
        </is>
      </c>
      <c r="I283" s="886" t="inlineStr">
        <is>
          <t>23.4.19, 23SS, Category_Bras/Maternity, Category_Bras/Medium Support, Category_Bras/Nursing, Category_Underwear, Category_Underwear/Tops, Category_Underwear/Tops/Wireless Bra, Feature_Best Seller, Flexport Stock, LBD23, Tariff Final Sale, US Inventory</t>
        </is>
      </c>
      <c r="J283" s="887" t="inlineStr">
        <is>
          <t>crossover-nursing-bra</t>
        </is>
      </c>
    </row>
    <row r="284" ht="42" customHeight="1" s="229">
      <c r="A284" s="888" t="inlineStr">
        <is>
          <t>Seamless Sculpting High Waist Brief</t>
        </is>
      </c>
      <c r="B284" s="889" t="inlineStr">
        <is>
          <t>Underwear</t>
        </is>
      </c>
      <c r="C284" s="890" t="n">
        <v>25</v>
      </c>
      <c r="D284" s="890" t="n">
        <v>25</v>
      </c>
      <c r="E284" s="889" t="inlineStr"/>
      <c r="F284" s="891" t="inlineStr">
        <is>
          <t>This Seamless Sculpting High-Waist Brief is the perfect choice for maximum coverage and a comfortable, confidence-boosting contour fit to carry you through the day.</t>
        </is>
      </c>
      <c r="G284" s="892" t="inlineStr">
        <is>
          <t>• High-waisted for full coverage and light sculpting. Double-layered waistband for no curling. • Virtually seamless for less friction as you move through your daily routine ‚Äîplus no lines, even under tight clothes like leggings. • Tailored from a moisture-wicking antibacterial blend complete with a 100% cotton lining.</t>
        </is>
      </c>
      <c r="H284" s="893" t="inlineStr">
        <is>
          <t>body: 89% nylon, 11% Spandex; band: 79% nylon, 21% Spandex; lining: 100% cotton • Care instructions: For best results, wash and dry according to instructions on the care label</t>
        </is>
      </c>
      <c r="I284" s="894" t="inlineStr">
        <is>
          <t>23 XS-XL Briefs, 23.4.26, 23SS, Category_Underwear, Category_Underwear/Bottoms, Category_Underwear/Bottoms/Panties, Category_Underwear/Bottoms/Panties/High Waist, Category_Underwear/Bottoms/Panties/Shapewear, HR-CX, LBD23</t>
        </is>
      </c>
      <c r="J284" s="895" t="inlineStr">
        <is>
          <t>seamless-sculpting-high-waist-brief</t>
        </is>
      </c>
    </row>
    <row r="285" ht="56" customHeight="1" s="229">
      <c r="A285" s="904" t="inlineStr">
        <is>
          <t>Tennis Skort</t>
        </is>
      </c>
      <c r="B285" s="905" t="inlineStr">
        <is>
          <t>Active</t>
        </is>
      </c>
      <c r="C285" s="906" t="n">
        <v>89</v>
      </c>
      <c r="D285" s="906" t="n">
        <v>62.3</v>
      </c>
      <c r="E285" s="956" t="inlineStr">
        <is>
          <t>Yes</t>
        </is>
      </c>
      <c r="F285" s="907" t="inlineStr">
        <is>
          <t>Designed for comfort and confidence on and off the tennis court, this cute Tennis Skort is made from a wrinkle-resistant elastic blend in two easy-to-match colors ‚Äî perfect for your next match or as part of virtually any elevated casual outfit. Fit tip: if you're in between sizes, we recommend sizing up.</t>
        </is>
      </c>
      <c r="G285" s="908" t="inlineStr">
        <is>
          <t>• Thigh-length with wide elastic waistband and side slits for ease of mobility. • Modesty in motion: includes built-in color-matched shorts with side pockets to keep your hands free on your way to and from your tennis club . Size M is 15.0" in length. • T ailored from a cotton-like Spandex blend for flexibility and durability .</t>
        </is>
      </c>
      <c r="H285" s="909" t="inlineStr">
        <is>
          <t>outer: 88% polyester, 12% Spandex; inner: 84% nylon, 16% Spandex; mesh: 70% nylon, 20% Spandex • Care instructions: Hand wash with like colors in cold water</t>
        </is>
      </c>
      <c r="I285" s="910" t="inlineStr">
        <is>
          <t>23.3.22, 23SS, 25Feb Sale, Activity_Active/Gym, Activity_Active/Outdoor, Activity_Active/Tennis, Category_Active, Category_Active/Shorts, Category_Lounge/Bottoms/Elastic, HR-CX, LBD23, no-returns, Tariff Final Sale</t>
        </is>
      </c>
      <c r="J285" s="911" t="inlineStr">
        <is>
          <t>tennis-skort</t>
        </is>
      </c>
    </row>
    <row r="286" ht="42" customHeight="1" s="229">
      <c r="A286" s="880" t="inlineStr">
        <is>
          <t>Winged Support ¬æ Cup Bra</t>
        </is>
      </c>
      <c r="B286" s="881" t="inlineStr">
        <is>
          <t>Underwear</t>
        </is>
      </c>
      <c r="C286" s="882" t="n">
        <v>75</v>
      </c>
      <c r="D286" s="882" t="n">
        <v>75</v>
      </c>
      <c r="E286" s="881" t="inlineStr"/>
      <c r="F286" s="883" t="inlineStr">
        <is>
          <t>All the support of a wired bra, none of the discomfort: the Winged Support 3/4 Cup Bra features patented 3-point wire-free support in each cup for the perfect lift and a comfortable fit every time.</t>
        </is>
      </c>
      <c r="G286" s="884" t="inlineStr">
        <is>
          <t>• Fixed 3/4 no-show cups, back clasp closure, and adjustable straps for a better fit. • Shapes and lifts with a p atented 3-point design inspired by architectural engineering ‚Äî reliable all-day support without constricting metal underwire. • Tailored in a breathable fabric blend designed to endure wear after wear for comfort that lasts.</t>
        </is>
      </c>
      <c r="H286" s="885" t="inlineStr">
        <is>
          <t>shell: 69% nylon, 31% Spandex; lining: 100% polyester • Care instructions: For best results, h and wash with like colors in cold water</t>
        </is>
      </c>
      <c r="I286" s="886" t="inlineStr">
        <is>
          <t>23.3.29, 23SS, A-D Size Bras, Band + Cup Bra, Category_Bras/High Support, Category_Bras/Plunge, Category_Underwear, Category_Underwear/Tops, Category_Underwear/Tops/Wireless Bra, Flexport Stock, LBD23, US Inventory, US Main</t>
        </is>
      </c>
      <c r="J286" s="887" t="inlineStr">
        <is>
          <t>winged-support-cup-bra</t>
        </is>
      </c>
    </row>
    <row r="287" ht="56" customHeight="1" s="229">
      <c r="A287" s="912" t="inlineStr">
        <is>
          <t>High Support Leggings</t>
        </is>
      </c>
      <c r="B287" s="913" t="inlineStr">
        <is>
          <t>Active</t>
        </is>
      </c>
      <c r="C287" s="914" t="n">
        <v>99</v>
      </c>
      <c r="D287" s="914" t="n">
        <v>99</v>
      </c>
      <c r="E287" s="913" t="inlineStr"/>
      <c r="F287" s="915" t="inlineStr">
        <is>
          <t>Comfort and performance unite in our High Support Leggings. Featuring a moisture-wicking and compressive fabric, they'll support your every move during your next run or high-impact workout. Fit tip: if you're in between sizes, we recommend sizing up.</t>
        </is>
      </c>
      <c r="G287" s="916" t="inlineStr">
        <is>
          <t>• High-waist, ankle-length, street-to-studio style designed for comfort and mobility in any activity. Features adjustable drawstring inside waist band. • Elegant seams help provide shape and definition. Tailored from a p erformance blend of Spandex and nylon ‚Äî fast-drying, breathable, and elastic. • Features functional side pockets for your phone, keys, and other essentials. • Inseam is 22.6" for Size M.</t>
        </is>
      </c>
      <c r="H287" s="917" t="inlineStr">
        <is>
          <t>body: 63% nylon, 37% Spandex; mesh: 71% nylon, 29% Spandex • Care instructions: For best results, hand wash with like colors in cold water</t>
        </is>
      </c>
      <c r="I287" s="918" t="inlineStr">
        <is>
          <t>23.3.29, 23SS, Activity_Active/Running, Activity_Active/Yoga, Category_Active, Category_Active/Core, Category_Active/Leggings, Feature_Best Seller, LBD23, Tariff Final Sale</t>
        </is>
      </c>
      <c r="J287" s="919" t="inlineStr">
        <is>
          <t>core-high-support-leggings-2-0</t>
        </is>
      </c>
    </row>
    <row r="288" ht="56" customHeight="1" s="229">
      <c r="A288" s="904" t="inlineStr">
        <is>
          <t>Tennis Dress</t>
        </is>
      </c>
      <c r="B288" s="905" t="inlineStr">
        <is>
          <t>Active</t>
        </is>
      </c>
      <c r="C288" s="906" t="n">
        <v>159</v>
      </c>
      <c r="D288" s="906" t="n">
        <v>111.3</v>
      </c>
      <c r="E288" s="956" t="inlineStr">
        <is>
          <t>Yes</t>
        </is>
      </c>
      <c r="F288" s="907" t="inlineStr">
        <is>
          <t>Trendy yet timeless, this 2-in-1 Tennis Dress comes with matching shorts for comfort and coverage on and off the court. Whether your sport of choice is tennis, pickleball, or running around town, you'll ace your style. Fit tip: if you're in between sizes, we recommend sizing up.</t>
        </is>
      </c>
      <c r="G288" s="908" t="inlineStr">
        <is>
          <t>• Features built-in shelf bra with removable cups, racerback design and side slits for greater mobility. • Includes separate color-matched shorts with one ball side pocket and one regular side pocket. • Tailored from a cotton-like Spandex blend for flexibility and durability. Size M is 31.7" in length.</t>
        </is>
      </c>
      <c r="H288" s="909" t="inlineStr">
        <is>
          <t>shell: 84% nylon, 16% Spandex; mesh: 70% nylon, 30% Spandex • Care instructions: Hand wash with like colors in cold water</t>
        </is>
      </c>
      <c r="I288" s="910" t="inlineStr">
        <is>
          <t>23.3.22, 23SS, 25Feb Sale, Activity_Active/Gym, Activity_Active/Outdoor, Activity_Active/Tennis, Category_Active, category_Active/Dress&amp;Jumpsuit, Flexport Stock, HR-CX, LBD23, no-returns, Tariff Final Sale, US Inventory</t>
        </is>
      </c>
      <c r="J288" s="911" t="inlineStr">
        <is>
          <t>tennis-dress</t>
        </is>
      </c>
    </row>
    <row r="289" ht="56" customHeight="1" s="229">
      <c r="A289" s="912" t="inlineStr">
        <is>
          <t>NEIWAI ACTIVE X NYCB Mousse Medium Support Long Sports Bra</t>
        </is>
      </c>
      <c r="B289" s="913" t="inlineStr">
        <is>
          <t>Active</t>
        </is>
      </c>
      <c r="C289" s="914" t="n">
        <v>89</v>
      </c>
      <c r="D289" s="914" t="n">
        <v>89</v>
      </c>
      <c r="E289" s="913" t="inlineStr"/>
      <c r="F289" s="915" t="inlineStr">
        <is>
          <t>Our latest rendition of a popular Core series sports bra, the Mousse Medium Support Long Sports Bra features an improved fixed-cup structure and is tailored in a smooth mousse blend ‚Äî perfect for comfort and confidence as you pursue dance, cycling, and other mid-intensity activities of your choice.</t>
        </is>
      </c>
      <c r="G289" s="916" t="inlineStr">
        <is>
          <t>• Soft, moisture-wicking, &amp; breathable mousse blend in an easy-to-match neutral color. • Features non-adjustable M-shaped back straps. • Complete the set: pair with the matching Mousse Core Medium Support Leggings!</t>
        </is>
      </c>
      <c r="H289" s="917" t="inlineStr">
        <is>
          <t>Body: 70% nylon, 30% Spandex; Lining: 88% nylon, 12% Spandex; Mesh: 100% polyester • Care instructions: For best results, hand wash with like colors in cold water</t>
        </is>
      </c>
      <c r="I289" s="918" t="inlineStr">
        <is>
          <t>23.3.29, 23SS, 24.8.8, 24AW, Activity_Active/Gym, Activity_Active/Outdoor, Activity_Active/Running, Activity_Active/Tennis, Activity_Active/Yoga, Category_Active, Category_Active/Core, Category_Active/Sports Bra, Category_Active/Sports Bra/V-M-X Core Collection, Feature_Best Seller, Flexport Stock, LBD23, mousse, NYCB, Sports Bra with Plus Sizes, Tariff Final Sale, US Inventory</t>
        </is>
      </c>
      <c r="J289" s="919" t="inlineStr">
        <is>
          <t>mousse-medium-support-long-sports-bra</t>
        </is>
      </c>
    </row>
    <row r="290" ht="28" customHeight="1" s="229">
      <c r="A290" s="904" t="inlineStr">
        <is>
          <t>Mousse Light Support Sports Bra</t>
        </is>
      </c>
      <c r="B290" s="905" t="inlineStr">
        <is>
          <t>Active</t>
        </is>
      </c>
      <c r="C290" s="906" t="n">
        <v>69</v>
      </c>
      <c r="D290" s="906" t="n">
        <v>69</v>
      </c>
      <c r="E290" s="905" t="inlineStr"/>
      <c r="F290" s="907" t="inlineStr">
        <is>
          <t>Our Mousse Light Support Sports Bra offers gentle support and lift for yoga, Pilates, and other low-intensity activities.</t>
        </is>
      </c>
      <c r="G290" s="908" t="inlineStr">
        <is>
          <t>• Made from a soft, moisture-wicking, and breathable fabric blend. • Features removable cups and non-adjustable V-shaped back straps. • Complete the set: pair with the matching Mousse Light Support Leggings!</t>
        </is>
      </c>
      <c r="H290" s="909" t="inlineStr">
        <is>
          <t>Body: 81% nylon, 19% Spandex; Lining: 89% nylon, 11% Spandex; Mesh: 70% nylon, 30% Spandex • Care instructions: For best results, hand wash with like colors in cold water</t>
        </is>
      </c>
      <c r="I290" s="910" t="inlineStr">
        <is>
          <t>23.3.29, 23SS, Activity_Active/Gym, Activity_Active/Outdoor, Activity_Active/Yoga, B1 Sports Bra, Category_Active, Category_Active/Core, Category_Active/Sports Bra, Category_Active/Sports Bra/V-M-X Core Collection, LBD23, mousse, Tariff Final Sale</t>
        </is>
      </c>
      <c r="J290" s="911" t="inlineStr">
        <is>
          <t>mousse-core-light-support-v-back-sports-bra</t>
        </is>
      </c>
    </row>
    <row r="291" ht="42" customHeight="1" s="229">
      <c r="A291" s="888" t="inlineStr">
        <is>
          <t>3D Smile Support Contrast Plunge Bra</t>
        </is>
      </c>
      <c r="B291" s="889" t="inlineStr">
        <is>
          <t>Underwear</t>
        </is>
      </c>
      <c r="C291" s="890" t="n">
        <v>49</v>
      </c>
      <c r="D291" s="890" t="n">
        <v>49</v>
      </c>
      <c r="E291" s="889" t="inlineStr"/>
      <c r="F291" s="891" t="inlineStr">
        <is>
          <t>Supportive and oh-so comfortable, our 3D Smile Support Contrast Plunge Bra features a patented 3D Smile Structure designed to provide generous coverage, confidence-boosting lift, and secure wire-free support throughout the day.</t>
        </is>
      </c>
      <c r="G291" s="892" t="inlineStr">
        <is>
          <t>• V neckline with adjustable straps for a better fit, back clasp closure, and semi-fixed cups. • Shapes and lifts thanks to p atented 3D Smile Support Technology ‚Äî dependable support without the constraints of underwire bras. • C onstructed from a breathable, antibacterial fabric blend with cooling properties and a skin-friendly silicone band that forms to your body.</t>
        </is>
      </c>
      <c r="H291" s="893" t="inlineStr">
        <is>
          <t>68% nylon, 32% Spandex • Care instructions: Hand or machine wash and dry according to instructions on the care label using a mild laundry detergent</t>
        </is>
      </c>
      <c r="I291" s="894" t="inlineStr">
        <is>
          <t>23.3.22, 23SS, C1 Size Bra, Category_Bras/Medium Support, Category_Bras/Plunge, Category_Underwear, Category_Underwear/Tops, Category_Underwear/Tops/Wireless Bra, Flexport Stock, LBD23, SML Size Bra, US Inventory, US Main</t>
        </is>
      </c>
      <c r="J291" s="895" t="inlineStr">
        <is>
          <t>3d-smile-support-contrast-plunge-bra</t>
        </is>
      </c>
    </row>
    <row r="292" ht="42" customHeight="1" s="229">
      <c r="A292" s="880" t="inlineStr">
        <is>
          <t>3D Smile Support Contrast 3/4 Cup Bra</t>
        </is>
      </c>
      <c r="B292" s="881" t="inlineStr">
        <is>
          <t>Underwear</t>
        </is>
      </c>
      <c r="C292" s="882" t="n">
        <v>49</v>
      </c>
      <c r="D292" s="882" t="n">
        <v>49</v>
      </c>
      <c r="E292" s="881" t="inlineStr"/>
      <c r="F292" s="883" t="inlineStr">
        <is>
          <t>The perfect blend of support, comfort, and coverage, our 3D Smile Support Contrast 3/4 Cup Bra features a patented 3D Smile Structure designed to provide a confidence-boosting lift and secure, wire-free support throughout the day.</t>
        </is>
      </c>
      <c r="G292" s="884" t="inlineStr">
        <is>
          <t>• Features semi-fixed 3/4 cups, back clasp closure, and adjustable straps for a better fit. • Shapes and lifts thanks to p atented 3D Smile Support Technology ‚Äî dependable support without the constraints of underwire bras. • C onstructed from a breathable, antibacterial fabric blend with cooling properties and a skin-friendly silicone band that forms to your body.</t>
        </is>
      </c>
      <c r="H292" s="885" t="inlineStr">
        <is>
          <t>68% nylon, 32% Spandex • Care instructions: Hand or machine wash and dry according to instructions on the care label using a mild laundry detergent</t>
        </is>
      </c>
      <c r="I292" s="886" t="inlineStr">
        <is>
          <t>23.3.22, 23SS, 23SS A3 Size Bra, Category_Bras/Medium Support, Category_Underwear, Category_Underwear/Tops, Category_Underwear/Tops/Wireless Bra, LBD23, SML Size Bra</t>
        </is>
      </c>
      <c r="J292" s="887" t="inlineStr">
        <is>
          <t>3d-smile-support-contrast-3-4-cup-bra</t>
        </is>
      </c>
    </row>
    <row r="293" ht="56" customHeight="1" s="229">
      <c r="A293" s="912" t="inlineStr">
        <is>
          <t>Knotted 2-way Short Sleeve Top</t>
        </is>
      </c>
      <c r="B293" s="913" t="inlineStr">
        <is>
          <t>Active</t>
        </is>
      </c>
      <c r="C293" s="914" t="n">
        <v>49</v>
      </c>
      <c r="D293" s="914" t="n">
        <v>34.3</v>
      </c>
      <c r="E293" s="955" t="inlineStr">
        <is>
          <t>Yes</t>
        </is>
      </c>
      <c r="F293" s="915" t="inlineStr">
        <is>
          <t>The perfect shade from the sun on your morning run or pump cover for your gym set, this Knotted 2-Way Short Sleeve Top is a versatile, lightweight top layer for your workout fit cut from a breathable blend and designed to pair perfectly with your favorite sports bra and leggings.</t>
        </is>
      </c>
      <c r="G293" s="916" t="inlineStr">
        <is>
          <t>• Reversible style ‚Äî wear the twist in front or back depending on where you need airflow most! • Loose fit for mobility and ease of wear for a range of body types. Size M is 18.7" in length. • Tailored in a moisture-wicking, elastic blend of natural and synthetic fibers.</t>
        </is>
      </c>
      <c r="H293" s="917" t="inlineStr">
        <is>
          <t>77% polyester, 17% lyocell, 6% Spandex • Care instructions: For best results, hand wash with like colors in cold water</t>
        </is>
      </c>
      <c r="I293" s="918" t="inlineStr">
        <is>
          <t>23.3.22, 23SS, 25Feb Sale, Activity_Active/Outdoor, Activity_Active/Tennis, Activity_Active/Yoga, Category_Active, Category_Active/Core, Category_Active/Tops, HR-CX, LBD23, no-returns, pink collection, Spring Palette, Tariff Final Sale</t>
        </is>
      </c>
      <c r="J293" s="919" t="inlineStr">
        <is>
          <t>knotted-2-way-short-sleeve-top</t>
        </is>
      </c>
    </row>
    <row r="294" ht="56" customHeight="1" s="229">
      <c r="A294" s="904" t="inlineStr">
        <is>
          <t>Side Knotted Sleeveless Top</t>
        </is>
      </c>
      <c r="B294" s="905" t="inlineStr">
        <is>
          <t>Active</t>
        </is>
      </c>
      <c r="C294" s="906" t="n">
        <v>49</v>
      </c>
      <c r="D294" s="906" t="n">
        <v>34.3</v>
      </c>
      <c r="E294" s="956" t="inlineStr">
        <is>
          <t>Yes</t>
        </is>
      </c>
      <c r="F294" s="907" t="inlineStr">
        <is>
          <t>This Side Knotted Sleeveless Top is our take on the tried and true athletic tank, designed for flexibility, air flow, and confidence as you pursue your active goals at the gym, in the studio, or on the street. Pairs perfectly with your favorite shorts and sports bra.</t>
        </is>
      </c>
      <c r="G294" s="908" t="inlineStr">
        <is>
          <t>• Features a chic side knot that accentuates your natural waist and elevates this otherwise simple athletic style. • Loose fit for mobility and ease of wear for a range of body types. Size M is 21.9" in length. • Tailored in a moisture-wicking, elastic blend of natural and synthetic fibers.</t>
        </is>
      </c>
      <c r="H294" s="909" t="inlineStr">
        <is>
          <t>77% polyester, 17% lyocell, 6% Spandex • Care instructions: For best results, hand wash with like colors in cold water</t>
        </is>
      </c>
      <c r="I294" s="910" t="inlineStr">
        <is>
          <t>23.3.22, 23SS, 25Feb Sale, Activity_Active/Outdoor, Activity_Active/Tennis, Activity_Active/Yoga, Category_Active, Category_Active/Core, Category_Active/Tops, HR-CX, LBD23, no-returns, pink collection, Spring Palette, Tariff Final Sale</t>
        </is>
      </c>
      <c r="J294" s="911" t="inlineStr">
        <is>
          <t>side-knotted-sleeveless-top</t>
        </is>
      </c>
    </row>
    <row r="295" ht="42" customHeight="1" s="229">
      <c r="A295" s="896" t="inlineStr">
        <is>
          <t>Maternity Leggings</t>
        </is>
      </c>
      <c r="B295" s="897" t="inlineStr">
        <is>
          <t>Loungewear</t>
        </is>
      </c>
      <c r="C295" s="898" t="n">
        <v>79</v>
      </c>
      <c r="D295" s="898" t="n">
        <v>79</v>
      </c>
      <c r="E295" s="897" t="inlineStr"/>
      <c r="F295" s="899" t="inlineStr">
        <is>
          <t>Thoughtfully-crafted style and comfort for your journey into motherhood: our Maternity Leggings are designed for a chic, flattering fit that adapts to your body through pregnancy and beyond.</t>
        </is>
      </c>
      <c r="G295" s="900" t="inlineStr">
        <is>
          <t>• Features a wide double-layer elastic waistband with side ruching to accommodate a range of body sizes from the fifth month of pregnancy and beyond. • Made from the same ultra-soft CloudFit fabric blend as our signature Barely Zero series ‚Äî skin-friendly, breathable, and plenty of stretch. • UPF 50+ sun protection and anti-pilling finish.</t>
        </is>
      </c>
      <c r="H295" s="901" t="inlineStr">
        <is>
          <t>86% CloudFit nylon, 14% Spandex • Care instructions: For best results, hand wash in cool water and line dry away from sunlight</t>
        </is>
      </c>
      <c r="I295" s="902" t="inlineStr">
        <is>
          <t>23.4.19, 23SS, Category_Bras/Nursing, Category_Lounge, Category_Lounge/Bottoms, Category_Lounge/Bottoms/Elastic, Category_Lounge/Pants, Feature_Best Seller, Flexport Stock, LBD23, Tariff Final Sale, US Inventory</t>
        </is>
      </c>
      <c r="J295" s="903" t="inlineStr">
        <is>
          <t>maternity-leggings</t>
        </is>
      </c>
    </row>
    <row r="296" ht="28" customHeight="1" s="229">
      <c r="A296" s="958" t="inlineStr">
        <is>
          <t>Men's Polo Shirt</t>
        </is>
      </c>
      <c r="B296" s="959" t="inlineStr">
        <is>
          <t>Men</t>
        </is>
      </c>
      <c r="C296" s="960" t="n">
        <v>89</v>
      </c>
      <c r="D296" s="960" t="n">
        <v>62.3</v>
      </c>
      <c r="E296" s="984" t="inlineStr">
        <is>
          <t>Yes</t>
        </is>
      </c>
      <c r="F296" s="961" t="inlineStr">
        <is>
          <t>A staple in any man's wardrobe, this Men's Polo Shirt is our take on the classic designed to elevate your everyday office attire with all-day style and comfort.</t>
        </is>
      </c>
      <c r="G296" s="962" t="inlineStr">
        <is>
          <t>• Classic short-sleeve polo shirt with subtle satin details in the hemlines. • Made from 100% premium cotton ‚Äî lightweight, soft, and breathable. Size M is 27.0" in length. • Available in three neutral colors that pair effortlessly with your favorite pants or slacks.</t>
        </is>
      </c>
      <c r="H296" s="963" t="inlineStr">
        <is>
          <t>100% cotton • Care instructions: For best results, h and or machine wash on a gentle cycle and dry according to instructions on the care label</t>
        </is>
      </c>
      <c r="I296" s="964" t="inlineStr">
        <is>
          <t>23.3.15, 23SS, 24.10 Sale, Category_Men, Category_Men/Tops, HR-CX, LBD23, no-returns, Tariff Final Sale</t>
        </is>
      </c>
      <c r="J296" s="965" t="inlineStr">
        <is>
          <t>mens-polo-shirt</t>
        </is>
      </c>
    </row>
    <row r="297" ht="42" customHeight="1" s="229">
      <c r="A297" s="912" t="inlineStr">
        <is>
          <t>Ballet Fitted Hoodie</t>
        </is>
      </c>
      <c r="B297" s="913" t="inlineStr">
        <is>
          <t>Active</t>
        </is>
      </c>
      <c r="C297" s="914" t="n">
        <v>175</v>
      </c>
      <c r="D297" s="914" t="n">
        <v>122.5</v>
      </c>
      <c r="E297" s="955" t="inlineStr">
        <is>
          <t>Yes</t>
        </is>
      </c>
      <c r="F297" s="915" t="inlineStr">
        <is>
          <t>This sporty Ballet Fitted Hoodie is designed to keep you comfortable and stylish as you pursue your active goals ‚Äî a versatile outer layer that you can wear to the gym, studio, and beyond.</t>
        </is>
      </c>
      <c r="G297" s="916" t="inlineStr">
        <is>
          <t>• Slim-fit cut with thumb holes and vented back for improved airflow. • Tailored from our signature Mousse fabric, featuring a supple microsuede texture and moisture-wicking properties. Size M is 20.5" in length. • Features two low-profile zippered side pockets.</t>
        </is>
      </c>
      <c r="H297" s="917" t="inlineStr">
        <is>
          <t>80% polyester, 20% Spandex • Care instructions: Hand wash in cool water. Line dry in the shade. Do not iron</t>
        </is>
      </c>
      <c r="I297" s="918" t="inlineStr">
        <is>
          <t>23.3.8, 23SS, 25JulySale, Activity_Active/Ballet, Activity_Active/Ballet&amp;Dance, Category_Active, Category_Active/Outerwear, Category_Active/Tops, LBD23, mousse, no-returns, Outerwear, Tariff Final Sale</t>
        </is>
      </c>
      <c r="J297" s="919" t="inlineStr">
        <is>
          <t>ballet-fitted-hoodie</t>
        </is>
      </c>
    </row>
    <row r="298" ht="42" customHeight="1" s="229">
      <c r="A298" s="888" t="inlineStr">
        <is>
          <t>Essential Bandeau Bra 2.0</t>
        </is>
      </c>
      <c r="B298" s="889" t="inlineStr">
        <is>
          <t>Underwear</t>
        </is>
      </c>
      <c r="C298" s="890" t="n">
        <v>55</v>
      </c>
      <c r="D298" s="890" t="n">
        <v>55</v>
      </c>
      <c r="E298" s="889" t="inlineStr"/>
      <c r="F298" s="891" t="inlineStr">
        <is>
          <t>An updated version of our best-selling Essential Bandeau Bra, this bra has optional straps and features an improved mesh back for better breathability, remaining a must-have underlayer for your favorite styles this season.</t>
        </is>
      </c>
      <c r="G298" s="892" t="inlineStr">
        <is>
          <t>• Completely wireless with removable straps for easy support you can hide under any strapless top or dress! • Made from a flexible, breathable poly-Spandex blend for the perfect stretch and form-fitting support. • Non-removable chest padding. Back clasp closure with improved mesh panel for enhanced breathability.</t>
        </is>
      </c>
      <c r="H298" s="893" t="inlineStr">
        <is>
          <t>shell (1): 84% nylon, 16% Spandex; shell (2): 80% nylon, 20% Spandex; side: 66% nylon, 34% Spandex; mesh: 100% nylon; lining (1): 100% polyester; lining (2) 100% cotton • Care instructions: For best results, hand wash in cold water. Line dry in the shade. Do not iron. Do not tumble dry</t>
        </is>
      </c>
      <c r="I298" s="894" t="inlineStr">
        <is>
          <t>23.3.15, 23SS, 23SS A3 Size Bra, Category_Bras/Medium Support, Category_Bras/Strapless, Category_Underwear, Category_Underwear/Tops, Category_Underwear/Tops/Wireless Bra, Category_Underwear/Tops/Wireless Bra/Bandeau, Feature_Best Seller, Flexport Stock, LBD23, SML Size Bra, US Inventory</t>
        </is>
      </c>
      <c r="J298" s="895" t="inlineStr">
        <is>
          <t>essential-bandeau-bra-2-0</t>
        </is>
      </c>
    </row>
    <row r="299" ht="42" customHeight="1" s="229">
      <c r="A299" s="904" t="inlineStr">
        <is>
          <t>Mousse Core Light Support High Waist Leggings</t>
        </is>
      </c>
      <c r="B299" s="905" t="inlineStr">
        <is>
          <t>Active</t>
        </is>
      </c>
      <c r="C299" s="906" t="n">
        <v>89</v>
      </c>
      <c r="D299" s="906" t="n">
        <v>89</v>
      </c>
      <c r="E299" s="905" t="inlineStr"/>
      <c r="F299" s="907" t="inlineStr">
        <is>
          <t>Tailored from a smooth mousse blend, these high-waisted leggings are a versatile style with the perfect stretch for a range of activities and a bold look that makes a statement in any outfit.</t>
        </is>
      </c>
      <c r="G299" s="908" t="inlineStr">
        <is>
          <t>• Soft, moisture-wicking, &amp; breathable mousse blend in a rich emerald green. • Silhouette-enhancing high-waisted cut with full-length legs with a small pocket inside the V-hem waistline. • Ideal for light exercise: yoga, Pilates, barre, and even everyday casual wear. • Inseam is 25.8" for Size M.</t>
        </is>
      </c>
      <c r="H299" s="909" t="inlineStr">
        <is>
          <t>81 % nylon, 19% Spandex • Care instructions: For best results, hand wash with like colors in cold water</t>
        </is>
      </c>
      <c r="I299" s="910" t="inlineStr">
        <is>
          <t>23.3.15, 23SS, Activity_Active/Gym, Activity_Active/Yoga, Category_Active, Category_Active/Core, Category_Active/Leggings</t>
        </is>
      </c>
      <c r="J299" s="911" t="inlineStr">
        <is>
          <t>mousse-core-low-support-high-waist-leggings</t>
        </is>
      </c>
    </row>
    <row r="300" ht="42" customHeight="1" s="229">
      <c r="A300" s="912" t="inlineStr">
        <is>
          <t>Ballet Slit Joggers</t>
        </is>
      </c>
      <c r="B300" s="913" t="inlineStr">
        <is>
          <t>Active</t>
        </is>
      </c>
      <c r="C300" s="914" t="n">
        <v>109</v>
      </c>
      <c r="D300" s="914" t="n">
        <v>76.3</v>
      </c>
      <c r="E300" s="955" t="inlineStr">
        <is>
          <t>Yes</t>
        </is>
      </c>
      <c r="F300" s="915" t="inlineStr">
        <is>
          <t>Airy and elegant, these sporty Ballet Slit Joggers are a versatile athleisure style designed for ultimate ventilation and a full range of motion as you pursue all your active goals.</t>
        </is>
      </c>
      <c r="G300" s="916" t="inlineStr">
        <is>
          <t>• Elastic waistband &amp; ankle cuffs. Features side slits and back vent for enhanced airflow and breathability. • Tailored from a quick-drying, ultra-flexible Spandex blend. Size M is 37.6" in length. • Complete the look with the matching Ballet Fitted Hoodie or Ballet Knotted Shrug.</t>
        </is>
      </c>
      <c r="H300" s="917" t="inlineStr">
        <is>
          <t>83% polyester, 17% Spandex • Care instructions: Hand wash in cool water. Line dry in the shade. Do not iron</t>
        </is>
      </c>
      <c r="I300" s="918" t="inlineStr">
        <is>
          <t>23.3.8, 23SS, 25JulySale, Activity_Active/Ballet, Activity_Active/Ballet&amp;Dance, Category_Active, Category_Active/Joggers, Feature_Best Seller, Flexport Stock, LBD23, no-returns, Tariff Final Sale, US Inventory</t>
        </is>
      </c>
      <c r="J300" s="919" t="inlineStr">
        <is>
          <t>ballet-slit-joggers</t>
        </is>
      </c>
    </row>
    <row r="301" ht="42" customHeight="1" s="229">
      <c r="A301" s="928" t="inlineStr">
        <is>
          <t>Maternity Pajama Pants</t>
        </is>
      </c>
      <c r="B301" s="929" t="inlineStr">
        <is>
          <t>Loungewear</t>
        </is>
      </c>
      <c r="C301" s="930" t="n">
        <v>69</v>
      </c>
      <c r="D301" s="930" t="n">
        <v>69</v>
      </c>
      <c r="E301" s="929" t="inlineStr"/>
      <c r="F301" s="931" t="inlineStr">
        <is>
          <t>Crafted for comfort in the most tender time of your life, these Maternity Pajama Pants are made from a soft silk-modal blend ‚Äî perfect for getting much-needed rest through pregnancy and beyond.</t>
        </is>
      </c>
      <c r="G301" s="932" t="inlineStr">
        <is>
          <t>• Features a crossover waistband design that expands to accommodate your growing belly throughout pregnancy and readjusts during postpartum recovery. • Tailored from a premium blend of mulberry silk and supple TENCEL‚Ñ¢ Modal with just a bit of Spandex added for stretch ‚Äî carbon neutral for a cleaner environment, and soft on the skin. Size M is 39.2" in length. • Complete the set: pair with the matching Maternity V-Neck Top or Maternity Wrap Top.</t>
        </is>
      </c>
      <c r="H301" s="933" t="inlineStr">
        <is>
          <t>79% TENCEL‚Ñ¢ M odal, 11% mulberry silk, 10% Spandex; band: 86% nylon, 14% Spandex • Care instructions: For best results, wash and dry according to instructions on the care label</t>
        </is>
      </c>
      <c r="I301" s="934" t="inlineStr">
        <is>
          <t>23.4.19, 23SS, CarbonZero, Category_Bras/Nursing, Category_Lounge, Category_Lounge/Pajamas &amp; Robes, Category_Lounge/Pants, Fabric_Lounge/Silk, Fabric_Lounge/Tencel Modal, Flexport Stock, LBD23, Tariff Final Sale, US Inventory</t>
        </is>
      </c>
      <c r="J301" s="935" t="inlineStr">
        <is>
          <t>maternity-pajama-pants</t>
        </is>
      </c>
    </row>
    <row r="302" ht="42" customHeight="1" s="229">
      <c r="A302" s="904" t="inlineStr">
        <is>
          <t>Mousse Core Medium Support Leggings</t>
        </is>
      </c>
      <c r="B302" s="905" t="inlineStr">
        <is>
          <t>Active</t>
        </is>
      </c>
      <c r="C302" s="906" t="n">
        <v>89</v>
      </c>
      <c r="D302" s="906" t="n">
        <v>89</v>
      </c>
      <c r="E302" s="905" t="inlineStr"/>
      <c r="F302" s="907" t="inlineStr">
        <is>
          <t>Tailored from a smooth mousse blend, these versatile leggings have the perfect stretch and durability for any activity and a style that works in virtually any gym outfit or casual wardrobe.</t>
        </is>
      </c>
      <c r="G302" s="908" t="inlineStr">
        <is>
          <t>• Soft, moisture-wicking, &amp; breathable mousse blend in an easy-to-match neutral color. • Features wide elastic band, side pockets, and semi-cropped legs. • Ideal for a comprehensive range of exercises, including dance, cycling, and more. • Inseam is 24.2" for Size M.</t>
        </is>
      </c>
      <c r="H302" s="909" t="inlineStr">
        <is>
          <t>70 % nylon, 30% Spandex • Care instructions: For best results, hand wash with like colors in cold water</t>
        </is>
      </c>
      <c r="I302" s="910" t="inlineStr">
        <is>
          <t>23.3.15, 23SS, Activity_Active/Ballet, Activity_Active/Gym, Activity_Active/Outdoor, Activity_Active/Running, Activity_Active/Yoga, Category_Active, Category_Active/Core, Category_Active/Leggings</t>
        </is>
      </c>
      <c r="J302" s="911" t="inlineStr">
        <is>
          <t>mousse-core-medium-support-leggings</t>
        </is>
      </c>
    </row>
    <row r="303" ht="42" customHeight="1" s="229">
      <c r="A303" s="912" t="inlineStr">
        <is>
          <t>Breeze Light Sun Block Jacket</t>
        </is>
      </c>
      <c r="B303" s="913" t="inlineStr">
        <is>
          <t>Active</t>
        </is>
      </c>
      <c r="C303" s="914" t="n">
        <v>159</v>
      </c>
      <c r="D303" s="914" t="n">
        <v>111.3</v>
      </c>
      <c r="E303" s="955" t="inlineStr">
        <is>
          <t>Yes</t>
        </is>
      </c>
      <c r="F303" s="915" t="inlineStr">
        <is>
          <t>Water-repellant and sun-resistant, this hooded Breeze Light Sun Block Jacket is designed to keep you cool, dry, and unburned in any weather ‚Äî designed in a chic style, this versatile top is perfect for light sports or casual daily wear.</t>
        </is>
      </c>
      <c r="G303" s="916" t="inlineStr">
        <is>
          <t>• Breathable and UV resistant (UPF 40+) to keep you dry and your skin protected. • Features hood, front pockets, and mesh back (for added ventilation as you get active). Size M is 19.5" in length. • Pair with the matching Breeze Pants or High Waist Drawstring Shorts for the complete look!</t>
        </is>
      </c>
      <c r="H303" s="917" t="inlineStr">
        <is>
          <t>100% nylon • Care Instructions: For best results, hand wash in cold water</t>
        </is>
      </c>
      <c r="I303" s="918" t="inlineStr">
        <is>
          <t>23.3.1, 23SS, 25Feb Sale, Activity_Active/Outdoor, Category_Active, Category_Active/Outerwear, Category_Active/Tops, Collection_Breeze, Flexport Stock, HR-CX, LBD23, no-returns, Outerwear, Spring Palette, Tariff Final Sale, US Inventory</t>
        </is>
      </c>
      <c r="J303" s="919" t="inlineStr">
        <is>
          <t>breeze-light-sun-block-jacket</t>
        </is>
      </c>
    </row>
    <row r="304" ht="42" customHeight="1" s="229">
      <c r="A304" s="880" t="inlineStr">
        <is>
          <t>Basic Chic Thong</t>
        </is>
      </c>
      <c r="B304" s="881" t="inlineStr">
        <is>
          <t>Underwear</t>
        </is>
      </c>
      <c r="C304" s="882" t="n">
        <v>15</v>
      </c>
      <c r="D304" s="882" t="n">
        <v>15</v>
      </c>
      <c r="E304" s="881" t="inlineStr"/>
      <c r="F304" s="883" t="inlineStr">
        <is>
          <t>Designed with versatility in mind, there's no limit to the ways you can wear this Basic Chic Thong ‚Äî everyday freedom and an easy no-show fit make this style an essential for any underwear drawer.</t>
        </is>
      </c>
      <c r="G304" s="884" t="inlineStr">
        <is>
          <t>• Low-waist no-show thong cut with an elastic-free band for exquisite comfort. • Made from an absorbent Spandex blend complete with a 100% cotton lining. • A minimalist style in a neutral, easy-to-match color that pairs with almost any bra!</t>
        </is>
      </c>
      <c r="H304" s="885" t="inlineStr">
        <is>
          <t>69% nylon, 31% Spandex; lining: 100% cotton • Care instructions: Hand wash only. Line dry in the shade. Do not iron</t>
        </is>
      </c>
      <c r="I304" s="886" t="inlineStr">
        <is>
          <t>23 XS-XL Briefs, 23.3.1, 23SS, Categeory_Underwear, Category_Underwear/Bottoms, Category_Underwear/Bottoms/Panties, Category_Underwear/Bottoms/Panties/Low Waist, Category_Underwear/Bottoms/Panties/Thongs, HR-CX, LBD23, Tariff Final Sale</t>
        </is>
      </c>
      <c r="J304" s="887" t="inlineStr">
        <is>
          <t>basic-chic-thong</t>
        </is>
      </c>
    </row>
    <row r="305" ht="42" customHeight="1" s="229">
      <c r="A305" s="888" t="inlineStr">
        <is>
          <t>Basic Chic Mid Waist Brief - 3 Pack</t>
        </is>
      </c>
      <c r="B305" s="889" t="inlineStr">
        <is>
          <t>Underwear</t>
        </is>
      </c>
      <c r="C305" s="890" t="n">
        <v>45</v>
      </c>
      <c r="D305" s="890" t="n">
        <v>31.5</v>
      </c>
      <c r="E305" s="985" t="inlineStr">
        <is>
          <t>Yes</t>
        </is>
      </c>
      <c r="F305" s="891" t="inlineStr">
        <is>
          <t>Equal parts cute and comfortable, there's no limit to what these Basic Chic Mid Waist Briefs can do ‚Äî the perfect choice for peace of mind and everyday freedom in any outfit. This item is FINAL SALE and cannot be returned or exchanged.</t>
        </is>
      </c>
      <c r="G305" s="892" t="inlineStr">
        <is>
          <t>• Mid-waist hip-hugger cut with an elastic-free band for moderate coverage and exquisite comfort. • Made from a soft yet flexible Spandex blend complete with a 100% cotton lining. • Convenient 3-pack with a variety of colors ‚Äî this minimalist style is easy to pair with almost any bra!</t>
        </is>
      </c>
      <c r="H305" s="893" t="inlineStr">
        <is>
          <t>69% nylon, 31% Spandex; lining: 100% cotton • Care instructions: Hand wash only. Line dry in the shade. Do not iron</t>
        </is>
      </c>
      <c r="I305" s="894" t="inlineStr">
        <is>
          <t>23 XS-XL Briefs, 23.3.1, 23SS, 25Jan Sale, Bundle Collection, Category_Underwear, Category_Underwear/Bottoms, Category_Underwear/Bottoms/Panties, Category_Underwear/Bottoms/Panties/Mid Waist, HR-CX, LBD23, no-returns, Sale, Tariff Final Sale</t>
        </is>
      </c>
      <c r="J305" s="895" t="inlineStr">
        <is>
          <t>basic-chic-mid-waist-brief-3-pack</t>
        </is>
      </c>
    </row>
    <row r="306" ht="56" customHeight="1" s="229">
      <c r="A306" s="904" t="inlineStr">
        <is>
          <t>Breeze High Waist Drawstring Shorts</t>
        </is>
      </c>
      <c r="B306" s="905" t="inlineStr">
        <is>
          <t>Active</t>
        </is>
      </c>
      <c r="C306" s="906" t="n">
        <v>89</v>
      </c>
      <c r="D306" s="906" t="n">
        <v>62.3</v>
      </c>
      <c r="E306" s="956" t="inlineStr">
        <is>
          <t>Yes</t>
        </is>
      </c>
      <c r="F306" s="907" t="inlineStr">
        <is>
          <t>Water-repellant and sun-resistant, these Breeze High Waist Drawstring Shorts are the perfect choice for staying cool, dry, and unburned in any weather ‚Äî versatile bottoms designed to be equally useful for light sports or casual daily wear.</t>
        </is>
      </c>
      <c r="G306" s="908" t="inlineStr">
        <is>
          <t>• Breathable and UV resistant (UPF 40+) to keep you dry and your skin protected. • Features elastic drawstring waistband and large side pockets for all your accessories. Size M is 16.7" in length. • Pair with the matching Breeze Light Sun Block Jacket for the complete look!</t>
        </is>
      </c>
      <c r="H306" s="909" t="inlineStr">
        <is>
          <t>100% nylon • Care Instructions: For best results, hand wash in cold water</t>
        </is>
      </c>
      <c r="I306" s="910" t="inlineStr">
        <is>
          <t>23.3.1, 23SS, 25Feb Sale, Activity_Active/Outdoor, Category_Active, Category_Active/Shorts, Category_Lounge/Bottoms/Elastic, Collection_Breeze, HR-CX, LBD23, no-returns, Spring Palette, Tariff Final Sale, US Inventory</t>
        </is>
      </c>
      <c r="J306" s="911" t="inlineStr">
        <is>
          <t>breeze-high-waist-drawstring-shorts</t>
        </is>
      </c>
    </row>
    <row r="307" ht="42" customHeight="1" s="229">
      <c r="A307" s="912" t="inlineStr">
        <is>
          <t>Breeze Pants</t>
        </is>
      </c>
      <c r="B307" s="913" t="inlineStr">
        <is>
          <t>Active</t>
        </is>
      </c>
      <c r="C307" s="914" t="n">
        <v>129</v>
      </c>
      <c r="D307" s="914" t="n">
        <v>90.3</v>
      </c>
      <c r="E307" s="955" t="inlineStr">
        <is>
          <t>Yes</t>
        </is>
      </c>
      <c r="F307" s="915" t="inlineStr">
        <is>
          <t>Water-repellant and sun-resistant, these Breeze Pants are the perfect choice for staying cool, dry, and unburned in any weather ‚Äî versatile bottoms designed to be equally useful for light sports or casual daily wear.</t>
        </is>
      </c>
      <c r="G307" s="916" t="inlineStr">
        <is>
          <t>• Breathable and UV resistant (UPF 40+) to keep you dry and your skin protected. • Features semi-elastic waistband and snap-closure pockets. Size M is 41.1" in length. • Pair with the matching Breeze Light Sun Block Jacket for the complete look!</t>
        </is>
      </c>
      <c r="H307" s="917" t="inlineStr">
        <is>
          <t>94% nylon, 6% Spandex • Care Instructions: For best results, hand wash in cold water</t>
        </is>
      </c>
      <c r="I307" s="918" t="inlineStr">
        <is>
          <t>23.3.1, 23SS, 25Feb Sale, Activity_Active/Outdoor, Category_Active, Category_Active/Joggers, Collection_Breeze, HR-CX, LBD23, no-returns, Tariff Final Sale, US Inventory</t>
        </is>
      </c>
      <c r="J307" s="919" t="inlineStr">
        <is>
          <t>breeze-pants</t>
        </is>
      </c>
    </row>
    <row r="308" ht="42" customHeight="1" s="229">
      <c r="A308" s="896" t="inlineStr">
        <is>
          <t>Caf√© Print Pajama Shirt</t>
        </is>
      </c>
      <c r="B308" s="897" t="inlineStr">
        <is>
          <t>Loungewear</t>
        </is>
      </c>
      <c r="C308" s="898" t="n">
        <v>69</v>
      </c>
      <c r="D308" s="898" t="n">
        <v>41.4</v>
      </c>
      <c r="E308" s="957" t="inlineStr">
        <is>
          <t>Yes</t>
        </is>
      </c>
      <c r="F308" s="899" t="inlineStr">
        <is>
          <t>Cut from a refreshingly soft 100% cotton weave, this Caf√© Print Pajama Shirt is part of an easy-to-wear lounge set designed to be endlessly cute and effortlessly comfortable.</t>
        </is>
      </c>
      <c r="G308" s="900" t="inlineStr">
        <is>
          <t>• Tailored with a V-neck collar in a loose button-down style. • Made from 100% crisp, breathable cotton with a print inspired by the hallmarks of Sicily. Size M is 25.1" in length. • Complete the set with the matching Pajama Shorts or Pajama Pants!</t>
        </is>
      </c>
      <c r="H308" s="901" t="inlineStr">
        <is>
          <t>100% cotton • Care instructions: For best results, hand wash with like colors in cold water. Lay flat or hang to dry</t>
        </is>
      </c>
      <c r="I308" s="902" t="inlineStr">
        <is>
          <t>23.3.1, 23SS, 24JuneSale, Category_Lounge, Category_Lounge/Pajamas &amp; Robes, Category_Lounge/Tops, Fabric_Lounge/Cotton, HR-CX, LBD23, no-returns, pink collection, Tariff Final Sale</t>
        </is>
      </c>
      <c r="J308" s="903" t="inlineStr">
        <is>
          <t>cafe-print-shirt-pajama-top</t>
        </is>
      </c>
    </row>
    <row r="309" ht="42" customHeight="1" s="229">
      <c r="A309" s="928" t="inlineStr">
        <is>
          <t>Caf√© Print Pajama Pants</t>
        </is>
      </c>
      <c r="B309" s="929" t="inlineStr">
        <is>
          <t>Loungewear</t>
        </is>
      </c>
      <c r="C309" s="930" t="n">
        <v>55</v>
      </c>
      <c r="D309" s="930" t="n">
        <v>38.5</v>
      </c>
      <c r="E309" s="936" t="inlineStr">
        <is>
          <t>Yes</t>
        </is>
      </c>
      <c r="F309" s="931" t="inlineStr">
        <is>
          <t>Cut from a refreshingly soft 100% cotton weave, these Caf√© Print Pajama Pants are part of an easy-to-wear lounge set designed to be endlessly cute and effortlessly comfortable.</t>
        </is>
      </c>
      <c r="G309" s="932" t="inlineStr">
        <is>
          <t>• Tailored with an elastic drawstring waistband and straight-cut legs. • Made from 100% crisp, breathable cotton with a print inspired by the hallmarks of Sicily. Size M is 38.2" in length. • Complete the set with the matching Caf√© Print Shirt Pajama Top!</t>
        </is>
      </c>
      <c r="H309" s="933" t="inlineStr">
        <is>
          <t>100% cotton • Care instructions: For best results, hand wash with like colors in cold water. Lay flat or hang to dry</t>
        </is>
      </c>
      <c r="I309" s="934" t="inlineStr">
        <is>
          <t>23.3.1, 23SS, 24JuneSale, Category_Lounge, Category_Lounge/Bottoms, Category_Lounge/Bottoms/Elastic, Category_Lounge/Pajamas &amp; Robes, Category_Lounge/Pants, Fabric_Lounge/Cotton, LBD23, no-returns, pink collection</t>
        </is>
      </c>
      <c r="J309" s="935" t="inlineStr">
        <is>
          <t>cafe-print-pajama-pants</t>
        </is>
      </c>
    </row>
    <row r="310" ht="42" customHeight="1" s="229">
      <c r="A310" s="896" t="inlineStr">
        <is>
          <t>Caf√© Print Pajama Dress</t>
        </is>
      </c>
      <c r="B310" s="897" t="inlineStr">
        <is>
          <t>Loungewear</t>
        </is>
      </c>
      <c r="C310" s="898" t="n">
        <v>69</v>
      </c>
      <c r="D310" s="898" t="n">
        <v>48.3</v>
      </c>
      <c r="E310" s="957" t="inlineStr">
        <is>
          <t>Yes</t>
        </is>
      </c>
      <c r="F310" s="899" t="inlineStr">
        <is>
          <t>Cut from a refreshingly soft 100% cotton weave, this Caf√© Print V Neck Shirt Pajama Dress is part of an easy-to-wear lounge set designed to be endlessly cute and effortlessly comfortable.</t>
        </is>
      </c>
      <c r="G310" s="900" t="inlineStr">
        <is>
          <t>• Tailored with a V-neck collar in a loose button-down style. • Made from 100% crisp, breathable cotton with a print inspired by the hallmarks of Sicily. Size M is 35.6" in length. • Layer with the matching Print Pajama Shorts for added modesty and warmth without sacrificing the chic nightgown aesthetic.</t>
        </is>
      </c>
      <c r="H310" s="901" t="inlineStr">
        <is>
          <t>100% cotton • Care instructions: For best results, hand wash with like colors in cold water. Lay flat or hang to dry</t>
        </is>
      </c>
      <c r="I310" s="902" t="inlineStr">
        <is>
          <t>23.3.1, 23SS, 24JuneSale, Category_Lounge, Category_Lounge/Dress&amp;Jumpsuit, Category_Lounge/Pajamas &amp; Robes, Category_Lounge/Pajamas &amp; Robes/Dress, Fabric_Lounge/Cotton, LBD23, no-returns, pink collection</t>
        </is>
      </c>
      <c r="J310" s="903" t="inlineStr">
        <is>
          <t>cafe-print-pajama-dress</t>
        </is>
      </c>
    </row>
    <row r="311" ht="42" customHeight="1" s="229">
      <c r="A311" s="928" t="inlineStr">
        <is>
          <t>Caf√© Print Pajama Shorts</t>
        </is>
      </c>
      <c r="B311" s="929" t="inlineStr">
        <is>
          <t>Loungewear</t>
        </is>
      </c>
      <c r="C311" s="930" t="n">
        <v>45</v>
      </c>
      <c r="D311" s="930" t="n">
        <v>27</v>
      </c>
      <c r="E311" s="936" t="inlineStr">
        <is>
          <t>Yes</t>
        </is>
      </c>
      <c r="F311" s="931" t="inlineStr">
        <is>
          <t>Cut from a refreshingly soft 100% cotton weave, these Caf √© Print Pajama Shorts are part of an easy-to-wear lounge set designed to be endlessly cute and effortlessly comfortable.</t>
        </is>
      </c>
      <c r="G311" s="932" t="inlineStr">
        <is>
          <t>• Tailored with an elastic drawstring waistband and side pockets. • Made from 100% crisp, breathable cotton with a print inspired by the hallmarks of Sicily. Size M is 17.1" in length. • Complete the set with the matching Print Shirt Pajama Top!</t>
        </is>
      </c>
      <c r="H311" s="933" t="inlineStr">
        <is>
          <t>100% cotton • Care instructions: For best results, hand wash with like colors in cold water. Lay flat or hang to dry</t>
        </is>
      </c>
      <c r="I311" s="934" t="inlineStr">
        <is>
          <t>23.3.1, 23SS, 24JuneSale, Category_Lounge, Category_Lounge/Bottoms, Category_Lounge/Bottoms/Elastic, Category_Lounge/Pajamas &amp; Robes, Category_Lounge/Shorts, Fabric_Lounge/Cotton, HR-CX, LBD23, no-returns, pink collection</t>
        </is>
      </c>
      <c r="J311" s="935" t="inlineStr">
        <is>
          <t>cafe-print-pajama-shorts</t>
        </is>
      </c>
    </row>
    <row r="312" ht="42" customHeight="1" s="229">
      <c r="A312" s="880" t="inlineStr">
        <is>
          <t>Maternity Crossover Low Waist Brief</t>
        </is>
      </c>
      <c r="B312" s="881" t="inlineStr">
        <is>
          <t>Underwear</t>
        </is>
      </c>
      <c r="C312" s="882" t="n">
        <v>25</v>
      </c>
      <c r="D312" s="882" t="n">
        <v>25</v>
      </c>
      <c r="E312" s="881" t="inlineStr"/>
      <c r="F312" s="883" t="inlineStr">
        <is>
          <t>Thoughtfully-crafted support for your journey into motherhood: our Maternity Crossover Low Waist Brief is designed for lasting comfort that adapts to your body from late pregnancy into post-partum recovery.</t>
        </is>
      </c>
      <c r="G312" s="884" t="inlineStr">
        <is>
          <t>• Low-waist crossover cut for moderate coverage that expands with plenty of room for your belly. • Seamless tailoring in a plant-based fabric blend ‚Äî soft, skin-friendly, and complete with a 100% cotton lining. • The perfect pairing for the matching Crossover Nursing Bra.</t>
        </is>
      </c>
      <c r="H312" s="885" t="inlineStr">
        <is>
          <t>70% viscose, 24% nylon, 6% Spandex; lining: 100% cotton • Care instructions: For best results, wash and dry according to instructions on the care label</t>
        </is>
      </c>
      <c r="I312" s="886" t="inlineStr">
        <is>
          <t>23.4.19, 23SS, Category_Underwear, Category_Underwear/Bottoms, Category_Underwear/Bottoms/Panties, Category_Underwear/Bottoms/Panties/Low Waist, HR-CX, LBD23, Maternity Brief, Tariff Final Sale</t>
        </is>
      </c>
      <c r="J312" s="887" t="inlineStr">
        <is>
          <t>maternity-crossover-low-waist-brief</t>
        </is>
      </c>
    </row>
    <row r="313" ht="42" customHeight="1" s="229">
      <c r="A313" s="888" t="inlineStr">
        <is>
          <t>Postpartum High Waist Shaping Brief</t>
        </is>
      </c>
      <c r="B313" s="889" t="inlineStr">
        <is>
          <t>Underwear</t>
        </is>
      </c>
      <c r="C313" s="890" t="n">
        <v>35</v>
      </c>
      <c r="D313" s="890" t="n">
        <v>35</v>
      </c>
      <c r="E313" s="889" t="inlineStr"/>
      <c r="F313" s="891" t="inlineStr">
        <is>
          <t>Thoughtfully-crafted support for your postpartum journey: our Postpartum High Waist Shaping Brief is designed for light shaping and compression as your body recovers from birth.</t>
        </is>
      </c>
      <c r="G313" s="892" t="inlineStr">
        <is>
          <t>• Ultra high-waisted cut for maximum coverage and a confidence-boosting silhouette as you recover. • Seamless tailoring in a plant-based fabric blend ‚Äî soft, skin-friendly, and complete with a 100% cotton lining. • The perfect pairing for the matching Nursing Bra from our Maternity Collection.</t>
        </is>
      </c>
      <c r="H313" s="893" t="inlineStr">
        <is>
          <t>72% viscose, 17% nylon, 11% Spandex; lining: 100% cotton • Care instructions: For best results, wash and dry according to instructions on the care label</t>
        </is>
      </c>
      <c r="I313" s="894" t="inlineStr">
        <is>
          <t>23.4.19, 23SS, Category_Underwear, Category_Underwear/Bottoms, Category_Underwear/Bottoms/Panties, Category_Underwear/Bottoms/Panties/High Waist, HR-CX, LBD23, Maternity Brief, Tariff Final Sale</t>
        </is>
      </c>
      <c r="J313" s="895" t="inlineStr">
        <is>
          <t>postpartum-high-waist-shaping-brief</t>
        </is>
      </c>
    </row>
    <row r="314" ht="28" customHeight="1" s="229">
      <c r="A314" s="880" t="inlineStr">
        <is>
          <t>Nude Shape Mesh Bra</t>
        </is>
      </c>
      <c r="B314" s="881" t="inlineStr">
        <is>
          <t>Underwear</t>
        </is>
      </c>
      <c r="C314" s="882" t="n">
        <v>109</v>
      </c>
      <c r="D314" s="882" t="n">
        <v>109</v>
      </c>
      <c r="E314" s="881" t="inlineStr"/>
      <c r="F314" s="883" t="inlineStr">
        <is>
          <t>Ease &amp; elegance ‚Äî this Nude Shape Mesh Bra's luxurious design is an easy choice for all-day comfort and an instant confidence boost in any outfit.</t>
        </is>
      </c>
      <c r="G314" s="884" t="inlineStr">
        <is>
          <t>• Soft yet flexible, this Spandex blend bra features a breathable mesh design. • Back clasp closure and adjustable spaghetti straps for the perfect fit. • No-show deep V cut; available in three easy-to-match colors.</t>
        </is>
      </c>
      <c r="H314" s="885" t="inlineStr">
        <is>
          <t>68% nylon, 32% Spandex • Care instructions: For best results, hand wash in cold water with an underwear-safe detergent</t>
        </is>
      </c>
      <c r="I314" s="886" t="inlineStr">
        <is>
          <t>23.3.1, 23SS, A-D Size Bras, Band + Cup Bra, Categeory_Underwear, Category_Bras/Medium Support, Category_Bras/Plunge, Category_Underwear/Tops, Category_Underwear/Tops/Wireless Bra, Collection_Valentine, Flexport Stock, LBD23, Tariff Final Sale, US Inventory</t>
        </is>
      </c>
      <c r="J314" s="887" t="inlineStr">
        <is>
          <t>nude-shape-mesh-bra</t>
        </is>
      </c>
    </row>
    <row r="315" ht="42" customHeight="1" s="229">
      <c r="A315" s="888" t="inlineStr">
        <is>
          <t>Basic Chic Bikini Brief</t>
        </is>
      </c>
      <c r="B315" s="889" t="inlineStr">
        <is>
          <t>Underwear</t>
        </is>
      </c>
      <c r="C315" s="890" t="n">
        <v>15</v>
      </c>
      <c r="D315" s="890" t="n">
        <v>15</v>
      </c>
      <c r="E315" s="889" t="inlineStr"/>
      <c r="F315" s="891" t="inlineStr">
        <is>
          <t>There's no limit to the ways you can wear this Basic Chic Bikini Brief ‚Äî equal parts cute and comfortable, the everyday freedom that comes with this style is essential in any underwear drawer.</t>
        </is>
      </c>
      <c r="G315" s="892" t="inlineStr">
        <is>
          <t>• Mid-to-high waist bikini cut with an elastic-free band for medium coverage and exquisite comfort. • Made from an absorbent, Spandex blend complete with a 100% cotton lining. • A minimalist style available in three easy-to-match colors ‚Äî easy to pair with almost any bra!</t>
        </is>
      </c>
      <c r="H315" s="893" t="inlineStr">
        <is>
          <t>69% nylon, 31% Spandex; lining: 100% cotton • Care instructions: Hand wash only. Line dry in the shade. Do not iron</t>
        </is>
      </c>
      <c r="I315" s="894" t="inlineStr">
        <is>
          <t>23 XS-XL Briefs, 23.3.1, 23SS, Categeory_Underwear, Category_Underwear/Bottoms, Category_Underwear/Bottoms/Panties, Category_Underwear/Bottoms/Panties/Mid Waist, HR-CX, LBD23, Tariff Final Sale</t>
        </is>
      </c>
      <c r="J315" s="895" t="inlineStr">
        <is>
          <t>basic-chic-bikini-briefs</t>
        </is>
      </c>
    </row>
    <row r="316" ht="56" customHeight="1" s="229">
      <c r="A316" s="896" t="inlineStr">
        <is>
          <t>Silk Modal Short Sleeve T-Shirt</t>
        </is>
      </c>
      <c r="B316" s="897" t="inlineStr">
        <is>
          <t>Loungewear</t>
        </is>
      </c>
      <c r="C316" s="898" t="n">
        <v>55</v>
      </c>
      <c r="D316" s="898" t="n">
        <v>38.5</v>
      </c>
      <c r="E316" s="957" t="inlineStr">
        <is>
          <t>Yes</t>
        </is>
      </c>
      <c r="F316" s="899" t="inlineStr">
        <is>
          <t>Maintaining the understated style of its earlier iteration, this updated Silk Modal Short Sleeve T-Shirt is made from a blend of TENCEL‚Ñ¢ True Carbon Zero Modal and silk for eco-conscious, luxurious comfort that keeps you feeling refreshed every morning.</t>
        </is>
      </c>
      <c r="G316" s="900" t="inlineStr">
        <is>
          <t>• Relaxed fit pajama tee ‚Äî pairs perfectly with the matching Silk Modal Pajama Pants. • Classic crew neck with short sleeves. Size M is 24" in length. • Made from a lusciously soft, planet-friendly blend (now with more silk!).</t>
        </is>
      </c>
      <c r="H316" s="901" t="inlineStr">
        <is>
          <t>78% TENCEL‚Ñ¢ Modal, 12% Spandex , 10% silk • Care instructions: For best results, hand wash in cold water</t>
        </is>
      </c>
      <c r="I316" s="902" t="inlineStr">
        <is>
          <t>23.2.22, 23SS, 25JulySale, CarbonZero, Category_Lounge, Category_Lounge/Pajamas &amp; Robes, Category_Lounge/Tops, Collection_Valentine, Fabric_Lounge/Silk, Fabric_Lounge/Tencel Modal, LBD23, no-returns, Tariff Final Sale</t>
        </is>
      </c>
      <c r="J316" s="903" t="inlineStr">
        <is>
          <t>silk-modal-short-sleeve-t-shirt</t>
        </is>
      </c>
    </row>
    <row r="317" ht="56" customHeight="1" s="229">
      <c r="A317" s="928" t="inlineStr">
        <is>
          <t>Silk Modal Pajama Dress</t>
        </is>
      </c>
      <c r="B317" s="929" t="inlineStr">
        <is>
          <t>Loungewear</t>
        </is>
      </c>
      <c r="C317" s="930" t="n">
        <v>69</v>
      </c>
      <c r="D317" s="930" t="n">
        <v>48.3</v>
      </c>
      <c r="E317" s="936" t="inlineStr">
        <is>
          <t>Yes</t>
        </is>
      </c>
      <c r="F317" s="931" t="inlineStr">
        <is>
          <t>Staying true to the minimalist design of its earlier iteration, this updated Silk Modal Pajama Dress is made from a blend of TENCEL‚Ñ¢ True Carbon Zero Modal and silk for eco-conscious, luxurious comfort that keeps you feeling refreshed every morning.</t>
        </is>
      </c>
      <c r="G317" s="932" t="inlineStr">
        <is>
          <t>• Minimalist short nightgown with a flattering drape. • Features button-down henley neckline and short sleeves. Size M is 33.3" in length. • Made from a lusciously soft, planet-friendly blend (now with more silk!).</t>
        </is>
      </c>
      <c r="H317" s="933" t="inlineStr">
        <is>
          <t>78% TENCEL‚Ñ¢ Modal, 12% Spandex , 10% silk • Care instructions: For best results, hand wash in cold water</t>
        </is>
      </c>
      <c r="I317" s="934" t="inlineStr">
        <is>
          <t>23.2.22, 23SS, 25JulySale, CarbonZero, Category_Lounge, Category_Lounge/Dress&amp;Jumpsuit, Category_Lounge/Pajamas &amp; Robes, Category_Lounge/Pajamas &amp; Robes/Dress, Collection_Valentine, Fabric_Lounge/Silk, Fabric_Lounge/Tencel Modal, LBD23, no-returns, Tariff Final Sale</t>
        </is>
      </c>
      <c r="J317" s="935" t="inlineStr">
        <is>
          <t>silk-modal-pajama-dress</t>
        </is>
      </c>
    </row>
    <row r="318" ht="56" customHeight="1" s="229">
      <c r="A318" s="896" t="inlineStr">
        <is>
          <t>Silk Modal Pajama Pants</t>
        </is>
      </c>
      <c r="B318" s="897" t="inlineStr">
        <is>
          <t>Loungewear</t>
        </is>
      </c>
      <c r="C318" s="898" t="n">
        <v>69</v>
      </c>
      <c r="D318" s="898" t="n">
        <v>48.3</v>
      </c>
      <c r="E318" s="957" t="inlineStr">
        <is>
          <t>Yes</t>
        </is>
      </c>
      <c r="F318" s="899" t="inlineStr">
        <is>
          <t>Building upon the style and comfort-first design of earlier iterations, these updated Silk Modal Pajama Pants are made from a blend of TENCEL‚Ñ¢ True Carbon Zero Modal and silk for eco-conscious, luxurious comfort to keep you feeling refreshed every morning.</t>
        </is>
      </c>
      <c r="G318" s="900" t="inlineStr">
        <is>
          <t>• Cropped pajama pants with an elastic waistband, pockets, and cuffed hem detail. • Matches the Silk Modal Pajama Top and Silk Modal Short Sleeve T-Shirt. Size M is 31.1" in length. • Made from a lusciously soft, planet-friendly blend (now with more silk!).</t>
        </is>
      </c>
      <c r="H318" s="901" t="inlineStr">
        <is>
          <t>78% TENCEL‚Ñ¢ Modal, 12% Spandex , 10% silk • Care instructions: For best results, hand wash in cold water</t>
        </is>
      </c>
      <c r="I318" s="902" t="inlineStr">
        <is>
          <t>23.2.22, 23SS, 25JulySale, CarbonZero, Category_Lounge, Category_Lounge/Bottoms, Category_Lounge/Bottoms/Elastic, Category_Lounge/Pajamas &amp; Robes, Category_Lounge/Pants, Collection_Valentine, Fabric_Lounge/Silk, Fabric_Lounge/Tencel Modal, LBD23, no-returns, Tariff Final Sale</t>
        </is>
      </c>
      <c r="J318" s="903" t="inlineStr">
        <is>
          <t>silk-modal-pajama-pants</t>
        </is>
      </c>
    </row>
    <row r="319" ht="56" customHeight="1" s="229">
      <c r="A319" s="928" t="inlineStr">
        <is>
          <t>Silk Modal Pajama Top</t>
        </is>
      </c>
      <c r="B319" s="929" t="inlineStr">
        <is>
          <t>Loungewear</t>
        </is>
      </c>
      <c r="C319" s="930" t="n">
        <v>79</v>
      </c>
      <c r="D319" s="930" t="n">
        <v>55.3</v>
      </c>
      <c r="E319" s="936" t="inlineStr">
        <is>
          <t>Yes</t>
        </is>
      </c>
      <c r="F319" s="931" t="inlineStr">
        <is>
          <t>Blending classic silhouettes with our comfort-first, planet-friendly philosophies, this Silk Modal Pajama Top is made from a blend of TENCEL‚Ñ¢ True Carbon Zero Modal and silk for eco-conscious, luxurious comfort that keeps you feeling refreshed every morning.</t>
        </is>
      </c>
      <c r="G319" s="932" t="inlineStr">
        <is>
          <t>• Classic button-down style pajama shirt with a relaxed fit. • Features French lapels, shirt pocket, and color-matched button accents. Size M is 26.2" in length. • Made from a lusciously soft blend crafted with environmental responsibility as our top priority .</t>
        </is>
      </c>
      <c r="H319" s="933" t="inlineStr">
        <is>
          <t>78% TENCEL‚Ñ¢ Modal, 12% Spandex , 10% silk • Care instructions: For best results, hand wash in cold water</t>
        </is>
      </c>
      <c r="I319" s="934" t="inlineStr">
        <is>
          <t>23.2.22, 23SS, 25JulySale, CarbonZero, Category_Lounge, Category_Lounge/Pajamas &amp; Robes, Category_Lounge/Tops, Collection_Valentine, Fabric_Lounge/Silk, Fabric_Lounge/Tencel Modal, LBD23, no-returns, Tariff Final Sale</t>
        </is>
      </c>
      <c r="J319" s="935" t="inlineStr">
        <is>
          <t>silk-modal-pajama-top</t>
        </is>
      </c>
    </row>
    <row r="320" ht="42" customHeight="1" s="229">
      <c r="A320" s="904" t="inlineStr">
        <is>
          <t>Ballet Knotted Cardigan</t>
        </is>
      </c>
      <c r="B320" s="905" t="inlineStr">
        <is>
          <t>Active</t>
        </is>
      </c>
      <c r="C320" s="906" t="n">
        <v>129</v>
      </c>
      <c r="D320" s="906" t="n">
        <v>129</v>
      </c>
      <c r="E320" s="905" t="inlineStr"/>
      <c r="F320" s="907" t="inlineStr">
        <is>
          <t>An elegant outer layer for any active outfit, this reversible sheer Ballet Knotted Cardigan is equally at home as part of your casual wardrobe rotation ‚Äî a versatile and easy-to-match top designed to be as flexible as you are.</t>
        </is>
      </c>
      <c r="G320" s="908" t="inlineStr">
        <is>
          <t>• Reversible twist design designed to be styled in front or back ‚Äî two options for greater style versatility. • Tailored from a breathable linen-textured nylon blend. Size M is 17.7" in length. • Complete the look with the matching Ballet Slit Joggers!</t>
        </is>
      </c>
      <c r="H320" s="909" t="inlineStr">
        <is>
          <t>76% acetate, 24% nylon • Care instructions: Hand wash in cool water. Line dry in the shade. Do not iron</t>
        </is>
      </c>
      <c r="I320" s="910" t="inlineStr">
        <is>
          <t>23.3.8, 23SS, Activity_Active/Ballet, Activity_Active/Ballet&amp;Dance, Category_Active, Category_Active/Outerwear, Category_Active/Tops, Category_Lounge/Knitwear, Flexport Stock, LBD23, Outerwear, US Inventory, US Main</t>
        </is>
      </c>
      <c r="J320" s="911" t="inlineStr">
        <is>
          <t>ballet-knotted-cardigan</t>
        </is>
      </c>
    </row>
    <row r="321" ht="56" customHeight="1" s="229">
      <c r="A321" s="938" t="inlineStr">
        <is>
          <t>Men's Ankle Socks (3-Pack)</t>
        </is>
      </c>
      <c r="B321" s="939" t="inlineStr">
        <is>
          <t>Men</t>
        </is>
      </c>
      <c r="C321" s="940" t="n">
        <v>19</v>
      </c>
      <c r="D321" s="940" t="n">
        <v>19</v>
      </c>
      <c r="E321" s="939" t="inlineStr"/>
      <c r="F321" s="942" t="inlineStr">
        <is>
          <t>Ultra low profile and super comfortable, these ankle socks are an everyday essential perfect for low-cut footwear. This convenient value pack is great as a practical gift or for restocking your own sock drawer. P.S. They're a great unisex sock option!</t>
        </is>
      </c>
      <c r="G321" s="943" t="inlineStr">
        <is>
          <t>• Ankle-length l ow-cut men's socks in a total of six easy-to-match colors. Each pack includes three pairs of socks in three colors. • Made from a breathable cotton blend with added Spandex for flexibility. The socks are 9.4"-10.2" in length. • Easy care: durable &amp; machine washable.</t>
        </is>
      </c>
      <c r="H321" s="944" t="inlineStr">
        <is>
          <t>66% cotton, 30% nylon, 4% Spandex • Care Instructions: For best results, machine wash in cold water</t>
        </is>
      </c>
      <c r="I321" s="945" t="inlineStr">
        <is>
          <t>23.1.25, 23SS, Bundle Collection, Category_Lounge/Accessories, Category_Men, Category_Men/Accessories, Category_Men/Socks, LBD23, Tariff Final Sale</t>
        </is>
      </c>
      <c r="J321" s="946" t="inlineStr">
        <is>
          <t>mens-ankle-socks-3-pack</t>
        </is>
      </c>
    </row>
    <row r="322" ht="42" customHeight="1" s="229">
      <c r="A322" s="880" t="inlineStr">
        <is>
          <t>Pure Comfort Ribbed Triangle Bra</t>
        </is>
      </c>
      <c r="B322" s="881" t="inlineStr">
        <is>
          <t>Underwear</t>
        </is>
      </c>
      <c r="C322" s="882" t="n">
        <v>39</v>
      </c>
      <c r="D322" s="882" t="n">
        <v>39</v>
      </c>
      <c r="E322" s="881" t="inlineStr"/>
      <c r="F322" s="883" t="inlineStr">
        <is>
          <t>Back by popular demand and in exciting pastel colors, this Pure Comfort Ribbed Triangle Bra is made from a luxuriously soft cotton blend with extra-thin wireless cups that balance support and breathability.</t>
        </is>
      </c>
      <c r="G322" s="884" t="inlineStr">
        <is>
          <t>• Timeless ribbed crossover design with triangle cups. Supports AA-B cup sizes. • Adjustable straps convert to racerback style. Fixed light padding make care and maintenance easier than ever. • Carbon neutral construction: better for you and the planet.</t>
        </is>
      </c>
      <c r="H322" s="885" t="inlineStr">
        <is>
          <t>Shell: 86% c otton, 14% Spandex; Lining: 44% Cotton, 44% TENCEL‚Ñ¢ Modal, 12% Spandex • Care instructions: For best results, hand wash in cold water with a gentle detergent. Lay flat to dry</t>
        </is>
      </c>
      <c r="I322" s="886" t="inlineStr">
        <is>
          <t>23.1.25, 23SS, 23SS A3 Size Bra, Category_Bras/Bralettes, Category_Bras/Cotton, Category_Bras/Everyday, Category_Bras/Light Support, Category_Bras/Plunge, Category_Underwear, Category_Underwear/Tops, Category_Underwear/Tops/Wireless Bra, Category_Underwear/Tops/Wireless Bra/Triangle, Collection_Pure Comfort, Fabric_Underwear/Cotton, Feature_Best Seller, Flexport Stock, LBD23, SML Size Bra, Spring Palette, Tariff Final Sale, US Inventory</t>
        </is>
      </c>
      <c r="J322" s="887" t="inlineStr">
        <is>
          <t>pure-comfort-ribbed-triangle-bra</t>
        </is>
      </c>
    </row>
    <row r="323" ht="56" customHeight="1" s="229">
      <c r="A323" s="958" t="inlineStr">
        <is>
          <t>Men's Modal Brief (3-Pack)</t>
        </is>
      </c>
      <c r="B323" s="959" t="inlineStr">
        <is>
          <t>Men</t>
        </is>
      </c>
      <c r="C323" s="960" t="n">
        <v>39</v>
      </c>
      <c r="D323" s="960" t="n">
        <v>39</v>
      </c>
      <c r="E323" s="959" t="inlineStr"/>
      <c r="F323" s="961" t="inlineStr">
        <is>
          <t>Now with new colors in a value 3-pack! Tailored from a silky-smooth blend of TENCEL‚Ñ¢ Modal and Spandex, our Men's Modal Briefs provide excellent stretch and superb comfort ‚Äî you'll love the feeling of wearing nothing at all with its completely seamless design and stay-put waistband.</t>
        </is>
      </c>
      <c r="G323" s="962" t="inlineStr">
        <is>
          <t>• Highly flexible to accommodate different body types. • Flat chafe-free seams- no friction or show-through lines, in jeans or even thin slacks. • Made from a durable 60s blend of TENCEL‚Ñ¢ Modal &amp; Spandex. Keeps skin clean, healthy, and breathing easy. • Multiple colors for different moods and styles.</t>
        </is>
      </c>
      <c r="H323" s="963" t="inlineStr">
        <is>
          <t>89% TENCEL‚Ñ¢ Modal, 11% Spandex • Care instructions: Hand or machine wash and dry according to instructions on the care label using a mild laundry detergent</t>
        </is>
      </c>
      <c r="I323" s="964" t="inlineStr">
        <is>
          <t>23.1.18, 23SS, Bundle Collection, Category_Men, Category_Men/Underwear, Feature_Best Seller, HR-CX, LBD23, Tariff Final Sale</t>
        </is>
      </c>
      <c r="J323" s="965" t="inlineStr">
        <is>
          <t>mens-modal-brief-3-pack</t>
        </is>
      </c>
    </row>
    <row r="324" ht="56" customHeight="1" s="229">
      <c r="A324" s="938" t="inlineStr">
        <is>
          <t>Men's Cotton Briefs (3-Pack)</t>
        </is>
      </c>
      <c r="B324" s="939" t="inlineStr">
        <is>
          <t>Men</t>
        </is>
      </c>
      <c r="C324" s="940" t="n">
        <v>39</v>
      </c>
      <c r="D324" s="940" t="n">
        <v>39</v>
      </c>
      <c r="E324" s="939" t="inlineStr"/>
      <c r="F324" s="942" t="inlineStr">
        <is>
          <t>Blending breathable cotton with just the right amount of Spandex is the perfect recipe for all day comfort and maximum mobility ‚Äî this Men's Cotton Briefs 3-Pack is a must-have for men looking to level up their underwear drawer in a hurry.</t>
        </is>
      </c>
      <c r="G324" s="943" t="inlineStr">
        <is>
          <t>• Highly elastic: fits virtually any body type. • Three easy-to-match colors for different moods and styles. • Lay-flat, chafe-free waistband: no friction or rolling. • Made from a breathable cotton blend that keeps skin clean, dry, and comfortable.</t>
        </is>
      </c>
      <c r="H324" s="944" t="inlineStr">
        <is>
          <t>91% cotton, 9% Spandex. • Care instructions: Hand or machine wash and dry according to instructions on the care label using a mild laundry detergent</t>
        </is>
      </c>
      <c r="I324" s="945" t="inlineStr">
        <is>
          <t>23.1.18, 23SS, Bundle Collection, Category_Men, Category_Men/Underwear, Feature_Best Seller, HR-CX, LBD23, Tariff Final Sale</t>
        </is>
      </c>
      <c r="J324" s="946" t="inlineStr">
        <is>
          <t>mens-cotton-brief-3-pack</t>
        </is>
      </c>
    </row>
    <row r="325" ht="42" customHeight="1" s="229">
      <c r="A325" s="912" t="inlineStr">
        <is>
          <t>Relaxed Fit Sweat Cardigan</t>
        </is>
      </c>
      <c r="B325" s="913" t="inlineStr">
        <is>
          <t>Active</t>
        </is>
      </c>
      <c r="C325" s="914" t="n">
        <v>229</v>
      </c>
      <c r="D325" s="914" t="n">
        <v>160.3</v>
      </c>
      <c r="E325" s="955" t="inlineStr">
        <is>
          <t>Yes</t>
        </is>
      </c>
      <c r="F325" s="915" t="inlineStr">
        <is>
          <t>The Relaxed Fit Sweat Cardigan is a chic &amp; versatile athleisure style ideal for blending fashion with function on cool mornings and chilly evenings ‚Äî ideal for layering with workout clothes or any casual fit!</t>
        </is>
      </c>
      <c r="G325" s="916" t="inlineStr">
        <is>
          <t>• Sporty cardigan with chic curved hemline and long dolman sleeves. • Tailored from 37.5¬Æ Technology smart temperature fabric to help maintain ideal body temperature in any weather. Size M is 19.6" in length. • A versatile athleisure style for the dance studio, gym, and everywhere else.</t>
        </is>
      </c>
      <c r="H325" s="917" t="inlineStr">
        <is>
          <t>body: 60% cotton, 34% polyester, 6% Spandex; piping: 98% polyester, 2% Spandex • Care instructions: Hand wash in cool water. Line dry in the shade. Do not iron</t>
        </is>
      </c>
      <c r="I325" s="918" t="inlineStr">
        <is>
          <t>23.1.18, 23SS, 25Feb Sale, Category_Active, Category_Active/Outerwear, Category_Active/Tops, Category_Lounge, Category_Lounge/Outerwear, Category_Lounge/Tops, HR-CX, LBD23, no-returns, Outerwear, Tariff Final Sale</t>
        </is>
      </c>
      <c r="J325" s="919" t="inlineStr">
        <is>
          <t>relaxed-fit-sweat-cardigan</t>
        </is>
      </c>
    </row>
    <row r="326" ht="56" customHeight="1" s="229">
      <c r="A326" s="888" t="inlineStr">
        <is>
          <t>Pure Comfort Ribbed Low Waist Brief</t>
        </is>
      </c>
      <c r="B326" s="889" t="inlineStr">
        <is>
          <t>Underwear</t>
        </is>
      </c>
      <c r="C326" s="890" t="n">
        <v>19</v>
      </c>
      <c r="D326" s="890" t="n">
        <v>13.3</v>
      </c>
      <c r="E326" s="985" t="inlineStr">
        <is>
          <t>Yes</t>
        </is>
      </c>
      <c r="F326" s="891" t="inlineStr">
        <is>
          <t>Back by popular demand in exciting new pastel colors, this Pure Comfort Ribbed Low Waist Brief is constructed from a luxuriously soft cotton blend with just the right amount of Spandex for added stretch where you need it most ‚Äî a brief that's perfected the formula for what comfortable underwear should be!</t>
        </is>
      </c>
      <c r="G326" s="892" t="inlineStr">
        <is>
          <t>• Low-waist cut sits just below the hips for moderate coverage. 100% cotton lining. • Features t imeless ribbed crossover design that perfectly matches our Pure Comfort Ribbed Triangle Bra &amp; Ribbed Plunge Bra. • Carbon neutral fabrication: better for you and the planet.</t>
        </is>
      </c>
      <c r="H326" s="893" t="inlineStr">
        <is>
          <t>86% c otton, 14% Spandex; 100% cotton lining • Care instructions: For best results, hand wash in cold water with an underwear-safe detergent. Lay flat to dry</t>
        </is>
      </c>
      <c r="I326" s="894" t="inlineStr">
        <is>
          <t>23 XS-XL Briefs, 23.1.25, 23SS, 25DEC 30OFF, 25DEC SALE, Category_Underwear, Category_Underwear/Bottoms, Category_Underwear/Bottoms/Panties, Category_Underwear/Bottoms/Panties/Low Waist, Collection_Pure Comfort, Fabric_Underwear/Cotton, HR-CX, LBD23, no-returns, Spring Palette, Tariff Final Sale</t>
        </is>
      </c>
      <c r="J326" s="895" t="inlineStr">
        <is>
          <t>pure-comfort-ribbed-low-waist-brief</t>
        </is>
      </c>
    </row>
    <row r="327" ht="42" customHeight="1" s="229">
      <c r="A327" s="880" t="inlineStr">
        <is>
          <t>Pure Comfort Ribbed Plunge Bra</t>
        </is>
      </c>
      <c r="B327" s="881" t="inlineStr">
        <is>
          <t>Underwear</t>
        </is>
      </c>
      <c r="C327" s="882" t="n">
        <v>49</v>
      </c>
      <c r="D327" s="882" t="n">
        <v>49</v>
      </c>
      <c r="E327" s="881" t="inlineStr"/>
      <c r="F327" s="883" t="inlineStr">
        <is>
          <t>Back by popular demand in exciting pastel colors, this Pure Comfort Ribbed Plunge Bra is made from a luxuriously soft cotton blend with extra-thin wireless cups that balance support and breathability.</t>
        </is>
      </c>
      <c r="G327" s="884" t="inlineStr">
        <is>
          <t>• Timeless ribbed crossover design supports a wide range of cup sizes, up to D cup. • Adjustable straps can be converted to racerback style. Fixed light padding make care and maintenance easier than ever. • Carbon neutral construction: better for you and the planet.</t>
        </is>
      </c>
      <c r="H327" s="885" t="inlineStr">
        <is>
          <t>Shell: 86% c otton, 14% Spandex; Lining: 44% Cotton, 44% TENCEL‚Ñ¢ Modal, 12% Spandex • Care instructions: For best results, hand wash in cold water with an underwear-safe detergent. Lay flat to dry</t>
        </is>
      </c>
      <c r="I327" s="886" t="inlineStr">
        <is>
          <t>23.1.25, 23SS, 23SS C2 Size Bra, Category_Bras/Bralettes, Category_Bras/Cotton, Category_Bras/Everyday, Category_Bras/Medium Support, Category_Bras/Plunge, Category_Underwear, Category_Underwear/Tops, Category_Underwear/Tops/Wireless Bra, Category_Underwear/Tops/Wireless Bra/Push-Up, Category_Underwear/Tops/Wireless Bra/Triangle, Collection_Pure Comfort, Fabric_Underwear/Cotton, Feature_Best Seller, Flexport Stock, LBD23, SML Size Bra, Spring Palette, Tariff Final Sale</t>
        </is>
      </c>
      <c r="J327" s="887" t="inlineStr">
        <is>
          <t>pure-comfort-ribbed-plunge-bra</t>
        </is>
      </c>
    </row>
    <row r="328" ht="42" customHeight="1" s="229">
      <c r="A328" s="888" t="inlineStr">
        <is>
          <t>Boy Shorts</t>
        </is>
      </c>
      <c r="B328" s="889" t="inlineStr">
        <is>
          <t>Underwear</t>
        </is>
      </c>
      <c r="C328" s="890" t="n">
        <v>15</v>
      </c>
      <c r="D328" s="890" t="n">
        <v>15</v>
      </c>
      <c r="E328" s="889" t="inlineStr"/>
      <c r="F328" s="891" t="inlineStr">
        <is>
          <t>The perfect underlayer for all your favorite outfits, our Boy Shorts feature seamless no-show hemlines, easy-to-match neutral colors, and as always, a 100% cotton lining for your personal health and comfort.</t>
        </is>
      </c>
      <c r="G328" s="892" t="inlineStr">
        <is>
          <t>• Invisible hemlines and the ultimate high-waist fit for maximum coverage. • Available in four neutral colors ‚Äî easy to layer so that they that won't show through your outer layers! • Made from a durable Spandex blend with a 100% cotton gusset ‚Äî perfect for mobility and all day comfort .</t>
        </is>
      </c>
      <c r="H328" s="893" t="inlineStr">
        <is>
          <t>65% nylon, 35% Spandex • Lining: 100% cotton • Care instructions: Hand wash or machine wash on gentle cycle; lay flat to dry</t>
        </is>
      </c>
      <c r="I328" s="894" t="inlineStr">
        <is>
          <t>23.1.11, 23SS, 23SS Brief 1, Category_Underwear, Category_Underwear/Bottoms, Category_Underwear/Bottoms/Panties, Category_Underwear/Bottoms/Panties/High Waist, HR-CX, LBD23, Tariff Final Sale</t>
        </is>
      </c>
      <c r="J328" s="895" t="inlineStr">
        <is>
          <t>boy-shorts</t>
        </is>
      </c>
    </row>
    <row r="329" ht="42" customHeight="1" s="229">
      <c r="A329" s="904" t="inlineStr">
        <is>
          <t>Cocoon Wide Leg Pants</t>
        </is>
      </c>
      <c r="B329" s="905" t="inlineStr">
        <is>
          <t>Active</t>
        </is>
      </c>
      <c r="C329" s="906" t="n">
        <v>109</v>
      </c>
      <c r="D329" s="906" t="n">
        <v>109</v>
      </c>
      <c r="E329" s="905" t="inlineStr"/>
      <c r="F329" s="907" t="inlineStr">
        <is>
          <t>These Cocoon Wide Leg Pants are a chic &amp; versatile style perfect for staying comfortable on cool days. They're equally at home as part of your workout wardrobe or as part of any casual fit.</t>
        </is>
      </c>
      <c r="G329" s="908" t="inlineStr">
        <is>
          <t>• Pleated wide leg pants with elastic tie waistband. • Tailored from 37.5¬Æ Technology smart temperature fabric to help maintain ideal body temperature in any weather. Size M is 42.1" in length. • The perfect pairing for our Relaxed Fit Sweat Cardigan.</t>
        </is>
      </c>
      <c r="H329" s="909" t="inlineStr">
        <is>
          <t>body: 60% cotton, 34% polyester, 6% Spandex; piping: 98% polyester, 2% Spandex • Care instructions: Hand wash in cool water. Line dry in the shade. Do not iron</t>
        </is>
      </c>
      <c r="I329" s="910" t="inlineStr">
        <is>
          <t>23.1.18, 23SS, Category_Active, Category_Active/Joggers, Category_Lounge, Category_Lounge/Bottoms, Category_Lounge/Bottoms/Elastic, Category_Lounge/Pants, Flexport Stock, LBD23</t>
        </is>
      </c>
      <c r="J329" s="911" t="inlineStr">
        <is>
          <t>cocoon-wide-leg-pants</t>
        </is>
      </c>
    </row>
    <row r="330" ht="56" customHeight="1" s="229">
      <c r="A330" s="912" t="inlineStr">
        <is>
          <t>Active Wool Cardigan</t>
        </is>
      </c>
      <c r="B330" s="913" t="inlineStr">
        <is>
          <t>Active</t>
        </is>
      </c>
      <c r="C330" s="914" t="n">
        <v>189</v>
      </c>
      <c r="D330" s="914" t="n">
        <v>132.3</v>
      </c>
      <c r="E330" s="955" t="inlineStr">
        <is>
          <t>Yes</t>
        </is>
      </c>
      <c r="F330" s="915" t="inlineStr">
        <is>
          <t>This Active Wool Cardigan is cut for a slim fit with features designed to optimize airflow and keep you comfortable at any time of day this coming season ‚Äî the perfect lightweight layering piece for blending fashion and function when paired with both casual and activewear outfits!</t>
        </is>
      </c>
      <c r="G330" s="916" t="inlineStr">
        <is>
          <t>• Sporty zip-up cardigan with long sleeves and scalloped underarms for improved airflow. • Made from a breathable Merino wool blend ‚Äî perfect for both staying warm on chilly spring mornings and staying cool later in the day. Size M is 19.3" in length. • A versatile spring athleisure style for the dance studio, gym, and everywhere else.</t>
        </is>
      </c>
      <c r="H330" s="917" t="inlineStr">
        <is>
          <t>84% Merino wool, 14% nylon, 2% Spandex • Care instructions: Professional dry-cleaning recommended</t>
        </is>
      </c>
      <c r="I330" s="918" t="inlineStr">
        <is>
          <t>23.1.11, 23SS, 24.1.19, 24SS, 25DEC 30OFF, 25DEC SALE, Activity_Active/Outdoor, Activity_Active/Running, Category_Active, Category_Active/Outerwear, Category_Active/Tops, Category_Lounge, Category_Lounge/Cardigan&amp;Jacket, Category_Lounge/Outerwear, HR-CX, LBD23, no-returns, Outerwear, Retag Lounge, Tariff Final Sale</t>
        </is>
      </c>
      <c r="J330" s="919" t="inlineStr">
        <is>
          <t>active-wool-cardigan</t>
        </is>
      </c>
    </row>
    <row r="331" ht="42" customHeight="1" s="229">
      <c r="A331" s="958" t="inlineStr">
        <is>
          <t>Men's Long Modal Brief</t>
        </is>
      </c>
      <c r="B331" s="959" t="inlineStr">
        <is>
          <t>Men</t>
        </is>
      </c>
      <c r="C331" s="960" t="n">
        <v>19</v>
      </c>
      <c r="D331" s="960" t="n">
        <v>19</v>
      </c>
      <c r="E331" s="959" t="inlineStr"/>
      <c r="F331" s="961" t="inlineStr">
        <is>
          <t>Tailored from a silky-smooth blend of TENCEL‚Ñ¢ Modal and Spandex, our Men's Long Modal Brief provides excellent stretch and superb comfort ‚Äî now in a longer style designed for maximum support during dynamic movements.</t>
        </is>
      </c>
      <c r="G331" s="962" t="inlineStr">
        <is>
          <t>• Highly elastic to accommodate different body types. • Flat chafe-free seams: no friction or show-through lines in jeans, workout pants, or even thin slacks. • Made from a durable 60s blend of TENCEL‚Ñ¢ Modal &amp; Spandex. Keeps skin clean, healthy, and breathing easy. • Three neutral colors for different moods and styles.</t>
        </is>
      </c>
      <c r="H331" s="963" t="inlineStr">
        <is>
          <t>89% TENCEL‚Ñ¢ Modal, 11% Spandex • Care instructions: Hand or machine wash and dry according to instructions on the care label using a mild laundry detergent</t>
        </is>
      </c>
      <c r="I331" s="964" t="inlineStr">
        <is>
          <t>23.1.18, 23SS, Bundle Collection, Category_Men, Category_Men/Underwear, HR-CX, LBD23, Tariff Final Sale</t>
        </is>
      </c>
      <c r="J331" s="965" t="inlineStr">
        <is>
          <t>mens-long-modal-brief</t>
        </is>
      </c>
    </row>
    <row r="332" ht="28" customHeight="1" s="229">
      <c r="A332" s="920" t="inlineStr">
        <is>
          <t>Invisible Socks (3-pack)</t>
        </is>
      </c>
      <c r="B332" s="921" t="inlineStr">
        <is>
          <t>Accessories</t>
        </is>
      </c>
      <c r="C332" s="922" t="n">
        <v>15</v>
      </c>
      <c r="D332" s="922" t="n">
        <v>15</v>
      </c>
      <c r="E332" s="921" t="inlineStr"/>
      <c r="F332" s="923" t="inlineStr">
        <is>
          <t>NEIWAI's take on the quintessential no-show socks ‚Äî a must have for keeping your feet cool &amp; comfortable in low-ankle shoes!</t>
        </is>
      </c>
      <c r="G332" s="924" t="inlineStr">
        <is>
          <t>• Each pack includes three pairs of invisible no-show socks in easy-to-match colors. • Made from a breathable blend of cotton, nylon, &amp; Spandex with an anti-slip rubber lining on the inner heel. • Also available in a lace version!</t>
        </is>
      </c>
      <c r="H332" s="925" t="inlineStr">
        <is>
          <t>53% cotton, 44% nylon, 3% Spandex • Care Instructions: For best results, hand wash in cold water</t>
        </is>
      </c>
      <c r="I332" s="926" t="inlineStr">
        <is>
          <t>23.1.11, 23SS, Bundle Collection, Category_Lounge, Category_Lounge/Accessories, hide-bis</t>
        </is>
      </c>
      <c r="J332" s="927" t="inlineStr">
        <is>
          <t>invisible-socks-3-pack</t>
        </is>
      </c>
    </row>
    <row r="333" ht="28" customHeight="1" s="229">
      <c r="A333" s="947" t="inlineStr">
        <is>
          <t>Lace Invisible Socks (3-pack)</t>
        </is>
      </c>
      <c r="B333" s="948" t="inlineStr">
        <is>
          <t>Accessories</t>
        </is>
      </c>
      <c r="C333" s="949" t="n">
        <v>15</v>
      </c>
      <c r="D333" s="949" t="n">
        <v>15</v>
      </c>
      <c r="E333" s="948" t="inlineStr"/>
      <c r="F333" s="950" t="inlineStr">
        <is>
          <t>NEIWAI's take on the quintessential no-show socks with a delicate lace accent ‚Äî a must have for keeping your feet cool &amp; comfortable in low-ankle shoes!</t>
        </is>
      </c>
      <c r="G333" s="951" t="inlineStr">
        <is>
          <t>• Each pack includes three pairs of invisible no-show socks in easy-to-match colors. • Made from a breathable blend of cotton, nylon, &amp; Spandex with an anti-slip rubber lining on the inner heel. • Also available in a solid (non-lace) version!</t>
        </is>
      </c>
      <c r="H333" s="952" t="inlineStr">
        <is>
          <t>53% cotton, 44% nylon, 3% Spandex • Care Instructions: For best results, hand wash in cold water</t>
        </is>
      </c>
      <c r="I333" s="953" t="inlineStr">
        <is>
          <t>23.1.11, 23SS, Bundle Collection, Category_Lounge, Category_Lounge/Accessories</t>
        </is>
      </c>
      <c r="J333" s="954" t="inlineStr">
        <is>
          <t>lace-invisible-socks-3-pack</t>
        </is>
      </c>
    </row>
    <row r="334" ht="56" customHeight="1" s="229">
      <c r="A334" s="880" t="inlineStr">
        <is>
          <t>Self Silk Satin Mid Waist Brief</t>
        </is>
      </c>
      <c r="B334" s="881" t="inlineStr">
        <is>
          <t>Underwear</t>
        </is>
      </c>
      <c r="C334" s="882" t="n">
        <v>35</v>
      </c>
      <c r="D334" s="882" t="n">
        <v>35</v>
      </c>
      <c r="E334" s="881" t="inlineStr"/>
      <c r="F334" s="883" t="inlineStr">
        <is>
          <t>The latest in our Self Silk Collection, this Satin Mid Waist Brief features a luxurious satin texture and exquisite lay-flat hemlines in a versatile style fit for almost any outfit ‚Äî t he perfect choice for elevating your comfort level any day of the week!</t>
        </is>
      </c>
      <c r="G334" s="884" t="inlineStr">
        <is>
          <t>• Classic mid-waist cut sits comfortably on the hips. Available in two timeless colors. • Tailored from a blend of real mulberry silk with a touch of Spandex added for stretch and durability. • 100% cotton lining for health and comfort.</t>
        </is>
      </c>
      <c r="H334" s="885" t="inlineStr">
        <is>
          <t>main: 90% mulberry silk, 10% Spandex; elastic: 54% nylon, 46% Spandex; lining: 100% cotton • Care instructions: Hand wash recommended. For best results, use special silk detergent and lay flat to dry</t>
        </is>
      </c>
      <c r="I334" s="886" t="inlineStr">
        <is>
          <t>23.1.11, 23SS, 24.10.11, 24AW, Category_Underwear, Category_Underwear/Bottoms, Category_Underwear/Bottoms/Panties, Category_Underwear/Bottoms/Panties/Mid Waist, Collection_Valentine, Fabric_Underwear/Silk, HR-CX, LBD23, Tariff Final Sale, XS - XL Brief</t>
        </is>
      </c>
      <c r="J334" s="887" t="inlineStr">
        <is>
          <t>self-silk-satin-mid-waist-brief</t>
        </is>
      </c>
    </row>
    <row r="335" ht="56" customHeight="1" s="229">
      <c r="A335" s="888" t="inlineStr">
        <is>
          <t>Self Silk Satin Triangle Bra</t>
        </is>
      </c>
      <c r="B335" s="889" t="inlineStr">
        <is>
          <t>Underwear</t>
        </is>
      </c>
      <c r="C335" s="890" t="n">
        <v>89</v>
      </c>
      <c r="D335" s="890" t="n">
        <v>89</v>
      </c>
      <c r="E335" s="889" t="inlineStr"/>
      <c r="F335" s="891" t="inlineStr">
        <is>
          <t>The latest in our Self Silk Collection, this Satin Triangle Bra features a luxurious satin texture, a versatile style fit for almost any outfit, and removable cups ‚Äî a new addition to the bras in this collection. The perfect choice for elevating your comfort level any day of the week!</t>
        </is>
      </c>
      <c r="G335" s="892" t="inlineStr">
        <is>
          <t>• Classic triangle cut with removable cups and adjustable straps. Available in two timeless colors. • Completely wireless. Tailored for a comfortable fit that never digs in. • Tailored from a blend of real mulberry silk with a touch of Spandex added for stretch and durability.</t>
        </is>
      </c>
      <c r="H335" s="893" t="inlineStr">
        <is>
          <t>shell: 90% mulberry silk, 10% Spandex; padding: 54% nylon, 46% Spandex. • Care instructions: Hand wash recommended. For best results, use special silk detergent and lay flat to dry</t>
        </is>
      </c>
      <c r="I335" s="894" t="inlineStr">
        <is>
          <t>23.1.11, 23SS, 23SS A3 Size Bra, 24.10.11, 24AW, Category_Bras/Bralettes, Category_Bras/Light Support, Category_Bras/Plunge, Category_Underwear, Category_Underwear/Tops, Category_Underwear/Tops/Wireless Bra, Category_Underwear/Tops/Wireless Bra/Triangle, Collection_Valentine, Fabric_Underwear/Silk, LBD23, SML Size Bra, Tariff Final Sale, US Inventory</t>
        </is>
      </c>
      <c r="J335" s="895" t="inlineStr">
        <is>
          <t>self-silk-satin-triangle-bra</t>
        </is>
      </c>
    </row>
    <row r="336" ht="42" customHeight="1" s="229">
      <c r="A336" s="904" t="inlineStr">
        <is>
          <t>Mousse Medium Support Sports Bra</t>
        </is>
      </c>
      <c r="B336" s="905" t="inlineStr">
        <is>
          <t>Active</t>
        </is>
      </c>
      <c r="C336" s="906" t="n">
        <v>69</v>
      </c>
      <c r="D336" s="906" t="n">
        <v>69</v>
      </c>
      <c r="E336" s="905" t="inlineStr"/>
      <c r="F336" s="907" t="inlineStr">
        <is>
          <t>The Mousse Medium Support Sports Bra is perfect for your everyday workouts, featuring fixed cups for stable support and easy care. Fit tip: if you're in between sizes, we recommend sizing up.</t>
        </is>
      </c>
      <c r="G336" s="908" t="inlineStr">
        <is>
          <t>• Made from a durable, moisture-wicking blend of nylon &amp; Spandex in two easy-to-match colors. • Iconic front keyhole cutout for improved ventilation. • M-shaped back straps offer medium support for a wide range of moderate-intensity exercises such as cycling, dance, everyday workouts, and others.</t>
        </is>
      </c>
      <c r="H336" s="909" t="inlineStr">
        <is>
          <t>Body: 70% nylon, 30% Spandex; Lining: 88% nylon, 12% Spandex; Cups: 100% polyester • Care instructions: Gently hand wash with like colors in cold water</t>
        </is>
      </c>
      <c r="I336" s="910" t="inlineStr">
        <is>
          <t>22.10.28, Activity_Active/Gym, Category_Active, Category_Active/Core, Category_Active/Sports Bra, Category_Active/Sports Bra/V-M-X Core Collection, Feature_Best Seller, Flexport Stock, LBD23, mousse, Sports Bra with Plus Sizes, Tariff Final Sale, US Inventory</t>
        </is>
      </c>
      <c r="J336" s="911" t="inlineStr">
        <is>
          <t>mousse-medium-support-m-back-sports-bra</t>
        </is>
      </c>
    </row>
    <row r="337" ht="42" customHeight="1" s="229">
      <c r="A337" s="912" t="inlineStr">
        <is>
          <t>NEIWAI ACTIVE X NYCB Mousse Medium Support Leggings</t>
        </is>
      </c>
      <c r="B337" s="913" t="inlineStr">
        <is>
          <t>Active</t>
        </is>
      </c>
      <c r="C337" s="914" t="n">
        <v>89</v>
      </c>
      <c r="D337" s="914" t="n">
        <v>89</v>
      </c>
      <c r="E337" s="913" t="inlineStr"/>
      <c r="F337" s="915" t="inlineStr">
        <is>
          <t>The perfect everyday leggings for any workout, the Mousse Medium Support Leggings are stylish, functional, and provide gentle compression. Fit tip: if you're in between sizes, we recommend sizing up.</t>
        </is>
      </c>
      <c r="G337" s="916" t="inlineStr">
        <is>
          <t>• Tailored for a slim fit from a high-stretch, moisture-wicking blend of nylon and Spandex. • High-waisted and ankle-length, with a high-visibility stripe for safety in low-light conditions and side pockets. • Perfect for mid-intensity activities and a wide range of everyday workouts, from cycling, dance, your gym routine, plus everyday casual wear!</t>
        </is>
      </c>
      <c r="H337" s="917" t="inlineStr">
        <is>
          <t>70 % nylon, 30% Spandex • Care instructions: For best results, hand wash with like colors in cold water</t>
        </is>
      </c>
      <c r="I337" s="918" t="inlineStr">
        <is>
          <t>22.10.28, 23.7.28, 24.8.8, Category_Active, Category_Active/Core, Category_Active/Leggings, Category_Active/Sports Bra/V-M-X Core Collection, Feature_Best Seller, LBD23, mousse, NYCB, Tariff Final Sale</t>
        </is>
      </c>
      <c r="J337" s="919" t="inlineStr">
        <is>
          <t>mousse-medium-support-high-waist-leggings</t>
        </is>
      </c>
    </row>
    <row r="338" ht="42" customHeight="1" s="229">
      <c r="A338" s="896" t="inlineStr">
        <is>
          <t>Satin Wrap Shirt</t>
        </is>
      </c>
      <c r="B338" s="897" t="inlineStr">
        <is>
          <t>Loungewear</t>
        </is>
      </c>
      <c r="C338" s="898" t="n">
        <v>155</v>
      </c>
      <c r="D338" s="898" t="n">
        <v>93</v>
      </c>
      <c r="E338" s="957" t="inlineStr">
        <is>
          <t>Yes</t>
        </is>
      </c>
      <c r="F338" s="899" t="inlineStr">
        <is>
          <t>Designed with parties and late nights with friends and family in mind, this chic Satin Wrap Shirt is an easy statement top for dressing up or down at any soiree.</t>
        </is>
      </c>
      <c r="G338" s="900" t="inlineStr">
        <is>
          <t>• Features long sleeves, wrap-around belt tie, and chic collar. • Tailored for a slim fit, easy to style or layer in any season. Size M is 18.1" in length. • A versatile style equally at home in the office, at parties, or as part of any elevated outfit.</t>
        </is>
      </c>
      <c r="H338" s="901" t="inlineStr">
        <is>
          <t>100% polyester • Care instructions: Handwashing recommended. Line dry. Do not iron</t>
        </is>
      </c>
      <c r="I338" s="902" t="inlineStr">
        <is>
          <t>22.10.28, 24.10 Sale, 25DEC 40OFF, 25DEC SALE, Category_Lounge, Category_Lounge/Tops, Collection_Valentine, HR-CX, LBD23, no-returns, Tariff Final Sale</t>
        </is>
      </c>
      <c r="J338" s="903" t="inlineStr">
        <is>
          <t>satin-wrap-shirt</t>
        </is>
      </c>
    </row>
    <row r="339" ht="56" customHeight="1" s="229">
      <c r="A339" s="904" t="inlineStr">
        <is>
          <t>Mousse Light Support Long Sports Bra</t>
        </is>
      </c>
      <c r="B339" s="905" t="inlineStr">
        <is>
          <t>Active</t>
        </is>
      </c>
      <c r="C339" s="906" t="n">
        <v>79</v>
      </c>
      <c r="D339" s="906" t="n">
        <v>79</v>
      </c>
      <c r="E339" s="905" t="inlineStr"/>
      <c r="F339" s="907" t="inlineStr">
        <is>
          <t>The Mousse Light Support Long Sports Bra is the perfect sports bra for comfort and support in low-intensity activities and features a longer torso perfect for layering in cooler weather. Fit tip: if you're in between sizes, we recommend sizing up.</t>
        </is>
      </c>
      <c r="G339" s="908" t="inlineStr">
        <is>
          <t>• Made from a d urable, moisture-wicking blend of nylon &amp; Spandex in two easy-to-match colors. • Longer torso for greater coverage and easy layerability. • V-shaped back straps offer light support for low-intensity exercises such as yoga, pilates, and stretching.</t>
        </is>
      </c>
      <c r="H339" s="909" t="inlineStr">
        <is>
          <t>Body: 81% nylon, 19% Spandex; Lining: 88% nylon, 12% Spandex; Mesh: 71% nylon, 29% Spandex • Care instructions: Gently hand wash with like colors in cold water</t>
        </is>
      </c>
      <c r="I339" s="910" t="inlineStr">
        <is>
          <t>22.10.28, Activity_Active/Tennis, B1 Sports Bra, Category_Active, Category_Active/Core, Category_Active/Sports Bra, Category_Active/Sports Bra/V-M-X Core Collection, Feature_Best Seller, LBD23, Mousse, Tariff Final Sale, US Inventory</t>
        </is>
      </c>
      <c r="J339" s="911" t="inlineStr">
        <is>
          <t>mousse-light-support-long-sports-bra</t>
        </is>
      </c>
    </row>
    <row r="340" ht="42" customHeight="1" s="229">
      <c r="A340" s="912" t="inlineStr">
        <is>
          <t>Mousse Light Support Leggings</t>
        </is>
      </c>
      <c r="B340" s="913" t="inlineStr">
        <is>
          <t>Active</t>
        </is>
      </c>
      <c r="C340" s="914" t="n">
        <v>89</v>
      </c>
      <c r="D340" s="914" t="n">
        <v>89</v>
      </c>
      <c r="E340" s="913" t="inlineStr"/>
      <c r="F340" s="915" t="inlineStr">
        <is>
          <t>The Mousse Light Support Leggings provide the perfect stretch you need for everyday workouts and are an easy style choice for casual wear in any season. Fit tip: if you're in between sizes, we recommend sizing up.</t>
        </is>
      </c>
      <c r="G340" s="916" t="inlineStr">
        <is>
          <t>• Tailored from a soft, moisture-wicking, &amp; breathable nylon-Spandex blend in two easy-to-match colors. • High-waisted and full-length, accentuating curves with a slimming effect. • Ideal for light exercise: yoga, Pilates, barre, and everyday casual wear. • Inseam is 30" for Size M.</t>
        </is>
      </c>
      <c r="H340" s="917" t="inlineStr">
        <is>
          <t>80 % nylon, 20% Spandex • Care instructions: Hand wash with like colors in cold water</t>
        </is>
      </c>
      <c r="I340" s="918" t="inlineStr">
        <is>
          <t>22.10.28, Category_Active, Category_Active/Core, Category_Active/Leggings, Category_Active/Sports Bra/V-M-X Core Collection, Feature_Best Seller, LBD23, Mousse, Tariff Final Sale</t>
        </is>
      </c>
      <c r="J340" s="919" t="inlineStr">
        <is>
          <t>mousse-light-support-high-waist-leggings</t>
        </is>
      </c>
    </row>
    <row r="341" ht="42" customHeight="1" s="229">
      <c r="A341" s="928" t="inlineStr">
        <is>
          <t>Shimmer Mock Neck Sweater</t>
        </is>
      </c>
      <c r="B341" s="929" t="inlineStr">
        <is>
          <t>Loungewear</t>
        </is>
      </c>
      <c r="C341" s="930" t="n">
        <v>225</v>
      </c>
      <c r="D341" s="930" t="n">
        <v>135</v>
      </c>
      <c r="E341" s="936" t="inlineStr">
        <is>
          <t>Yes</t>
        </is>
      </c>
      <c r="F341" s="931" t="inlineStr">
        <is>
          <t>A style staple of any winter wardrobe, this Shimmer Mock Neck Sweater is knit from a breathable wool blend woven with a light-catching sparkle that's sure to stand out this season.</t>
        </is>
      </c>
      <c r="G341" s="932" t="inlineStr">
        <is>
          <t>• Long sleeves and below-the-waist length, perfect worn loose or tucked in. • Tailored for a slim fit with a mock neck and chic knit pattern. Size M is 22.4" in length. • Double knit from warm wool blend with non-shimmer interior for maximum comfort and softness.</t>
        </is>
      </c>
      <c r="H341" s="933" t="inlineStr">
        <is>
          <t>43% nylon, 40% viscose, 12% wool, 4% polyester, 1% Spandex • Care instructions: Handwashing or professional dry cleaning recommended. Dry flat. Do not iron</t>
        </is>
      </c>
      <c r="I341" s="934" t="inlineStr">
        <is>
          <t>22.10.28, 24JuneSale, 25DEC 40OFF, 25DEC SALE, Category_Lounge, Category_Lounge/Knitwear, Category_Lounge/Tops, Fabric_Lounge/Cashmere &amp; Wool, final-sale, LBD23, Outerwear, Tariff Final Sale</t>
        </is>
      </c>
      <c r="J341" s="935" t="inlineStr">
        <is>
          <t>slim-fit-mock-neck-sweater</t>
        </is>
      </c>
    </row>
    <row r="342" ht="42" customHeight="1" s="229">
      <c r="A342" s="896" t="inlineStr">
        <is>
          <t>Alpaca Wrap Cardigan</t>
        </is>
      </c>
      <c r="B342" s="897" t="inlineStr">
        <is>
          <t>Loungewear</t>
        </is>
      </c>
      <c r="C342" s="898" t="n">
        <v>269</v>
      </c>
      <c r="D342" s="898" t="n">
        <v>161.4</v>
      </c>
      <c r="E342" s="957" t="inlineStr">
        <is>
          <t>Yes</t>
        </is>
      </c>
      <c r="F342" s="899" t="inlineStr">
        <is>
          <t>This elevated Alpaca Wrap Cardigan is a sure stand-out in any winter wardrobe this season, the perfect knit piece for layering into any outfit: equal parts warm, versatile, and eye-catching!</t>
        </is>
      </c>
      <c r="G342" s="900" t="inlineStr">
        <is>
          <t>• Shawl style cardigan with a chic waist tie. • Knit from a thick warm alpaca wool blend. Size M is 23.6" in length. • Available in two season-appropriate colors that will easily match the rest of your winter wardrobe.</t>
        </is>
      </c>
      <c r="H342" s="901" t="inlineStr">
        <is>
          <t>78% alpaca wool, 20% nylon, 2% Spandex • Care instructions: Professional dry-cleaning recommended</t>
        </is>
      </c>
      <c r="I342" s="902" t="inlineStr">
        <is>
          <t>22.10.28, 24JuneSale, 25DEC 40OFF, 25DEC SALE, Category_Lounge, Category_Lounge/Knitwear, Category_Lounge/Outerwear, Category_Lounge/Tops, Collection_Valentine, Fabric_Lounge/Cashmere &amp; Wool, Flexport Stock, HR-CX, LBD23, no-returns, Outerwear, Tariff Final Sale, US Inventory</t>
        </is>
      </c>
      <c r="J342" s="903" t="inlineStr">
        <is>
          <t>alpaca-wrap-cardigan</t>
        </is>
      </c>
    </row>
    <row r="343" ht="42" customHeight="1" s="229">
      <c r="A343" s="928" t="inlineStr">
        <is>
          <t>Classic Cozy Fleece Robe 2.0</t>
        </is>
      </c>
      <c r="B343" s="929" t="inlineStr">
        <is>
          <t>Loungewear</t>
        </is>
      </c>
      <c r="C343" s="930" t="n">
        <v>99</v>
      </c>
      <c r="D343" s="930" t="n">
        <v>69.3</v>
      </c>
      <c r="E343" s="936" t="inlineStr">
        <is>
          <t>Yes</t>
        </is>
      </c>
      <c r="F343" s="931" t="inlineStr">
        <is>
          <t>It's back: this delightfully plush Classic Cozy Fleece Robe 2.0 is now available in new colors ‚Äî precisely what you need to wrap yourself in warmth and luxury at the end of a long day.</t>
        </is>
      </c>
      <c r="G343" s="932" t="inlineStr">
        <is>
          <t>• Thick, velvety soft fleece material with a fluffy texture. • Classic collared robe in new colors, cut for a comfortably loose fit. Size M is 42.5" in length. • Features functional side pockets, removable belt, and inner ties for an extra secure wrap.</t>
        </is>
      </c>
      <c r="H343" s="933" t="inlineStr">
        <is>
          <t>100% polyester • Care instructions: For best results, hand wash with like colors in cold water</t>
        </is>
      </c>
      <c r="I343" s="934" t="inlineStr">
        <is>
          <t>22.10.14, 24.10 Sale, Category_Lounge, Category_Lounge/Pajamas &amp; Robes, Category_Lounge/Tops, Feature_Best Seller, HR-CX, LBD23, no-returns, Spring Palette, Tariff Final Sale, US Inventory</t>
        </is>
      </c>
      <c r="J343" s="935" t="inlineStr">
        <is>
          <t>classic-cozy-fleece-robe-2-0</t>
        </is>
      </c>
    </row>
    <row r="344" ht="42" customHeight="1" s="229">
      <c r="A344" s="896" t="inlineStr">
        <is>
          <t>Classic Cozy Fleece Pajama Top 2.0</t>
        </is>
      </c>
      <c r="B344" s="897" t="inlineStr">
        <is>
          <t>Loungewear</t>
        </is>
      </c>
      <c r="C344" s="898" t="n">
        <v>49</v>
      </c>
      <c r="D344" s="898" t="n">
        <v>34.3</v>
      </c>
      <c r="E344" s="957" t="inlineStr">
        <is>
          <t>Yes</t>
        </is>
      </c>
      <c r="F344" s="899" t="inlineStr">
        <is>
          <t>It's back: the essence of timeless comfort, this cute Classic Cozy Fleece Pajama Top 2.0 is now available in new colors! Exactly the classic PJ style you need to stay warm and cozy at home this or any season.</t>
        </is>
      </c>
      <c r="G344" s="900" t="inlineStr">
        <is>
          <t>• Thick, fluffy fleece material with a chic decorative pocket, now in new colors. • Slightly cropped, loose fit with a classic crewneck collar &amp; elastic cuffs. Size M is 21.3" in length. • Pair with the matching Classic Cozy Fleece Pajama Pants 2.0 for the full set!</t>
        </is>
      </c>
      <c r="H344" s="901" t="inlineStr">
        <is>
          <t>outer: 100% polyester; elastic: 97% cotton, 3% Spandex • Care instructions: For best results, hand wash with like colors in cold water</t>
        </is>
      </c>
      <c r="I344" s="902" t="inlineStr">
        <is>
          <t>22.10.14, 25JulySale, Category_Lounge, Category_Lounge/Pajamas &amp; Robes, Category_Lounge/Tops, Feature_Best Seller, Flexport Stock, LBD23, no-returns, Spring Palette, Tariff Final Sale, US Inventory</t>
        </is>
      </c>
      <c r="J344" s="903" t="inlineStr">
        <is>
          <t>classic-cozy-fleece-pajama-top-2-0</t>
        </is>
      </c>
    </row>
    <row r="345" ht="56" customHeight="1" s="229">
      <c r="A345" s="880" t="inlineStr">
        <is>
          <t>Women‚Äôs Year of the Rabbit Holiday Gift Set - Spaghetti Strap Bra</t>
        </is>
      </c>
      <c r="B345" s="881" t="inlineStr">
        <is>
          <t>Underwear</t>
        </is>
      </c>
      <c r="C345" s="882" t="n">
        <v>60</v>
      </c>
      <c r="D345" s="882" t="n">
        <v>60</v>
      </c>
      <c r="E345" s="881" t="inlineStr"/>
      <c r="F345" s="883" t="inlineStr">
        <is>
          <t>Get ready to celebrate the upcoming Year of the Rabbit! This festive and functional gift set comes in four options available for both men &amp; women. Exclusively designed by and carrying the best wishes of the NEIWAI team, these are the perfect gifts for you, your family, and friends in the New YearÔºÅ</t>
        </is>
      </c>
      <c r="G345" s="884" t="inlineStr">
        <is>
          <t>• The set includes a Barely Zero Spaghetti Strap Wireless Bra , a Barely Zero Low Waist Brief , and a pair of Holiday Socks ‚Äî all in vibrant ruby red. • A gift with true meaning: the socks feature Chinese characters " Âõ¢ÂúÜÂÖî " representing joyful reunions with your loved ones. • Our holiday gift sets are available in 4 options for both men &amp; women. Find a gift to match your partner!</t>
        </is>
      </c>
      <c r="H345" s="885" t="inlineStr">
        <is>
          <t>Bra: 68% CloudFit¬© nylon blend, 32% Spandex. Brief: 70% CloudFit¬© nylon blend, 30% Spandex; lining: 100% cotton. Socks: 90% cotton, 9% polyester, 1% Spandex. • Care Instructions: For best results, hand wash in cold water</t>
        </is>
      </c>
      <c r="I345" s="886" t="inlineStr">
        <is>
          <t>22.9.30, Bundle Collection, Category_Bras/Medium Support, Category_Lounge/Accessories, Category_Underwear, Collection_Barely Zero, Collection_Barely Zero/Bras, HR-CX</t>
        </is>
      </c>
      <c r="J345" s="887" t="inlineStr">
        <is>
          <t>women-s-year-of-the-rabbit-holiday-gift-set-spaghetti-strap-bra</t>
        </is>
      </c>
    </row>
    <row r="346" ht="56" customHeight="1" s="229">
      <c r="A346" s="888" t="inlineStr">
        <is>
          <t>Women‚Äôs Year of the Rabbit Holiday Gift Set -  Classic Bra</t>
        </is>
      </c>
      <c r="B346" s="889" t="inlineStr">
        <is>
          <t>Underwear</t>
        </is>
      </c>
      <c r="C346" s="890" t="n">
        <v>60</v>
      </c>
      <c r="D346" s="890" t="n">
        <v>60</v>
      </c>
      <c r="E346" s="889" t="inlineStr"/>
      <c r="F346" s="891" t="inlineStr">
        <is>
          <t>Get ready to celebrate the upcoming Year of the Rabbit! This festive and functional gift set comes in four options available for both men &amp; women. Exclusively designed by and carrying the best wishes of the NEIWAI team, these are the perfect gifts for you, your family, and friends in the New YearÔºÅ</t>
        </is>
      </c>
      <c r="G346" s="892" t="inlineStr">
        <is>
          <t>• The set includes a Barely Zero Classic Bra 2.0 , a Barely Zero Low Waist Brief , and a pair of Holiday Socks ‚Äî all in vibrant ruby red. • A gift with true meaning. The socks feature Chinese character "Èí±ÂÖî‰ººÈî¶" representing good luck with your future endeavors. • Our holiday gift sets are available in 4 options for both men &amp; women. Find a gift to match your partner!</t>
        </is>
      </c>
      <c r="H346" s="893" t="inlineStr">
        <is>
          <t>Bra: 68% CloudFit¬© nylon blend, 32% Spandex. Brief: 70% CloudFit¬© nylon blend, 30% Spandex; lining: 100% cotton. Socks: 90% cotton, 9% polyester, 1% Spandex. • Care Instructions: For best results, hand wash in cold water</t>
        </is>
      </c>
      <c r="I346" s="894" t="inlineStr">
        <is>
          <t>22.9.30, Bundle Collection, Category_Bras/Medium Support, Category_Lounge/Accessories, Category_Underwear, Collection_Barely Zero, Collection_Barely Zero/Bras, HR-CX</t>
        </is>
      </c>
      <c r="J346" s="895" t="inlineStr">
        <is>
          <t>women-s-year-of-the-rabbit-holiday-gift-set-classic-bra</t>
        </is>
      </c>
    </row>
    <row r="347" ht="70" customHeight="1" s="229">
      <c r="A347" s="938" t="inlineStr">
        <is>
          <t>Men‚Äôs Year of the Rabbit Holiday Gift Set</t>
        </is>
      </c>
      <c r="B347" s="939" t="inlineStr">
        <is>
          <t>Men</t>
        </is>
      </c>
      <c r="C347" s="940" t="n">
        <v>39</v>
      </c>
      <c r="D347" s="940" t="n">
        <v>19.5</v>
      </c>
      <c r="E347" s="941" t="inlineStr">
        <is>
          <t>Yes</t>
        </is>
      </c>
      <c r="F347" s="942" t="inlineStr">
        <is>
          <t>Get ready to celebrate the Year of the Rabbit! This festive and functional gift set comes in four options available for both men &amp; women. Exclusively designed by and carrying the best wishes of the NEIWAI team, these are the perfect gifts for you, your family, and friends in the New Year! This item is FINAL SALE and cannot be returned or exchanged.</t>
        </is>
      </c>
      <c r="G347" s="943" t="inlineStr">
        <is>
          <t>• The set includes a Men's Cotton Boxer Brief , a Men's Modal Brief 2.0 and a pair of Holiday Socks ‚Äî all in vibrant ruby red. • A gift with true meaning. The socks feature Chinese character "Èí±ÂÖî‰ººÈî¶" representing good luck with your future endeavors. • Our holiday gift sets are available in 4 options for both men &amp; women. Find a gift to match your partner!</t>
        </is>
      </c>
      <c r="H347" s="944" t="inlineStr">
        <is>
          <t>Cotton Brief: 91% cotton, 9% Spandex. Modal Brief: 90% TENCEL‚Ñ¢ Modal, 10% Spandex. Socks: 89% cotton, 9% polyester, 2% Spandex. • Care Instructions: For best results, hand wash in cold water</t>
        </is>
      </c>
      <c r="I347" s="945" t="inlineStr">
        <is>
          <t>2023 BTS Sale, 22.9.30, 23 May Sale, 23Oct Markdown, 25DEC 50OFF, 25DEC SALE, Bundle Collection, Category_Men, Category_Men/Accessories, Category_Men/Underwear, Collection_Valentine, hide-bis, HR-CX, LBD23, no-returns, Sale</t>
        </is>
      </c>
      <c r="J347" s="946" t="inlineStr">
        <is>
          <t>men-s-year-of-the-rabbit-holiday-gift-set</t>
        </is>
      </c>
    </row>
    <row r="348" ht="56" customHeight="1" s="229">
      <c r="A348" s="928" t="inlineStr">
        <is>
          <t>Boundless Soft Tapered Pants</t>
        </is>
      </c>
      <c r="B348" s="929" t="inlineStr">
        <is>
          <t>Loungewear</t>
        </is>
      </c>
      <c r="C348" s="930" t="n">
        <v>69</v>
      </c>
      <c r="D348" s="930" t="n">
        <v>48.3</v>
      </c>
      <c r="E348" s="936" t="inlineStr">
        <is>
          <t>Yes</t>
        </is>
      </c>
      <c r="F348" s="931" t="inlineStr">
        <is>
          <t>A timeless loungewear set you don't want to miss! Our Boundless Soft Tapered Pants exude ease and simplicity. The relaxed yet elegant shape is perfect for lounging and for running errand s ‚Äî exactly what you need to unwind after a long day.</t>
        </is>
      </c>
      <c r="G348" s="932" t="inlineStr">
        <is>
          <t>• Tapered fit, front pockets, and a smooth drape for a flattering fit. • Constructed in a cotton blend, this relaxed loungewear feels soft against the skin; slipping them on is delightfully soothing! Size M is 39" in length. • Simple yet versatile for multiple occasions: reading on the couch, walking the dog in the morning, or as a comfy airport outfit. • Complete this cozy set with the matching Boundless Soft Tapered Sweatshirt!</t>
        </is>
      </c>
      <c r="H348" s="933" t="inlineStr">
        <is>
          <t>96% cotton, 4% Spandex. • Care instructions: For best results, hand wash with a light detergent in cold water</t>
        </is>
      </c>
      <c r="I348" s="934" t="inlineStr">
        <is>
          <t>22.9.23, 25JulySale, Category_Lounge, Category_Lounge/Bottoms, Category_Lounge/Bottoms/Elastic, Category_Lounge/Pajamas &amp; Robes, Category_Lounge/Pants, Collection_Boundless, Fabric_Lounge/Cotton, Feature_Best Seller, Flexport Stock, LBD23, no-returns, Tariff Final Sale, US Inventory</t>
        </is>
      </c>
      <c r="J348" s="935" t="inlineStr">
        <is>
          <t>boundless-soft-tapered-pants</t>
        </is>
      </c>
    </row>
    <row r="349" ht="56" customHeight="1" s="229">
      <c r="A349" s="896" t="inlineStr">
        <is>
          <t>Boundless Side Slit Sweatshirt</t>
        </is>
      </c>
      <c r="B349" s="897" t="inlineStr">
        <is>
          <t>Loungewear</t>
        </is>
      </c>
      <c r="C349" s="898" t="n">
        <v>79</v>
      </c>
      <c r="D349" s="898" t="n">
        <v>55.3</v>
      </c>
      <c r="E349" s="957" t="inlineStr">
        <is>
          <t>Yes</t>
        </is>
      </c>
      <c r="F349" s="899" t="inlineStr">
        <is>
          <t>A timeless loungewear set you don't want to miss! Our Boundless Side Slit Sweatshirt exudes ease and simplicity. Its effortless style is perfect for lounging at home and for running errands ‚Äî exactly what you need to unwind after a long day.</t>
        </is>
      </c>
      <c r="G349" s="900" t="inlineStr">
        <is>
          <t>• Constructed in a cotton blend, this relaxed loungewear feels soft against the skin; slipping it on is delightfully soothing! • Simple yet versatile for multiple occasions: reading on the couch, walking the dog in the morning, or as a comfy airport outfit. Size M is 26.7" in length. • Complete this cozy set with the matching Boundless Soft Tapered Pants!</t>
        </is>
      </c>
      <c r="H349" s="901" t="inlineStr">
        <is>
          <t>96% cotton, 4% Spandex. • Care instructions: For best results, hand wash with a light detergent in cold water</t>
        </is>
      </c>
      <c r="I349" s="902" t="inlineStr">
        <is>
          <t>22.9.23, 25JulySale, Category_Lounge, Category_Lounge/Pajamas &amp; Robes, Category_Lounge/Sweatshirts, Category_Lounge/Tops, Collection_Boundless, Fabric_Lounge/Cotton, Feature_Best Seller, HR-CX, LBD23, no-returns, Tariff Final Sale, US Inventory</t>
        </is>
      </c>
      <c r="J349" s="903" t="inlineStr">
        <is>
          <t>boundless-side-slit-sweatshirt</t>
        </is>
      </c>
    </row>
    <row r="350" ht="42" customHeight="1" s="229">
      <c r="A350" s="928" t="inlineStr">
        <is>
          <t>Classic Cozy Pajama Pants 3.0</t>
        </is>
      </c>
      <c r="B350" s="929" t="inlineStr">
        <is>
          <t>Loungewear</t>
        </is>
      </c>
      <c r="C350" s="930" t="n">
        <v>75</v>
      </c>
      <c r="D350" s="930" t="n">
        <v>52.5</v>
      </c>
      <c r="E350" s="936" t="inlineStr">
        <is>
          <t>Yes</t>
        </is>
      </c>
      <c r="F350" s="931" t="inlineStr">
        <is>
          <t>Made from a luxuriously soft TENCEL‚Ñ¢ blend, our Classic Cozy Pajama Pants 3.0 are breathable and extra cozy, a classic straight leg bottom that will keep you comfortable while running errands, traveling, or relaxing at home.</t>
        </is>
      </c>
      <c r="G350" s="932" t="inlineStr">
        <is>
          <t>• Generously sized for relaxed luxury, upgraded wide waistband flatters any figure , with side pockets for small objects. • Made from sustainable, biodegradable carbon-zero TENCEL‚Ñ¢ fibers: all the functional benefits of Modal while contributing to lower carbon emissions. Size M is 37" in length. • Features cashmere protein fibers for an enhanced texture: extremely fine and soft to the touch.</t>
        </is>
      </c>
      <c r="H350" s="933" t="inlineStr">
        <is>
          <t>57% TENCEL‚Ñ¢ Modal, 20% acrylic, 18% viscose, 5% Spandex. • Care instructions: For best results, hand wash with like colors in cold water. Lay flat or hang to dry</t>
        </is>
      </c>
      <c r="I350" s="934" t="inlineStr">
        <is>
          <t>22.9.23, 25JulySale, CarbonZero, Category_Lounge, Category_Lounge/Bottoms, Category_Lounge/Bottoms/Elastic, Category_Lounge/Pajamas &amp; Robes, Category_Lounge/Pants, Fabric_Lounge/Tencel Modal, Feature_Best Seller, LBD23, no-returns, Spring Palette, Tariff Final Sale</t>
        </is>
      </c>
      <c r="J350" s="935" t="inlineStr">
        <is>
          <t>classic-cozy-pajama-pants-3-0</t>
        </is>
      </c>
    </row>
    <row r="351" ht="70" customHeight="1" s="229">
      <c r="A351" s="896" t="inlineStr">
        <is>
          <t>Classic Cozy Belted Pajama Shirt</t>
        </is>
      </c>
      <c r="B351" s="897" t="inlineStr">
        <is>
          <t>Loungewear</t>
        </is>
      </c>
      <c r="C351" s="898" t="n">
        <v>89</v>
      </c>
      <c r="D351" s="898" t="n">
        <v>62.3</v>
      </c>
      <c r="E351" s="957" t="inlineStr">
        <is>
          <t>Yes</t>
        </is>
      </c>
      <c r="F351" s="899" t="inlineStr">
        <is>
          <t>Made from a luxuriously soft TENCEL‚Ñ¢ blend, the Classic Cozy Belted Pajama Shirt is softer-than-soft, drapes beautifully, and is exactly the breathable and extra cozy loungewear you'll want to live in this fall and winter. An added belt makes this classic style more versatile than ever; wear it as an everyday pajama top or alone as a short robe.</t>
        </is>
      </c>
      <c r="G351" s="900" t="inlineStr">
        <is>
          <t>• Generously sized for relaxed luxury; classic button-down style with removable belt. • Made from sustainable, biodegradable carbon-zero TENCEL‚Ñ¢ fibers: all the functional benefits of Modal and Lyocell while contributing to lower carbon emissions. Size M is 25.6" in length. • Features cashmere protein fibers for an enhanced texture: extremely fine and soft to the touch.</t>
        </is>
      </c>
      <c r="H351" s="901" t="inlineStr">
        <is>
          <t>57% TENCEL‚Ñ¢ Modal, 20% acrylic, 18% viscose, 5% Spandex. • Care instructions: For best results, hand wash with like colors in cold water. Lay flat or hang to dry</t>
        </is>
      </c>
      <c r="I351" s="902" t="inlineStr">
        <is>
          <t>22.9.23, 25JulySale, CarbonZero, Category_Lounge, Category_Lounge/Pajamas &amp; Robes, Category_Lounge/Tops, Fabric_Lounge/Tencel Modal, Feature_Best Seller, LBD23, no-returns, Spring Palette, Tariff Final Sale</t>
        </is>
      </c>
      <c r="J351" s="903" t="inlineStr">
        <is>
          <t>classic-cozy-belted-pajama-shirt</t>
        </is>
      </c>
    </row>
    <row r="352" ht="42" customHeight="1" s="229">
      <c r="A352" s="928" t="inlineStr">
        <is>
          <t>Classic Cozy Fleece Pajama Pants 2.0</t>
        </is>
      </c>
      <c r="B352" s="929" t="inlineStr">
        <is>
          <t>Loungewear</t>
        </is>
      </c>
      <c r="C352" s="930" t="n">
        <v>39</v>
      </c>
      <c r="D352" s="930" t="n">
        <v>27.3</v>
      </c>
      <c r="E352" s="936" t="inlineStr">
        <is>
          <t>Yes</t>
        </is>
      </c>
      <c r="F352" s="931" t="inlineStr">
        <is>
          <t>They're back: the essence of timeless comfort, these cute Classic Cozy Fleece Pajama Pants 2.0 are now available in new colors! Exactly the classic PJ style you need to stay warm and cozy at home this or any season.</t>
        </is>
      </c>
      <c r="G352" s="932" t="inlineStr">
        <is>
          <t>• Thick, fluffy fleece material, now in two new colors. • Comfortably loose fit with a rear pocket and elastic waistband &amp; cuffs. Size M is 39.2" in length. • Pair with the matching Classic Cozy Fleece Pajama Top 2.0 to complete the set!</t>
        </is>
      </c>
      <c r="H352" s="933" t="inlineStr">
        <is>
          <t>outer: 100% polyester; elastic: 97% cotton, 3% Spandex • Care instructions: For best results, hand wash with like colors in cold water</t>
        </is>
      </c>
      <c r="I352" s="934" t="inlineStr">
        <is>
          <t>22.10.14, 25JulySale, Category_Lounge, Category_Lounge/Bottoms, Category_Lounge/Bottoms/Elastic, Category_Lounge/Pajamas &amp; Robes, Category_Lounge/Pants, Feature_Best Seller, Flexport Stock, LBD23, no-returns, Spring Palette, Tariff Final Sale, US Inventory</t>
        </is>
      </c>
      <c r="J352" s="935" t="inlineStr">
        <is>
          <t>classic-cozy-fleece-pajama-pants-2-0</t>
        </is>
      </c>
    </row>
    <row r="353" ht="56" customHeight="1" s="229">
      <c r="A353" s="880" t="inlineStr">
        <is>
          <t>Super Soft Seamless Fixed Cup Bra</t>
        </is>
      </c>
      <c r="B353" s="881" t="inlineStr">
        <is>
          <t>Underwear</t>
        </is>
      </c>
      <c r="C353" s="882" t="n">
        <v>45</v>
      </c>
      <c r="D353" s="882" t="n">
        <v>45</v>
      </c>
      <c r="E353" s="881" t="inlineStr"/>
      <c r="F353" s="883" t="inlineStr">
        <is>
          <t>Sometimes, less is more. It's time to slip into our Super Soft Seamless Fixed Cup Bra, a minimalist bra that feels as natural as a second layer of skin. NEIWAI S-KNIT ‚Ñ¢ seamless technology allows for skin-hugging comfort and a clasp-free design, allowing it to fit and support your curves.</t>
        </is>
      </c>
      <c r="G353" s="884" t="inlineStr">
        <is>
          <t>• Seamless bra featuring sweetheart neckline, easily layering under low-cut tops. • Adjustable straps, one-piece back, with a wider ribbed knit band that gently hugs you to give support. • Features fixed triangle soft cups: soft, breathable, anti-wrinkle, &amp; skin-friendly.</t>
        </is>
      </c>
      <c r="H353" s="885" t="inlineStr">
        <is>
          <t>84% nylon, 16% Spandex. • Care instructions: For best results, hand wash with a light detergent in cold water</t>
        </is>
      </c>
      <c r="I353" s="886" t="inlineStr">
        <is>
          <t>22.9.16, 23SS A3 Size Bra, Category_Bras/Medium Support, Category_Underwear, Category_Underwear/Tops, Category_Underwear/Tops/Wireless Bra, Category_Underwear/Tops/Wireless Bra/Seamless, Feature_Best Seller, Flexport Stock, LBD23, SML Size Bra, Spring Palette, US Inventory, US Main</t>
        </is>
      </c>
      <c r="J353" s="887" t="inlineStr">
        <is>
          <t>super-soft-seamless-fixed-cup-bra</t>
        </is>
      </c>
    </row>
    <row r="354" ht="70" customHeight="1" s="229">
      <c r="A354" s="904" t="inlineStr">
        <is>
          <t>High Support Sports Bra</t>
        </is>
      </c>
      <c r="B354" s="905" t="inlineStr">
        <is>
          <t>Active</t>
        </is>
      </c>
      <c r="C354" s="906" t="n">
        <v>79</v>
      </c>
      <c r="D354" s="906" t="n">
        <v>79</v>
      </c>
      <c r="E354" s="905" t="inlineStr"/>
      <c r="F354" s="907" t="inlineStr">
        <is>
          <t>The High Support Sports Bra is exactly what you need to stay supported and focused during high-impact exercises. Featuring adjustable straps, molded cups, and reflective details for low-light safety, this sports bra has your back no matter the activity or time. Fit tip: if you're in between sizes, we recommend sizing up.</t>
        </is>
      </c>
      <c r="G354" s="908" t="inlineStr">
        <is>
          <t>• Made from a d urable nylon-Spandex blend with Motion Support‚Ñ¢ lining to prevent unwanted movement &amp; friction. • Moisture-wicking Turbo Dry¬Æ technology . • Back clasp closure and adjustable X-shaped racerback straps offer maximum support for high-impact exercises such as running, aerobics, and sports</t>
        </is>
      </c>
      <c r="H354" s="909" t="inlineStr">
        <is>
          <t>Body: 54% nylon, 46% Spandex; Mesh: 80% nylon, 20% Spandex; Elastic: 89% nylon, 11% Spandex; Cups: 100% polyester • Care instructions: Gently hand wash with like colors in cold water</t>
        </is>
      </c>
      <c r="I354" s="910" t="inlineStr">
        <is>
          <t>22.10.28, 23.3.29, 23.9.8, 23AW, 23SS, Activity_Active/Gym, Activity_Active/Running, Activity_Active/Tennis, Category_Active, Category_Active/Core, Category_Active/Sports Bra, Category_Active/Sports Bra/V-M-X Core Collection, Feature_Best Seller, Flexport Stock, Sports Bra with Plus Sizes, Tariff Final Sale, unavailable, US Inventory</t>
        </is>
      </c>
      <c r="J354" s="911" t="inlineStr">
        <is>
          <t>core-high-support-x-back-sports-bra</t>
        </is>
      </c>
    </row>
    <row r="355" ht="56" customHeight="1" s="229">
      <c r="A355" s="896" t="inlineStr">
        <is>
          <t>Boundless Fleece Jacket 2.0</t>
        </is>
      </c>
      <c r="B355" s="897" t="inlineStr">
        <is>
          <t>Loungewear</t>
        </is>
      </c>
      <c r="C355" s="898" t="n">
        <v>129</v>
      </c>
      <c r="D355" s="898" t="n">
        <v>90.3</v>
      </c>
      <c r="E355" s="957" t="inlineStr">
        <is>
          <t>Yes</t>
        </is>
      </c>
      <c r="F355" s="899" t="inlineStr">
        <is>
          <t>Reimagine your everyday jacket with our ultra-comfy Boundless Fleece Jacket! This upgraded version of our best-selling fleece jacket is the perfect outer layer for a day of exploring or relaxing at home. Made from a cozy blend of cashmere and cotton to keep you warm while staying effortlessly stylish.</t>
        </is>
      </c>
      <c r="G355" s="900" t="inlineStr">
        <is>
          <t>• Casual, on-trend oversized silhouette with two-way zipper closure and side pockets. • Drawstring at the hem for a sporty look while keeping you warm on cold days. Size M is 27.2" in length. • Made from a warm and durable cotton blend with a touch of cashmere.</t>
        </is>
      </c>
      <c r="H355" s="901" t="inlineStr">
        <is>
          <t>32% viscose, 21% acrylic, 18% cotton, 17% polyester, 10% Spandex, 2% cashmere. • Care instructions: For best results, hand wash with a light detergent in cold water</t>
        </is>
      </c>
      <c r="I355" s="902" t="inlineStr">
        <is>
          <t>22.9.23, 25JulySale, Category_Lounge, Category_Lounge/Outerwear, Category_Lounge/Sweatshirts, Category_Lounge/Tops, Collection_Boundless, Fabric_Lounge/Cotton, Feature_Best Seller, LBD23, no-returns, Tariff Final Sale</t>
        </is>
      </c>
      <c r="J355" s="903" t="inlineStr">
        <is>
          <t>boundless-fleece-jacket-2-0</t>
        </is>
      </c>
    </row>
    <row r="356" ht="70" customHeight="1" s="229">
      <c r="A356" s="928" t="inlineStr">
        <is>
          <t>Flower Print Classic Embroidered Pajama Pants</t>
        </is>
      </c>
      <c r="B356" s="929" t="inlineStr">
        <is>
          <t>Loungewear</t>
        </is>
      </c>
      <c r="C356" s="930" t="n">
        <v>55</v>
      </c>
      <c r="D356" s="930" t="n">
        <v>38.5</v>
      </c>
      <c r="E356" s="936" t="inlineStr">
        <is>
          <t>Yes</t>
        </is>
      </c>
      <c r="F356" s="931" t="inlineStr">
        <is>
          <t>Our Flower Print Classic Embroidered Pajama Pants are the perfect mix of stylish &amp; comfy. Made from a blend of TENCEL‚Ñ¢ Modal and crisp cotton, these pajama pants combine enhanced breathability and a luxurious drape, with refined patterns inspired by the "roadside flowers at full speed" to remind you to move to your own rhythm and free your mind.</t>
        </is>
      </c>
      <c r="G356" s="932" t="inlineStr">
        <is>
          <t>• Straight legs, mid-rise with elastic waistband and drawstring, tailored for a loose &amp; comfortable fit. • Made from a blend of silky TENCEL‚Ñ¢ Modal &amp; crisp cotton for smooth texture and better breathability. Size M is 38.2" in length. • Complete the set with the matching Flower Print Classic Embroidered Pajama Top.</t>
        </is>
      </c>
      <c r="H356" s="933" t="inlineStr">
        <is>
          <t>54% TENCEL‚Ñ¢ Modal, 46% cotton. • Care instructions: For best results, hand wash with like colors in cold water</t>
        </is>
      </c>
      <c r="I356" s="934" t="inlineStr">
        <is>
          <t>22.9.16, 24JuneSale, Category_Lounge, Category_Lounge/Bottoms/Elastic, Category_Lounge/Pajamas &amp; Robes, Category_Lounge/Pajamas &amp; Robes/Bottoms, Collection_Valentine, Fabric_Lounge/Cotton, HR-CX, LBD23, no-returns</t>
        </is>
      </c>
      <c r="J356" s="935" t="inlineStr">
        <is>
          <t>flower-print-classic-embroidered-pajama-pants</t>
        </is>
      </c>
    </row>
    <row r="357" ht="70" customHeight="1" s="229">
      <c r="A357" s="896" t="inlineStr">
        <is>
          <t>Flower Print Classic Embroidered Pajama Top</t>
        </is>
      </c>
      <c r="B357" s="897" t="inlineStr">
        <is>
          <t>Loungewear</t>
        </is>
      </c>
      <c r="C357" s="898" t="n">
        <v>75</v>
      </c>
      <c r="D357" s="898" t="n">
        <v>52.5</v>
      </c>
      <c r="E357" s="957" t="inlineStr">
        <is>
          <t>Yes</t>
        </is>
      </c>
      <c r="F357" s="899" t="inlineStr">
        <is>
          <t>Our Flower Print Classic Embroidered Pajama Top is the perfect mix of stylish &amp; comfy. Made from a blend of TENCEL‚Ñ¢ Modal and crisp cotton, this pajama top combines enhanced breathability and a luxurious drape, with refined patterns inspired by the "roadside flowers at full speed" to remind you to move to your own rhythm and free your mind.</t>
        </is>
      </c>
      <c r="G357" s="900" t="inlineStr">
        <is>
          <t>• Button-up style, curved hem, with dropped shoulder and embroidered piping. Exquisite details in a loose &amp; comfortable fit. • Made from a blend of silky TENCEL‚Ñ¢ Modal &amp; crisp cotton for smooth texture and better breathability. Size M is 25.6" in length. • Complete the set with the matching Flower Print Classic Embroidered Pajama Pants.</t>
        </is>
      </c>
      <c r="H357" s="901" t="inlineStr">
        <is>
          <t>54% TENCEL‚Ñ¢ Modal, 46% cotton. • Care instructions: For best results, hand wash with like colors in cold water</t>
        </is>
      </c>
      <c r="I357" s="902" t="inlineStr">
        <is>
          <t>22.9.16, 24JuneSale, Category_Lounge, Category_Lounge/Pajamas &amp; Robes, Category_Lounge/Tops, Collection_Valentine, Fabric_Lounge/Cotton, Flexport Stock, HR-CX, LBD23, no-returns, US Inventory, US Main</t>
        </is>
      </c>
      <c r="J357" s="903" t="inlineStr">
        <is>
          <t>flower-print-classic-embroidered-pajama-top</t>
        </is>
      </c>
    </row>
    <row r="358" ht="70" customHeight="1" s="229">
      <c r="A358" s="912" t="inlineStr">
        <is>
          <t>Dance U-Neck Long Sleeve Top</t>
        </is>
      </c>
      <c r="B358" s="913" t="inlineStr">
        <is>
          <t>Active</t>
        </is>
      </c>
      <c r="C358" s="914" t="n">
        <v>89</v>
      </c>
      <c r="D358" s="914" t="n">
        <v>62.3</v>
      </c>
      <c r="E358" s="955" t="inlineStr">
        <is>
          <t>Yes</t>
        </is>
      </c>
      <c r="F358" s="915" t="inlineStr">
        <is>
          <t>From studio to dinner, from home to outdoors, and everywhere else your day might take you: glide through life with the grace of a dancer in our Dance U-Neck Long Sleeve Top: a confidence-boosting contemporary x retro style designed for an elevated look in any environment. Fit tip: if you're in between sizes, we recommend sizing up.</t>
        </is>
      </c>
      <c r="G358" s="916" t="inlineStr">
        <is>
          <t>• U-neck design with stand-out contrasting-color piping. • Mousse fabric – perfect for those who enjoy outdoor city life. Size M is 13.6" in length. • Designed for style and support in ballet &amp; yoga – and anywhere you find yourself on the move.</t>
        </is>
      </c>
      <c r="H358" s="917" t="inlineStr">
        <is>
          <t>8 1% nylon, 19% Spandex. • Care instructions: For best results, hand wash with like colors in cold water</t>
        </is>
      </c>
      <c r="I358" s="918" t="inlineStr">
        <is>
          <t>22.9.16, 24JuneSale, Activity_Active/Ballet&amp;Dance, Activity_Active/Gym, Activity_Active/Outdoor, Activity_Active/Yoga, Category_Active, Category_Active/Ballet, Category_Active/Tops, HR-CX, LBD23, mousse, no-returns, Tariff Final Sale</t>
        </is>
      </c>
      <c r="J358" s="919" t="inlineStr">
        <is>
          <t>dance-u-neck-long-sleeve-top</t>
        </is>
      </c>
    </row>
    <row r="359" ht="56" customHeight="1" s="229">
      <c r="A359" s="888" t="inlineStr">
        <is>
          <t>Women‚Äôs Year of the Rabbit Holiday Gift Set - Fixed Cup Wavy Bra</t>
        </is>
      </c>
      <c r="B359" s="889" t="inlineStr">
        <is>
          <t>Underwear</t>
        </is>
      </c>
      <c r="C359" s="890" t="n">
        <v>70</v>
      </c>
      <c r="D359" s="890" t="n">
        <v>70</v>
      </c>
      <c r="E359" s="889" t="inlineStr"/>
      <c r="F359" s="891" t="inlineStr">
        <is>
          <t>Get ready to celebrate the upcoming Year of the Rabbit! This festive and functional gift set comes in four options available for both men &amp; women. Exclusively designed by and carrying the best wishes of the NEIWAI team, these are the perfect gifts for you, your family, and friends in the New YearÔºÅ</t>
        </is>
      </c>
      <c r="G359" s="892" t="inlineStr">
        <is>
          <t>• The set includes a Barely Zero Fixed Cup Wavy Bra , a Barely Zero Low Waist Brief , and a pair of Holiday Socks ‚Äî all in vibrant ruby red. • A gift with true meaning: the socks feature Chinese characters "Âõ¢ÂúÜÂÖî" representing joyful reunions with your loved ones. • Our holiday gift sets are available in 4 options for both men &amp; women. Find a gift to match your partner!</t>
        </is>
      </c>
      <c r="H359" s="893" t="inlineStr">
        <is>
          <t>Bra: 68% CloudFit¬© nylon blend, 32% Spandex. Brief: 70% CloudFit¬© nylon blend, 30% Spandex; lining: 100% cotton. Socks: 90% cotton, 9% polyester, 1% Spandex. • Care Instructions: For best results, hand wash in cold water</t>
        </is>
      </c>
      <c r="I359" s="894" t="inlineStr">
        <is>
          <t>22.9.30, Bundle Collection, Category_Bras/Medium Support, Category_Lounge/Accessories, Category_Underwear, Collection_Barely Zero, Collection_Barely Zero/Bras, HR-CX</t>
        </is>
      </c>
      <c r="J359" s="895" t="inlineStr">
        <is>
          <t>women-s-year-of-the-rabbit-holiday-gift-set-fixed-cup-wavy-bra</t>
        </is>
      </c>
    </row>
    <row r="360" ht="42" customHeight="1" s="229">
      <c r="A360" s="928" t="inlineStr">
        <is>
          <t>Silky Wool Mock Neck Sleeveless Sweater</t>
        </is>
      </c>
      <c r="B360" s="929" t="inlineStr">
        <is>
          <t>Loungewear</t>
        </is>
      </c>
      <c r="C360" s="930" t="n">
        <v>169</v>
      </c>
      <c r="D360" s="930" t="n">
        <v>118.3</v>
      </c>
      <c r="E360" s="936" t="inlineStr">
        <is>
          <t>Yes</t>
        </is>
      </c>
      <c r="F360" s="931" t="inlineStr">
        <is>
          <t>This timeless classic will add elegance to your wardrobe, whether worn alone or paired with a blazer or cardigan. Made from the finest blend of wool &amp; cashmere that's extremely soft, cozy, and pleasing to the touch.</t>
        </is>
      </c>
      <c r="G360" s="932" t="inlineStr">
        <is>
          <t>• A versatile sleeveless piece - perfect for layering in cooler months or worn on its own while indoors to free your arms for a full range of motion! • Knitted with luxurious Italian yarn spun from a blend of wool, silk, and cashmere. Comes with an anti-moth cedar block. Size M is 22.8" in length. • Available in two refined colors that make you look sophisticated year-round.</t>
        </is>
      </c>
      <c r="H360" s="933" t="inlineStr">
        <is>
          <t>71% wool, 19% silk, 10% cashmere. • Care instructions: Professional dry-cleaning recommended</t>
        </is>
      </c>
      <c r="I360" s="934" t="inlineStr">
        <is>
          <t>22.9.9, 24.10 Sale, Category_Lounge, Category_Lounge/Knitwear, Category_Lounge/Tops, HR-CX, LBD23, no-returns, Tariff Final Sale</t>
        </is>
      </c>
      <c r="J360" s="935" t="inlineStr">
        <is>
          <t>silky-wool-mock-neck-sleeveless-sweater</t>
        </is>
      </c>
    </row>
    <row r="361" ht="56" customHeight="1" s="229">
      <c r="A361" s="896" t="inlineStr">
        <is>
          <t>Silky Wool Zip Up Cardigan</t>
        </is>
      </c>
      <c r="B361" s="897" t="inlineStr">
        <is>
          <t>Loungewear</t>
        </is>
      </c>
      <c r="C361" s="898" t="n">
        <v>299</v>
      </c>
      <c r="D361" s="898" t="n">
        <v>209.3</v>
      </c>
      <c r="E361" s="957" t="inlineStr">
        <is>
          <t>Yes</t>
        </is>
      </c>
      <c r="F361" s="899" t="inlineStr">
        <is>
          <t>Our Silky Wool Zip Up Cardigan is made from the finest blend of wool, silk, and cashmere, a truly versatile piece that can be both elevated and casual. You can wear it as an outer layer on warmer days, or wear it under a jacket when the weather cools down.</t>
        </is>
      </c>
      <c r="G361" s="900" t="inlineStr">
        <is>
          <t>• Open slit hem, polo collar, zip up - practical and comfortable. • Simple, casual with feminine allure - a versatile style that fits any setting. Size M is 21.3" in length. • Knitted with luxurious Italian yarn spun from a blend of wool, silk and cashmere. Comes with an anti-moth cedar block.</t>
        </is>
      </c>
      <c r="H361" s="901" t="inlineStr">
        <is>
          <t>71% wool, 19% silk, 10% cashmere. • Care instructions: Professional dry-cleaning recommended</t>
        </is>
      </c>
      <c r="I361" s="902" t="inlineStr">
        <is>
          <t>22.9.9, 24.10 Sale, Category_Lounge, Category_Lounge/Knitwear, Category_Lounge/Sweaters&amp;Outerwear, Category_Lounge/Tops, HR-CX, LBD23, no-returns, Outerwear, Tariff Final Sale</t>
        </is>
      </c>
      <c r="J361" s="903" t="inlineStr">
        <is>
          <t>silky-wool-zip-up-cardigan</t>
        </is>
      </c>
    </row>
    <row r="362" ht="42" customHeight="1" s="229">
      <c r="A362" s="928" t="inlineStr">
        <is>
          <t>Silky Wool Mock Neck Sweater</t>
        </is>
      </c>
      <c r="B362" s="929" t="inlineStr">
        <is>
          <t>Loungewear</t>
        </is>
      </c>
      <c r="C362" s="930" t="n">
        <v>289</v>
      </c>
      <c r="D362" s="930" t="n">
        <v>202.3</v>
      </c>
      <c r="E362" s="936" t="inlineStr">
        <is>
          <t>Yes</t>
        </is>
      </c>
      <c r="F362" s="931" t="inlineStr">
        <is>
          <t>Indulge your body with our Silky Wool Mock Neck Sweater. Classic design with a blend of the finest wool, silk and cashmere for a soft and silky feel. A simply chic sweater makes a perfect foundation for any autumn look!</t>
        </is>
      </c>
      <c r="G362" s="932" t="inlineStr">
        <is>
          <t>• Mock neck, straight hem, t ailored for a slimming yet comfortable fit. • Knitted with luxurious Italian yarn spun from a blend of wool, silk, and cashmere. Comes with an anti-moth cedar block. Size M is 23.6" in length. • A perfect layering piece that pairs well with anything &amp; works in virtually any outfit.</t>
        </is>
      </c>
      <c r="H362" s="933" t="inlineStr">
        <is>
          <t>71% wool, 19% silk, 10% cashmere. • Care instructions: Professional dry-cleaning recommended</t>
        </is>
      </c>
      <c r="I362" s="934" t="inlineStr">
        <is>
          <t>22.9.9, 24.10 Sale, Category_Lounge, Category_Lounge/Knitwear, Category_Lounge/Tops, HR-CX, LBD23, no-returns, Outerwear, Tariff Final Sale</t>
        </is>
      </c>
      <c r="J362" s="935" t="inlineStr">
        <is>
          <t>silky-wool-mock-neck-sweater</t>
        </is>
      </c>
    </row>
    <row r="363" ht="56" customHeight="1" s="229">
      <c r="A363" s="904" t="inlineStr">
        <is>
          <t>Mousse Cropped Sports Tank</t>
        </is>
      </c>
      <c r="B363" s="905" t="inlineStr">
        <is>
          <t>Active</t>
        </is>
      </c>
      <c r="C363" s="906" t="n">
        <v>49</v>
      </c>
      <c r="D363" s="906" t="n">
        <v>29.4</v>
      </c>
      <c r="E363" s="956" t="inlineStr">
        <is>
          <t>Yes</t>
        </is>
      </c>
      <c r="F363" s="907" t="inlineStr">
        <is>
          <t>Simple and chic, our Mousse Cropped Sports Tank is designed to allow you to move to your own rhythm. Made from a sleek Mousse fabric that's moisture-wicking and quick-drying, this top will work to keep you cool and comfortable in the gym or anywhere you go. Fit tip: if you're in between sizes, we recommend sizing up.</t>
        </is>
      </c>
      <c r="G363" s="908" t="inlineStr">
        <is>
          <t>• Sleeveless with a high neckline. • Features soft yet moisture-wicking Mousse fabric, designed to stretch with your every move. • Perfectly suited for yoga, cycling, studio practice, and everyday wear: anywhere that you'd benefit from full control and freedom of motion!</t>
        </is>
      </c>
      <c r="H363" s="909" t="inlineStr">
        <is>
          <t>80% nylon, 20% Spandex. • Care instructions: For best results, hand wash with a light detergent in cold water</t>
        </is>
      </c>
      <c r="I363" s="910" t="inlineStr">
        <is>
          <t>22.9.16, 25DEC 40OFF, 25DEC SALE, 25JulySale, Activity_Active/Gym, Activity_Active/Outdoor, Activity_Active/Tennis, Activity_Active/Yoga, Category_Active, Category_Active/Core, Category_Active/Tops, LBD23, mousse, no-returns, Tariff Final Sale</t>
        </is>
      </c>
      <c r="J363" s="911" t="inlineStr">
        <is>
          <t>mousse-cropped-sports-tank</t>
        </is>
      </c>
    </row>
    <row r="364" ht="70" customHeight="1" s="229">
      <c r="A364" s="912" t="inlineStr">
        <is>
          <t>Mousse Long Sleeve Sports Top</t>
        </is>
      </c>
      <c r="B364" s="913" t="inlineStr">
        <is>
          <t>Active</t>
        </is>
      </c>
      <c r="C364" s="914" t="n">
        <v>65</v>
      </c>
      <c r="D364" s="914" t="n">
        <v>39</v>
      </c>
      <c r="E364" s="955" t="inlineStr">
        <is>
          <t>Yes</t>
        </is>
      </c>
      <c r="F364" s="915" t="inlineStr">
        <is>
          <t>Meet our Mousse Long Sleeve Sports Top, a sleek active shirt designed to help you move to your own rhythm. A slim fit cut and middle-seam detail add a touch of informal elegance to this piece, making it ideal for mixing &amp; matching with your favorite leggings and bottoms for any gym-to-street look! Fit tip: if you're in between sizes, we recommend sizing up.</t>
        </is>
      </c>
      <c r="G364" s="916" t="inlineStr">
        <is>
          <t>• High neckline with long sleeves and a thumbhole design for optimal flexibility while staying stylish. • Features soft yet moisture-wicking Mousse fabric, designed to stretch with your every move. Size M is 20.1" in length. • Perfectly suited for yoga, cycling, studio practice, and everyday wear: anywhere that you'd benefit from full control and freedom of motion!</t>
        </is>
      </c>
      <c r="H364" s="917" t="inlineStr">
        <is>
          <t>80% nylon, 20% Spandex. • Care instructions: For best results, hand wash with a light detergent in cold water</t>
        </is>
      </c>
      <c r="I364" s="918" t="inlineStr">
        <is>
          <t>22.9.16, 25DEC 40OFF, 25DEC SALE, 25JulySale, Activity_Active/Gym, Activity_Active/Outdoor, Activity_Active/Yoga, Category_Active, Category_Active/Core, Category_Active/Tops, LBD23, mousse, no-returns, Tariff Final Sale</t>
        </is>
      </c>
      <c r="J364" s="919" t="inlineStr">
        <is>
          <t>mousse-long-sleeve-sports-top</t>
        </is>
      </c>
    </row>
    <row r="365" ht="56" customHeight="1" s="229">
      <c r="A365" s="896" t="inlineStr">
        <is>
          <t>Short Sleeve Drape-Front Sweater</t>
        </is>
      </c>
      <c r="B365" s="897" t="inlineStr">
        <is>
          <t>Loungewear</t>
        </is>
      </c>
      <c r="C365" s="898" t="n">
        <v>65</v>
      </c>
      <c r="D365" s="898" t="n">
        <v>45.5</v>
      </c>
      <c r="E365" s="957" t="inlineStr">
        <is>
          <t>Yes</t>
        </is>
      </c>
      <c r="F365" s="899" t="inlineStr">
        <is>
          <t>A simple design that's soft to the touch, this Short Sleeve Drape-Front Sweater is made from a blend of lyocell and wool with just a hint of stretch, providing you the ideal warm-yet-breathable comfort we all crave in the early fall as the weather begins to cool.</t>
        </is>
      </c>
      <c r="G365" s="900" t="inlineStr">
        <is>
          <t>• Loose fit, laid-back style for maximum comfort. • Drape design with front knot detail– versatile and flexible for all body types. Size M is 21.5" in length. • Luxuriously soft on the skin, made from a blend of Australian sheep's wool and skin-friendly natural TENCEL‚Ñ¢ fiber.</t>
        </is>
      </c>
      <c r="H365" s="901" t="inlineStr">
        <is>
          <t>69% TENCEL‚Ñ¢ Lyocell, 31% wool. • Care instructions: For best results, hand wash with like colors in cold water</t>
        </is>
      </c>
      <c r="I365" s="902" t="inlineStr">
        <is>
          <t>22.9.2, 24JuneSale, Category_Lounge, Category_Lounge/Knitwear, Category_Lounge/Tops, Fabric_Lounge/Cashmere &amp; Wool, HR-CX, LBD23, no-returns, Outerwear, Spring Palette, Tariff Final Sale</t>
        </is>
      </c>
      <c r="J365" s="903" t="inlineStr">
        <is>
          <t>relaxed-drape-tee</t>
        </is>
      </c>
    </row>
    <row r="366" ht="56" customHeight="1" s="229">
      <c r="A366" s="928" t="inlineStr">
        <is>
          <t>Drape-Front Asymmetrical Sweater</t>
        </is>
      </c>
      <c r="B366" s="929" t="inlineStr">
        <is>
          <t>Loungewear</t>
        </is>
      </c>
      <c r="C366" s="930" t="n">
        <v>75</v>
      </c>
      <c r="D366" s="930" t="n">
        <v>52.5</v>
      </c>
      <c r="E366" s="936" t="inlineStr">
        <is>
          <t>Yes</t>
        </is>
      </c>
      <c r="F366" s="931" t="inlineStr">
        <is>
          <t>Comfort meets style with this effortless Drape-Front Asymmetrical Sweater: an elegant drape with a subtle asymmetrical flair makes this sweater an interesting fall statement piece that will keep you cozy all day with its warm-yet-breathable blend of lyocell and wool.</t>
        </is>
      </c>
      <c r="G366" s="932" t="inlineStr">
        <is>
          <t>• Loose fit, laid-back style, front draped design with a subtle touch of asymmetry. • Crew neck for an easy pullover, long sleeves, lazy-dropped shoulder seams. Size M is 21.5" in length. • Made from a blend of Australian sheep wool and skin-friendly natural TENCEL‚Ñ¢ fiber – soft and breathable.</t>
        </is>
      </c>
      <c r="H366" s="933" t="inlineStr">
        <is>
          <t>69% TENCEL‚Ñ¢ Lyocell, 31% wool. • Care instructions: For best results, hand wash with like colors in cold water</t>
        </is>
      </c>
      <c r="I366" s="934" t="inlineStr">
        <is>
          <t>22.9.2, 24JuneSale, Category_Lounge, Category_Lounge/Knitwear, Category_Lounge/Tops, Fabric_Lounge/Cashmere &amp; Wool, HR-CX, LBD23, no-returns, Outerwear, Tariff Final Sale</t>
        </is>
      </c>
      <c r="J366" s="935" t="inlineStr">
        <is>
          <t>relaxed-drape-long-sleeve-top</t>
        </is>
      </c>
    </row>
    <row r="367" ht="56" customHeight="1" s="229">
      <c r="A367" s="904" t="inlineStr">
        <is>
          <t>NEIWAI ACTIVE X Andrea Jiapei Li Cutout Unitard</t>
        </is>
      </c>
      <c r="B367" s="905" t="inlineStr">
        <is>
          <t>Active</t>
        </is>
      </c>
      <c r="C367" s="906" t="n">
        <v>149</v>
      </c>
      <c r="D367" s="906" t="n">
        <v>104.3</v>
      </c>
      <c r="E367" s="956" t="inlineStr">
        <is>
          <t>Yes</t>
        </is>
      </c>
      <c r="F367" s="907" t="inlineStr">
        <is>
          <t>Join us in celebrating the feminine figure &amp; freedom of movement with our latest collaboration with Andrea Jiapei Li, a New-York based womenswear designer. The Cutout Unitard molds to your every move and is a versatile layering piece. Fit tip: if you're in between sizes, we recommend sizing up.</t>
        </is>
      </c>
      <c r="G367" s="908" t="inlineStr">
        <is>
          <t>• Iconic flower-shape side cutout, halter top, four-way stretch in a flexible blend for optimal flexibility while staying stylish. • Features moisture-wicking &amp; UV-proof (UPF 50+) fabric – perfect for those who enjoy both city life and outdoor exploring. • A versatile style for the dance studio, work, special occasions or anywhere else.</t>
        </is>
      </c>
      <c r="H367" s="909" t="inlineStr">
        <is>
          <t>77% nylon, 23% Spandex. • Care instructions: For best results, h and wash with like colors in cold water</t>
        </is>
      </c>
      <c r="I367" s="910" t="inlineStr">
        <is>
          <t>22.9.9, 24.10 Sale, Activity_Active/Ballet, Activity_Active/Ballet&amp;Dance, Activity_Active/Dance, Category_Active, Category_Active/Bodysuits, category_Active/Dress&amp;Jumpsuit, Category_Active/Leggings, HR-CX, LBD23, leotard, no-returns, Tariff Final Sale</t>
        </is>
      </c>
      <c r="J367" s="911" t="inlineStr">
        <is>
          <t>ajl-cutout-unitard</t>
        </is>
      </c>
    </row>
    <row r="368" ht="70" customHeight="1" s="229">
      <c r="A368" s="912" t="inlineStr">
        <is>
          <t>Dance Sport Leggings</t>
        </is>
      </c>
      <c r="B368" s="913" t="inlineStr">
        <is>
          <t>Active</t>
        </is>
      </c>
      <c r="C368" s="914" t="n">
        <v>109</v>
      </c>
      <c r="D368" s="914" t="n">
        <v>76.3</v>
      </c>
      <c r="E368" s="955" t="inlineStr">
        <is>
          <t>Yes</t>
        </is>
      </c>
      <c r="F368" s="915" t="inlineStr">
        <is>
          <t>Introducing our Dance Sport Leggings – the ideal street-to-studio sports leggings for reaching your full potential and expression in every pose! Made from a durable blend of premium nylon and Lycra¬Æ Spandex that moves with you as you bend, twist, and stretch. Fit tip: if you're in between sizes, we recommend sizing up.</t>
        </is>
      </c>
      <c r="G368" s="916" t="inlineStr">
        <is>
          <t>• Streamlined leggings with contrasting-color seams that highlight your curves with a playful flair. • Moisture-wicking, quick-dry materials – perfect for yoga, barre, pilates, and everyday use. • Available in stylish black and floral patterns. Complete the set with our matching Dance Sport Bra! • Inseam is 25.7" for Size M.</t>
        </is>
      </c>
      <c r="H368" s="917" t="inlineStr">
        <is>
          <t>80% nylon, 20% Spandex. • Care instructions: For best results, hand wash with like colors in cold water</t>
        </is>
      </c>
      <c r="I368" s="918" t="inlineStr">
        <is>
          <t>22.9.2, 24JuneSale, Activity_Active/Ballet, Activity_Active/Ballet&amp;Dance, Activity_Active/Gym, Activity_Active/Yoga, Category_Active, Category_Active/Core, Category_Active/Leggings, HR-CX, LBD23, Mousse, no-returns, pink collection, Tariff Final Sale</t>
        </is>
      </c>
      <c r="J368" s="919" t="inlineStr">
        <is>
          <t>dance-sport-leggings-patterned</t>
        </is>
      </c>
    </row>
    <row r="369" ht="56" customHeight="1" s="229">
      <c r="A369" s="904" t="inlineStr">
        <is>
          <t>Dance Halter Sports Bra</t>
        </is>
      </c>
      <c r="B369" s="905" t="inlineStr">
        <is>
          <t>Active</t>
        </is>
      </c>
      <c r="C369" s="906" t="n">
        <v>85</v>
      </c>
      <c r="D369" s="906" t="n">
        <v>59.5</v>
      </c>
      <c r="E369" s="956" t="inlineStr">
        <is>
          <t>Yes</t>
        </is>
      </c>
      <c r="F369" s="907" t="inlineStr">
        <is>
          <t>Stand out with our Dance Halter Sports Bra, a contemporary-meets-retro style with so many exquisite details that don't hinder fluid motion, a must-have piece to boost your confidence no matter where your day takes you! Fit tip: if you're in between sizes, we recommend sizing up.</t>
        </is>
      </c>
      <c r="G369" s="908" t="inlineStr">
        <is>
          <t>• V-neck, pleated front design with contrasting-color piping that add an elegant touch. • Designed for style and support in ballet, yoga, or light sports. Best suited for A-C cup sizes. Size M is 12.2" in length. • Complete the beautiful set with matching Dance Flare Leggings!</t>
        </is>
      </c>
      <c r="H369" s="909" t="inlineStr">
        <is>
          <t>8 1% nylon, 19% Spandex. • Care instructions: For best results, hand wash with like colors in cold water</t>
        </is>
      </c>
      <c r="I369" s="910" t="inlineStr">
        <is>
          <t>22.9.2, 24JuneSale, Activity_Active/Ballet, Activity_Active/Ballet&amp;Dance, Activity_Active/Gym, Activity_Active/Yoga, B1 Sports Bra, Category_Active, Category_Active/Sports Bra, HR-CX, LBD23, mousse, no-returns, Tariff Final Sale</t>
        </is>
      </c>
      <c r="J369" s="911" t="inlineStr">
        <is>
          <t>dance-halter-sports-bra</t>
        </is>
      </c>
    </row>
    <row r="370" ht="56" customHeight="1" s="229">
      <c r="A370" s="912" t="inlineStr">
        <is>
          <t>Dance Flare Leggings</t>
        </is>
      </c>
      <c r="B370" s="913" t="inlineStr">
        <is>
          <t>Active</t>
        </is>
      </c>
      <c r="C370" s="914" t="n">
        <v>119</v>
      </c>
      <c r="D370" s="914" t="n">
        <v>71.40000000000001</v>
      </c>
      <c r="E370" s="955" t="inlineStr">
        <is>
          <t>Yes</t>
        </is>
      </c>
      <c r="F370" s="915" t="inlineStr">
        <is>
          <t>Made from a buttery smooth fabric that comfortably molds to your body, these Dance Flare Leggings are a great way to upgrade your wardrobe with a confidence-boosting contemporary-retro style perfect for practice and beyond. Fit tip: if you're in between sizes, we recommend sizing up.</t>
        </is>
      </c>
      <c r="G370" s="916" t="inlineStr">
        <is>
          <t>• High waist cut with contrasting-color piping that adds an elegant touch. • Designed for style and support in ballet &amp; yoga – anywhere you find yourself on the move or lounging. • Complete this beautiful set with the matching Dance Halter Sports Bra! • Inseam is 30" for Size M.</t>
        </is>
      </c>
      <c r="H370" s="917" t="inlineStr">
        <is>
          <t>8 1% nylon, 19% Spandex. • Care instructions: For best results, hand wash with like colors in cold water</t>
        </is>
      </c>
      <c r="I370" s="918" t="inlineStr">
        <is>
          <t>22.9.2, 25DEC 40OFF, 25DEC SALE, 25Feb Sale, Activity_Active/Ballet, Activity_Active/Ballet&amp;Dance, Activity_Active/Gym, Activity_Active/Yoga, Category_Active, Category_Active/Leggings, HR-CX, LBD23, mousse, no-returns, Tariff Final Sale, US Inventory</t>
        </is>
      </c>
      <c r="J370" s="919" t="inlineStr">
        <is>
          <t>dance-flare-leggings</t>
        </is>
      </c>
    </row>
    <row r="371" ht="56" customHeight="1" s="229">
      <c r="A371" s="966" t="inlineStr">
        <is>
          <t>Barely Zero Fixed Cup Wavy Bra Trio- Extended Sizes</t>
        </is>
      </c>
      <c r="B371" s="967" t="inlineStr">
        <is>
          <t>Bundle3</t>
        </is>
      </c>
      <c r="C371" s="968" t="n">
        <v>49</v>
      </c>
      <c r="D371" s="968" t="n">
        <v>39.5</v>
      </c>
      <c r="E371" s="969" t="inlineStr">
        <is>
          <t>Yes</t>
        </is>
      </c>
      <c r="F371" s="970" t="inlineStr">
        <is>
          <t>This bundle includes three Barely Zero Fixed Cup Wavy Bras, which feature a delicate scalloped V-neck that wears seamlessly under any top. Featuring fixed cups and adjustable straps, this pullover style has no clasps or wires for a smooth, supportive fit.</t>
        </is>
      </c>
      <c r="G371" s="971" t="inlineStr">
        <is>
          <t>• Perfect for layering under form-fitting outfits for a smooth look, or let the scalloped edges subtly show through your clothing. • Features Flo Support‚Ñ¢: lower band lined with no-slip silicone grip for stability and support. • Features Bisous Cups‚Ñ¢: crease-resistant, non-removable laminated cups designed to better fit your natural curves. • Made from our highly-elastic blend of CloudFit &amp; Spandex to better adapt to your curves.</t>
        </is>
      </c>
      <c r="H371" s="972" t="inlineStr">
        <is>
          <t>67% CloudFit nylon, 33% Spandex. • Care instructions: For best results, hand wash with like colors in cold water</t>
        </is>
      </c>
      <c r="I371" s="973" t="inlineStr">
        <is>
          <t>22.8.26, Bundle Collection, BZ Curve Bra, BZ Fixed Cup Size Bra, Category_Bras/Everyday, Category_Bras/Medium Support, Category_Bras/Plunge, Category_Underwear, Category_Underwear/Tops, Category_Underwear/Tops/Wireless Bra, Category_Underwear/Tops/Wireless Bra/Seamless, Collection_Barely Zero, Collection_Barely Zero/Bras, Memorial Day Bundle Price Update, Priority Products, Sized BZ Bras</t>
        </is>
      </c>
      <c r="J371" s="974" t="inlineStr">
        <is>
          <t>barely-zero-fixed-cup-wavy-bra-trio-extended-sizes</t>
        </is>
      </c>
    </row>
    <row r="372" ht="56" customHeight="1" s="229">
      <c r="A372" s="966" t="inlineStr">
        <is>
          <t>Barely Zero Fixed Cup Wavy Bra Bundle - Extended Sizes</t>
        </is>
      </c>
      <c r="B372" s="967" t="inlineStr">
        <is>
          <t>Bundle</t>
        </is>
      </c>
      <c r="C372" s="968" t="n">
        <v>49</v>
      </c>
      <c r="D372" s="968" t="n">
        <v>44.25</v>
      </c>
      <c r="E372" s="969" t="inlineStr">
        <is>
          <t>Yes</t>
        </is>
      </c>
      <c r="F372" s="970" t="inlineStr">
        <is>
          <t>This bundle includes two Barely Zero Fixed Cup Wavy Bras, which feature a delicate scalloped V-neck that wears seamlessly under any top. Featuring fixed cups and adjustable straps, this pullover style has no clasps or wires for a smooth, supportive fit.</t>
        </is>
      </c>
      <c r="G372" s="971" t="inlineStr">
        <is>
          <t>• Perfect for layering under form-fitting outfits for a smooth look, or let the scalloped edges subtly show through your clothing. • Features Flo Support‚Ñ¢: lower band lined with no-slip silicone grip for stability and support. • Features Bisous Cups‚Ñ¢: crease-resistant, non-removable laminated cups designed to better fit your natural curves. • Made from our highly-elastic blend of CloudFit &amp; Spandex to better adapt to your curves.</t>
        </is>
      </c>
      <c r="H372" s="972" t="inlineStr">
        <is>
          <t>67% nylon, 33% Spandex. • Care instructions: For best results, hand wash with like colors in cold water</t>
        </is>
      </c>
      <c r="I372" s="973" t="inlineStr">
        <is>
          <t>22.8.26, Bundle Collection, BZ Curve Bra, BZ Fixed Cup Size Bra, Category_Bras/Everyday, Category_Bras/Medium Support, Category_Bras/Plunge, Category_Underwear, Category_Underwear/Tops/Wireless Bra, Category_Underwear/Tops/Wireless Bra/Seamless, Collection_Barely Zero, Collection_Barely Zero/Bras, Memorial Day Bundle Price Update, Priority Products, Sized BZ Bras</t>
        </is>
      </c>
      <c r="J372" s="974" t="inlineStr">
        <is>
          <t>barely-zero-fixed-cup-wavy-bra-bundle-extended-sizes</t>
        </is>
      </c>
    </row>
    <row r="373" ht="56" customHeight="1" s="229">
      <c r="A373" s="896" t="inlineStr">
        <is>
          <t>Flare Knitted Pants</t>
        </is>
      </c>
      <c r="B373" s="897" t="inlineStr">
        <is>
          <t>Loungewear</t>
        </is>
      </c>
      <c r="C373" s="898" t="n">
        <v>259</v>
      </c>
      <c r="D373" s="898" t="n">
        <v>155.4</v>
      </c>
      <c r="E373" s="957" t="inlineStr">
        <is>
          <t>Yes</t>
        </is>
      </c>
      <c r="F373" s="899" t="inlineStr">
        <is>
          <t>Break the boundary between home wear and outerwear with our Flare Knitted Pants – a classic style made from luxuriously soft cashmere and wool, these are perfect for lazy days at home yet elevated enough for elegant outfits to wear out of the house.</t>
        </is>
      </c>
      <c r="G373" s="900" t="inlineStr">
        <is>
          <t>• Flared pants with a ribbed pattern. Improved thin elastic drawstring waistband for more comfort. • Knitted from a luxurious blend of wool and cashmere – soft, warm, &amp; breathable. Size M is 39.8" in length. • A casual relaxed style for lounging at home or daily errands. • Perfectly matched with our V-Neck Loose Fit Wool Cardigan.</t>
        </is>
      </c>
      <c r="H373" s="901" t="inlineStr">
        <is>
          <t>72% wool, 28% cashmere • Care instructions: Professional dry-cleaning recommended</t>
        </is>
      </c>
      <c r="I373" s="902" t="inlineStr">
        <is>
          <t>22.8.19, 24.10 Sale, 25DEC 40OFF, 25DEC SALE, Category_Lounge, Category_Lounge/Bottoms, Category_Lounge/Bottoms/Elastic, Category_Lounge/Knitwear, Category_Lounge/Pants, Fabric_Lounge/Cashmere &amp; Wool, HR-CX, LBD23, no-returns, Tariff Final Sale</t>
        </is>
      </c>
      <c r="J373" s="903" t="inlineStr">
        <is>
          <t>flare-knitted-pants</t>
        </is>
      </c>
    </row>
    <row r="374" ht="42" customHeight="1" s="229">
      <c r="A374" s="958" t="inlineStr">
        <is>
          <t>Men's Lounge Pants</t>
        </is>
      </c>
      <c r="B374" s="959" t="inlineStr">
        <is>
          <t>Men</t>
        </is>
      </c>
      <c r="C374" s="960" t="n">
        <v>89</v>
      </c>
      <c r="D374" s="960" t="n">
        <v>62.3</v>
      </c>
      <c r="E374" s="984" t="inlineStr">
        <is>
          <t>Yes</t>
        </is>
      </c>
      <c r="F374" s="961" t="inlineStr">
        <is>
          <t>It's time to chill. Our Men's Lounge Pants are tailored from an ultra-soft fabric blend with enhanced breathability to be exactly what you need for all the casual, relaxing evenings at home to come.</t>
        </is>
      </c>
      <c r="G374" s="962" t="inlineStr">
        <is>
          <t>• Soft fabric with a subtle sleek look, elastic waistband, and adjustable drawstring closure. • Front slant pockets, rear patch pocket: plenty room for your phone, keys, and wallet! Size M is 40.2" in length. • Available in three easy-to-match colors.</t>
        </is>
      </c>
      <c r="H374" s="963" t="inlineStr">
        <is>
          <t>95% cotton, 5% Spandex • Care Instructions: For best results, hand wash in cold water</t>
        </is>
      </c>
      <c r="I374" s="964" t="inlineStr">
        <is>
          <t>22.8.19, 24.10 Sale, Category_Men, Category_Men/Bottoms, Collection_Valentine, HR-CX, LBD23, no-returns, Tariff Final Sale</t>
        </is>
      </c>
      <c r="J374" s="965" t="inlineStr">
        <is>
          <t>mens-lounge-pants</t>
        </is>
      </c>
    </row>
    <row r="375" ht="28" customHeight="1" s="229">
      <c r="A375" s="880" t="inlineStr">
        <is>
          <t>Barely Zero Extra Support Bra</t>
        </is>
      </c>
      <c r="B375" s="881" t="inlineStr">
        <is>
          <t>Underwear</t>
        </is>
      </c>
      <c r="C375" s="882" t="n">
        <v>65</v>
      </c>
      <c r="D375" s="882" t="n">
        <v>65</v>
      </c>
      <c r="E375" s="881" t="inlineStr"/>
      <c r="F375" s="883" t="inlineStr">
        <is>
          <t>The Barely Zero Extra Support Bra features soft stretch fabric, wide straps, and a secure back clasp that give excellent support and a seamless fit.</t>
        </is>
      </c>
      <c r="G375" s="884" t="inlineStr">
        <is>
          <t>• Seamless, comfortable fit: no digging in or show-through lines. Offers more support from both sides to show your natural, beautiful shape. • Full coverage with wider straps and band, with enhanced side layers for a secure fit. • Features removable padding, adjustable wide straps, and back buckle closure.</t>
        </is>
      </c>
      <c r="H375" s="885" t="inlineStr">
        <is>
          <t>64% CloudFit nylon, 36% Spandex. • Care instructions: For best results, hand wash with like colors in cold water</t>
        </is>
      </c>
      <c r="I375" s="886" t="inlineStr">
        <is>
          <t>22.8.26, BZ Curve Bra, C1 Size Bra, Category_Bras/Everyday, Category_Bras/High Support, Category_Bras/Plunge, Category_Underwear, Category_Underwear/Tops, Category_Underwear/Tops/Wireless Bra, Collection_Barely Zero, Collection_Barely Zero/Bras, Feature_Best Seller, Flexport Stock, LBD23, Sized BZ Bras, US Inventory, US Main</t>
        </is>
      </c>
      <c r="J375" s="887" t="inlineStr">
        <is>
          <t>barely-zero-extra-support-bra</t>
        </is>
      </c>
    </row>
    <row r="376" ht="42" customHeight="1" s="229">
      <c r="A376" s="888" t="inlineStr">
        <is>
          <t>Second Skin High Waist Brief</t>
        </is>
      </c>
      <c r="B376" s="889" t="inlineStr">
        <is>
          <t>Underwear</t>
        </is>
      </c>
      <c r="C376" s="890" t="n">
        <v>25</v>
      </c>
      <c r="D376" s="890" t="n">
        <v>25</v>
      </c>
      <c r="E376" s="889" t="inlineStr"/>
      <c r="F376" s="891" t="inlineStr">
        <is>
          <t>Our Second Skin High Waist Brief is your everyday panty. This ultra-soft panty is so smooth that it virtually disappears without any lines underneath clothing and so soft that it will keep you comfortable all day long.</t>
        </is>
      </c>
      <c r="G376" s="892" t="inlineStr">
        <is>
          <t>• Ultra-light, elastic, smooth &amp; silky- it feels like your second skin. • Available in a variety of colors and two adaptive sizes. • High-rise cut for full coverage, clean &amp; invisible seam.</t>
        </is>
      </c>
      <c r="H376" s="893" t="inlineStr">
        <is>
          <t>81% nylon, 19% Spandex; 100% cotton lining. • Care instructions: For best results, hand wash with like colors in cold water</t>
        </is>
      </c>
      <c r="I376" s="894" t="inlineStr">
        <is>
          <t>22.9.9, BZ Sized Brief, Categeory_Underwear, Category_Lingerie/Brief/High Waist, Category_Underwear/Bottoms, Category_Underwear/Bottoms/Panties, Category_Underwear/Bottoms/Panties/High Waist, HR-CX, LBD23</t>
        </is>
      </c>
      <c r="J376" s="895" t="inlineStr">
        <is>
          <t>secondskin-high-waist-brief</t>
        </is>
      </c>
    </row>
    <row r="377" ht="56" customHeight="1" s="229">
      <c r="A377" s="880" t="inlineStr">
        <is>
          <t>Second Skin Mid Waist Brief</t>
        </is>
      </c>
      <c r="B377" s="881" t="inlineStr">
        <is>
          <t>Underwear</t>
        </is>
      </c>
      <c r="C377" s="882" t="n">
        <v>25</v>
      </c>
      <c r="D377" s="882" t="n">
        <v>17.5</v>
      </c>
      <c r="E377" s="937" t="inlineStr">
        <is>
          <t>Yes</t>
        </is>
      </c>
      <c r="F377" s="883" t="inlineStr">
        <is>
          <t>Our Second Skin Mid Waist Brief is your everyday panty. This ultra-soft panty is so smooth that it virtually disappears without any lines underneath clothing and so soft that it will keep you comfortable all day long. This item is FINAL SALE and cannot be returned or exchanged.</t>
        </is>
      </c>
      <c r="G377" s="884" t="inlineStr">
        <is>
          <t>• Ultra-light, elastic, smooth &amp; silky- it feels like your second skin. • Available in a variety of colors and two adaptive sizes. • Classic mid-waist cut for moderate coverage , clean &amp; invisible seam.</t>
        </is>
      </c>
      <c r="H377" s="885" t="inlineStr">
        <is>
          <t>81% nylon, 19% Spandex; 100% cotton lining. • Care instructions: For best results, hand wash with like colors in cold water</t>
        </is>
      </c>
      <c r="I377" s="886" t="inlineStr">
        <is>
          <t>22.9.9, 25Jan Sale, BZ Sized Brief, Categeory_Underwear, Category_Lingerie/Brief/Mid Waist, Category_Underwear, Category_Underwear/Bottoms, Category_Underwear/Bottoms/Panties, Category_Underwear/Bottoms/Panties/Mid Waist, HR-CX, LBD23, no-returns, Sale, Spring Palette, Tariff Final Sale</t>
        </is>
      </c>
      <c r="J377" s="887" t="inlineStr">
        <is>
          <t>secondskin-mid-waist-brief</t>
        </is>
      </c>
    </row>
    <row r="378" ht="42" customHeight="1" s="229">
      <c r="A378" s="888" t="inlineStr">
        <is>
          <t>Barely Zero Fixed Cup Wavy Bra - Extended Sizes</t>
        </is>
      </c>
      <c r="B378" s="889" t="inlineStr">
        <is>
          <t>Underwear</t>
        </is>
      </c>
      <c r="C378" s="890" t="n">
        <v>49</v>
      </c>
      <c r="D378" s="890" t="n">
        <v>49</v>
      </c>
      <c r="E378" s="889" t="inlineStr"/>
      <c r="F378" s="891" t="inlineStr">
        <is>
          <t>With its delicate scalloped V-neck, our popular Barely Zero Fixed Cup Wavy Bra provides seamless wear under any top. Featuring fixed cups and adjustable straps, this pullover style has no clasps or wires for a smooth, supportive fit.</t>
        </is>
      </c>
      <c r="G378" s="892" t="inlineStr">
        <is>
          <t>• Perfect for layering under form-fitting outfits for a smooth look, or let the scalloped edges subtly show through your clothing. • Features Flo Support‚Ñ¢: lower band lined with no-slip silicone grip for stability and support. • Features Bisous Cups‚Ñ¢: crease-resistant, fixed laminated cups designed to hug your curves and simplify care. • Made from our highly-elastic blend of CloudFit &amp; Spandex to better adapt to your curves.</t>
        </is>
      </c>
      <c r="H378" s="893" t="inlineStr">
        <is>
          <t>67% CloudFit nylon, 33% Spandex. • Care instructions: For best results, hand wash with like colors in cold water</t>
        </is>
      </c>
      <c r="I378" s="894" t="inlineStr">
        <is>
          <t>22.8.26, BZ Curve Bra, BZ Fixed Cup Size Bra, Category_Bras/Everyday, Category_Bras/Medium Support, Category_Bras/Nursing, Category_Bras/Plunge, Category_Underwear, Category_Underwear/Tops, Category_Underwear/Tops/Wireless Bra, Category_Underwear/Tops/Wireless Bra/Seamless, Collection_Barely Zero, Collection_Barely Zero/Bras, Feature_Best Seller, Flexport Stock, LBD23, Priority Products, Sized BZ Bras, US Inventory, US Main</t>
        </is>
      </c>
      <c r="J378" s="895" t="inlineStr">
        <is>
          <t>barely-zero-fixed-cup-wavy-bra-extended-sizes</t>
        </is>
      </c>
    </row>
    <row r="379" ht="70" customHeight="1" s="229">
      <c r="A379" s="928" t="inlineStr">
        <is>
          <t>Ribbed Drawstring Waist Dress</t>
        </is>
      </c>
      <c r="B379" s="929" t="inlineStr">
        <is>
          <t>Loungewear</t>
        </is>
      </c>
      <c r="C379" s="930" t="n">
        <v>89</v>
      </c>
      <c r="D379" s="930" t="n">
        <v>53.4</v>
      </c>
      <c r="E379" s="936" t="inlineStr">
        <is>
          <t>Yes</t>
        </is>
      </c>
      <c r="F379" s="931" t="inlineStr">
        <is>
          <t>Whether you wear this piece as a nightgown or a lounge dress is entirely up to you: our Ribbed Drawstring Waist Dress is relaxed, roomy, and designed to be a comfortable home style you can wear whenever and however you need. Made from a soft blend of cotton and modal, slip into this style's blissful embrace after a long day and feel the stress of your day melt away.</t>
        </is>
      </c>
      <c r="G379" s="932" t="inlineStr">
        <is>
          <t>• Boat neck, long sleeve, below-the-knee hemline. • Relaxed style, crafted to fit any body type with a drawstring at the waist for added flexibility. Size M is 41.7" in length. • Made from a cozy &amp; breathable blend of cotton and modal, perfect for the early fall.</t>
        </is>
      </c>
      <c r="H379" s="933" t="inlineStr">
        <is>
          <t>57% cotton, 38% modal, 5% Spandex. • Care instructions: For best results, hand wash with like colors in cold water</t>
        </is>
      </c>
      <c r="I379" s="934" t="inlineStr">
        <is>
          <t>22.8.26, 22FW, 24JuneSale, 25DEC 40OFF, 25DEC SALE, Category_Lounge, Category_Lounge/Dress&amp;Jumpsuit, Category_Lounge/Pajamas &amp; Robes, Category_Lounge/Pajamas &amp; Robes/Dress, Fabric_Lounge/Cotton, Fabric_Lounge/Tencel Modal, HR-CX, LBD23, no-returns, Tariff Final Sale</t>
        </is>
      </c>
      <c r="J379" s="935" t="inlineStr">
        <is>
          <t>ribbed-drawstring-waist-dress</t>
        </is>
      </c>
    </row>
    <row r="380" ht="42" customHeight="1" s="229">
      <c r="A380" s="896" t="inlineStr">
        <is>
          <t>Ribbed Wide Leg Pants</t>
        </is>
      </c>
      <c r="B380" s="897" t="inlineStr">
        <is>
          <t>Loungewear</t>
        </is>
      </c>
      <c r="C380" s="898" t="n">
        <v>75</v>
      </c>
      <c r="D380" s="898" t="n">
        <v>45</v>
      </c>
      <c r="E380" s="957" t="inlineStr">
        <is>
          <t>Yes</t>
        </is>
      </c>
      <c r="F380" s="899" t="inlineStr">
        <is>
          <t>Slip into our cozy Ribbed Wide Leg Pants and enjoy a relaxed fit that will keep you warm and comfy all season long. The flared leg with side slits add freedom of movement and a fashion-forward finish!</t>
        </is>
      </c>
      <c r="G380" s="900" t="inlineStr">
        <is>
          <t>• Features f lared legs, elastic waistband, and side pockets. • Made from a ribbed blend of cotton and modal. Perfect for the early fall. Size M is 39.4" in length. • Pair with our matching Ribbed Drawstring Waist Top for a full cozy set!</t>
        </is>
      </c>
      <c r="H380" s="901" t="inlineStr">
        <is>
          <t>57% cotton, 38% modal, 5% Spandex. • Care instructions: For best results, hand wash with like colors in cold water</t>
        </is>
      </c>
      <c r="I380" s="902" t="inlineStr">
        <is>
          <t>22.8.26, 22FW, 24JuneSale, 25DEC 40OFF, 25DEC SALE, Category_Lounge, Category_Lounge/Bottoms, Category_Lounge/Bottoms/Elastic, Category_Lounge/Pajamas &amp; Robes, Category_Lounge/Pajamas &amp; Robes/Bottoms, Category_Lounge/Pants, Fabric_Lounge/Cotton, Fabric_Lounge/Tencel Modal, HR-CX, LBD23, no-returns, Spring Palette, Tariff Final Sale</t>
        </is>
      </c>
      <c r="J380" s="903" t="inlineStr">
        <is>
          <t>ribbed-wide-leg-pant</t>
        </is>
      </c>
    </row>
    <row r="381" ht="70" customHeight="1" s="229">
      <c r="A381" s="928" t="inlineStr">
        <is>
          <t>Ribbed Drawstring Waist Top</t>
        </is>
      </c>
      <c r="B381" s="929" t="inlineStr">
        <is>
          <t>Loungewear</t>
        </is>
      </c>
      <c r="C381" s="930" t="n">
        <v>65</v>
      </c>
      <c r="D381" s="930" t="n">
        <v>39</v>
      </c>
      <c r="E381" s="936" t="inlineStr">
        <is>
          <t>Yes</t>
        </is>
      </c>
      <c r="F381" s="931" t="inlineStr">
        <is>
          <t>Slip into our cute and cozy Ribbed Drawstring Waist Top this fall and enjoy a soft blend of cotton and modal that drapes for a relaxed and cropped silhouette, keeping you warm &amp; comfy all season long. This versatile top is perfect for multiple scenarios throughout your week, from a Sunday stroll, a midweek grocery pickup, to a casual Friday at the office.</t>
        </is>
      </c>
      <c r="G381" s="932" t="inlineStr">
        <is>
          <t>• Features long sleeves, a crew neckline, and a drawstring cinched hem for customized fit. • Made from a cozy &amp; breathable ribbed blend of cotton and modal. Perfect for the early fall. Size M is 19.9" in length. • Complete the set with our matching Ribbed Wide Leg Pants for an effortless style!</t>
        </is>
      </c>
      <c r="H381" s="933" t="inlineStr">
        <is>
          <t>57% cotton, 38% modal, 5% Spandex. • Care instructions: For best results, hand wash with like colors in cold water</t>
        </is>
      </c>
      <c r="I381" s="934" t="inlineStr">
        <is>
          <t>22.8.26, 24JuneSale, 25DEC 40OFF, 25DEC SALE, Category_Lounge, Category_Lounge/Pajamas &amp; Robes, Category_Lounge/Pajamas &amp; Robes/Top, Category_Lounge/Tops, Fabric_Lounge/Cotton, Fabric_Lounge/Tencel Modal, HR-CX, LBD23, no-returns, Spring Palette, Tariff Final Sale</t>
        </is>
      </c>
      <c r="J381" s="935" t="inlineStr">
        <is>
          <t>ribbed-drawstring-waist-top</t>
        </is>
      </c>
    </row>
    <row r="382" ht="28" customHeight="1" s="229">
      <c r="A382" s="904" t="inlineStr">
        <is>
          <t>Wool Beanie</t>
        </is>
      </c>
      <c r="B382" s="905" t="inlineStr">
        <is>
          <t>Active</t>
        </is>
      </c>
      <c r="C382" s="906" t="n">
        <v>45</v>
      </c>
      <c r="D382" s="906" t="n">
        <v>31.5</v>
      </c>
      <c r="E382" s="956" t="inlineStr">
        <is>
          <t>Yes</t>
        </is>
      </c>
      <c r="F382" s="907" t="inlineStr">
        <is>
          <t>The perfect accessory to cap off any cold-weather outfit, this Wool Beanie will keep you feeling cozy and looking cute all season long!</t>
        </is>
      </c>
      <c r="G382" s="908" t="inlineStr">
        <is>
          <t>• Three easy-to-pair colors that complement any outfit. Can be worn cuffed or uncuffed. • Knit from a luxuriously warm wool blend with synthetic fibers added for durability and stretch. The beanie is 11.8" in length. • A comfortable, practical addition to any fall and winter wardrobe ‚Äî and a great gift for anyone this holiday season!</t>
        </is>
      </c>
      <c r="H382" s="909" t="inlineStr">
        <is>
          <t>37% wool, 25% acrylic, 22% alpaca, 15% nylon, 1% Spandex • Care Instructions: For best results, hand wash in cold water. Lay flat to dry. Ironing not recommended</t>
        </is>
      </c>
      <c r="I382" s="910" t="inlineStr">
        <is>
          <t>22.11.4, 24JuneSale, Beanie, Category_Active, Category_Active/Accessories, Category_Lounge, Category_Lounge/Accessories, HR-CX, LBD23, no-returns</t>
        </is>
      </c>
      <c r="J382" s="911" t="inlineStr">
        <is>
          <t>wool-beanie</t>
        </is>
      </c>
    </row>
    <row r="383" ht="56" customHeight="1" s="229">
      <c r="A383" s="880" t="inlineStr">
        <is>
          <t>Super Soft Seamless Brief</t>
        </is>
      </c>
      <c r="B383" s="881" t="inlineStr">
        <is>
          <t>Underwear</t>
        </is>
      </c>
      <c r="C383" s="882" t="n">
        <v>19</v>
      </c>
      <c r="D383" s="882" t="n">
        <v>19</v>
      </c>
      <c r="E383" s="881" t="inlineStr"/>
      <c r="F383" s="883" t="inlineStr">
        <is>
          <t>Sometimes, less is more. You'll love wearing our Super Soft Seamless Brief even more than the feeling of wearing nothing at all ‚Äî new NEIWAI S-KNIT ‚Ñ¢ seamless technology means superb comfort and a practical design that forms perfectly to your body.</t>
        </is>
      </c>
      <c r="G383" s="884" t="inlineStr">
        <is>
          <t>• A practical daily brief with classic mid-rise cut for moderate coverage &amp; ribbed waistband for optimal comfort. • Soft, smooth, &amp; flexible nylon-Spandex blend with a 100% cotton gusset for health &amp; comfort. • Virtually seamless: shows no lines, even under tight clothes like leggings!</t>
        </is>
      </c>
      <c r="H383" s="885" t="inlineStr">
        <is>
          <t>88% nylon, 12% Spandex . Lining: 100% cotton. • Care instructions: For best results, hand wash with a light detergent in cold water</t>
        </is>
      </c>
      <c r="I383" s="886" t="inlineStr">
        <is>
          <t>22.9.16, BZ Sized Brief, Category_Underwear, Category_Underwear/Bottoms, Category_Underwear/Bottoms/Panties, Category_Underwear/Bottoms/Panties/Mid Waist, HR-CX, LBD23, Tariff Final Sale</t>
        </is>
      </c>
      <c r="J383" s="887" t="inlineStr">
        <is>
          <t>super-soft-seamless-brief</t>
        </is>
      </c>
    </row>
    <row r="384" ht="70" customHeight="1" s="229">
      <c r="A384" s="912" t="inlineStr">
        <is>
          <t>NEIWAI ACTIVE X Andrea Jiapei Li Stirrup Leggings</t>
        </is>
      </c>
      <c r="B384" s="913" t="inlineStr">
        <is>
          <t>Active</t>
        </is>
      </c>
      <c r="C384" s="914" t="n">
        <v>129</v>
      </c>
      <c r="D384" s="914" t="n">
        <v>90.3</v>
      </c>
      <c r="E384" s="955" t="inlineStr">
        <is>
          <t>Yes</t>
        </is>
      </c>
      <c r="F384" s="915" t="inlineStr">
        <is>
          <t>Join us in celebrating the feminine figure &amp; freedom of movement with our latest collaboration with Andrea Jiapei Li, a New-York based womenswear designer brand. The Stirrup Leggings, a functional, casual, &amp; elegant style for the studio, gym, or anywhere else! Fit tip: if you're in between sizes, we recommend sizing up.</t>
        </is>
      </c>
      <c r="G384" s="916" t="inlineStr">
        <is>
          <t>• Full-length stirrup leggings, can be worn over the heel or rolled up. • Crafted from a moisture-wicking, skin-friendly blend of Spandex and nylon for superior mobility and comfort. • Back drop-in pocket holds the essentials while you're in motion. •Available in refined light color and stylish iron gray: both pair well with any top from the NEIWAI X AJL Collection! • Inseam is 24.3" for Size M.</t>
        </is>
      </c>
      <c r="H384" s="917" t="inlineStr">
        <is>
          <t>75% nylon, 25% Spandex. • Care instructions: For best results, h and wash with like colors in cold water</t>
        </is>
      </c>
      <c r="I384" s="918" t="inlineStr">
        <is>
          <t>22.8.12, 24.10 Sale, Activity_Active/Ballet&amp;Dance, Activity_Active/Dance, Activity_Active/Running, Activity_Active/Yoga, Category_Active, Category_Active/Leggings, HR-CX, LBD23, no-returns, Tariff Final Sale</t>
        </is>
      </c>
      <c r="J384" s="919" t="inlineStr">
        <is>
          <t>ajl-stirrup-leggings</t>
        </is>
      </c>
    </row>
    <row r="385" ht="42" customHeight="1" s="229">
      <c r="A385" s="896" t="inlineStr">
        <is>
          <t>Nude Skin Padded Camisole</t>
        </is>
      </c>
      <c r="B385" s="897" t="inlineStr">
        <is>
          <t>Loungewear</t>
        </is>
      </c>
      <c r="C385" s="898" t="n">
        <v>89</v>
      </c>
      <c r="D385" s="898" t="n">
        <v>62.3</v>
      </c>
      <c r="E385" s="957" t="inlineStr">
        <is>
          <t>Yes</t>
        </is>
      </c>
      <c r="F385" s="899" t="inlineStr">
        <is>
          <t>Simple, elegant, versatile, this Nude Skin Padded Camisole is another wardrobe staple you shouldn't miss ‚Äî perfect to wear with your favorite layering pieces or worn alone as stylish loungewear!</t>
        </is>
      </c>
      <c r="G385" s="900" t="inlineStr">
        <is>
          <t>• V-neck design, soft &amp; stretchy fabric, and a slim fit make this an ideal start to any look. • Buckle-free spaghetti straps for a seamless and smooth comfort. • Easy care: built-in bra, durable &amp; machine-washable.</t>
        </is>
      </c>
      <c r="H385" s="901" t="inlineStr">
        <is>
          <t>71% nylon, 29% Spandex. • Care instructions: Hand or machine wash and dry according to instructions on the care label using a mild laundry detergent</t>
        </is>
      </c>
      <c r="I385" s="902" t="inlineStr">
        <is>
          <t>22.8.12, 25JulySale, Category_Lounge, Category_Lounge/Tees&amp;Tanks, Category_Lounge/Tops, Category_Underwear, Category_Underwear/Tops, LBD23, no-returns, Spring Palette, Tariff Final Sale</t>
        </is>
      </c>
      <c r="J385" s="903" t="inlineStr">
        <is>
          <t>nude-skin-padded-camisole</t>
        </is>
      </c>
    </row>
    <row r="386" ht="56" customHeight="1" s="229">
      <c r="A386" s="888" t="inlineStr">
        <is>
          <t>3D Smile Support Plunge Bra</t>
        </is>
      </c>
      <c r="B386" s="889" t="inlineStr">
        <is>
          <t>Underwear</t>
        </is>
      </c>
      <c r="C386" s="890" t="n">
        <v>49</v>
      </c>
      <c r="D386" s="890" t="n">
        <v>49</v>
      </c>
      <c r="E386" s="889" t="inlineStr"/>
      <c r="F386" s="891" t="inlineStr">
        <is>
          <t>Our 3D Smile Plunge Bra is a supportive, ultra-comfy bra featuring our patented 3D Smile Support ‚Äî this bra is designed to provide generous coverage, confidence-boosting lift, and secure support. No underwire, just comfort and elegance all day long.</t>
        </is>
      </c>
      <c r="G386" s="892" t="inlineStr">
        <is>
          <t>• Generous coverage, V neckline, with straps for additional support and minimal pressure. Best suited for A-C cup sizes. • 3D Smile Support Technology: provides sturdy support without making you feel constrained. • Wireless lift: constructed with a skin-friendly silicone band that forms to your body and adds more flexibility. • Easy care: durable &amp; machine washable.</t>
        </is>
      </c>
      <c r="H386" s="893" t="inlineStr">
        <is>
          <t>65% polyamide, 35% Spandex. • Care instructions: Machine wash in cold water using a mild laundry detergent and air dry</t>
        </is>
      </c>
      <c r="I386" s="894" t="inlineStr">
        <is>
          <t>22.8.5, 22FW, 24.7.25, C1 Size Bra, Category_Bras/Everyday, Category_Bras/Medium Support, Category_Bras/Plunge, Category_Underwear, Category_Underwear/Tops, Category_Underwear/Tops/Wireless Bra, Feature_Best Seller, LBD23, SML Size Bra, Spring Palette, Tariff Final Sale, US Inventory</t>
        </is>
      </c>
      <c r="J386" s="895" t="inlineStr">
        <is>
          <t>3d-smile-support-plunge-bra</t>
        </is>
      </c>
    </row>
    <row r="387" ht="56" customHeight="1" s="229">
      <c r="A387" s="938" t="inlineStr">
        <is>
          <t>Men's Lounge Shorts</t>
        </is>
      </c>
      <c r="B387" s="939" t="inlineStr">
        <is>
          <t>Men</t>
        </is>
      </c>
      <c r="C387" s="940" t="n">
        <v>59</v>
      </c>
      <c r="D387" s="940" t="n">
        <v>41.3</v>
      </c>
      <c r="E387" s="941" t="inlineStr">
        <is>
          <t>Yes</t>
        </is>
      </c>
      <c r="F387" s="942" t="inlineStr">
        <is>
          <t>Looking for the perfect pair of shorts to bridge the gap between the couch and the gym? Our Men's Lounge Shorts will do the trick! Made from a breathable, skin-friendly cotton and Spandex blend, you'll love wearing these shorts working in the yard, lounging around the house, during casual workouts, and even sleeping.</t>
        </is>
      </c>
      <c r="G387" s="943" t="inlineStr">
        <is>
          <t>• Soft fabric with a subtle sleek look, elastic waistband, and adjustable drawstring closure. • Front slant pockets, rear patch pocket: plenty room for your phone, wallet &amp; keys! Size M is 21" in length. • Available in three easy-to-match colors.</t>
        </is>
      </c>
      <c r="H387" s="944" t="inlineStr">
        <is>
          <t>95% cotton, 5% Spandex • Care Instructions: For best results, hand wash in cold water</t>
        </is>
      </c>
      <c r="I387" s="945" t="inlineStr">
        <is>
          <t>22.8.12, 24.10 Sale, Category_Men, Category_Men/Bottoms, Category_Men/Pajams, Collection_Valentine, HR-CX, LBD23, no-returns, Tariff Final Sale</t>
        </is>
      </c>
      <c r="J387" s="946" t="inlineStr">
        <is>
          <t>mens-lounge-shorts</t>
        </is>
      </c>
    </row>
    <row r="388" ht="56" customHeight="1" s="229">
      <c r="A388" s="958" t="inlineStr">
        <is>
          <t>Men's Knitted Sweater</t>
        </is>
      </c>
      <c r="B388" s="959" t="inlineStr">
        <is>
          <t>Men</t>
        </is>
      </c>
      <c r="C388" s="960" t="n">
        <v>189</v>
      </c>
      <c r="D388" s="960" t="n">
        <v>132.3</v>
      </c>
      <c r="E388" s="984" t="inlineStr">
        <is>
          <t>Yes</t>
        </is>
      </c>
      <c r="F388" s="961" t="inlineStr">
        <is>
          <t>A timeless, versatile cool-weather style staple, our Men's Knitted Sweater is made from 100% wool to be a cozy essential and pair well with anything – in one day you can wear it over any shirt for a nice work-from-home outfit, then layer on a jacket as you head out for a casual evening event.</t>
        </is>
      </c>
      <c r="G388" s="962" t="inlineStr">
        <is>
          <t>• Long sleeve with classic crew neck, a cozy staple for your fall and winter wardrobe. • Made from genuine sheep's wool: soft, warm, yet breathable. Size M is 26.8" in length. • The perfect fit, not too tight but not too baggy.</t>
        </is>
      </c>
      <c r="H388" s="963" t="inlineStr">
        <is>
          <t>100% wool • Care instructions: Professional dry cleaning recommended</t>
        </is>
      </c>
      <c r="I388" s="964" t="inlineStr">
        <is>
          <t>22.8.12, 24.10 Sale, Category_Men, Category_Men/Tops, Collection_Valentine, HR-CX, LBD23, no-returns, Tariff Final Sale</t>
        </is>
      </c>
      <c r="J388" s="965" t="inlineStr">
        <is>
          <t>mens-knitted-sweater</t>
        </is>
      </c>
    </row>
    <row r="389" ht="56" customHeight="1" s="229">
      <c r="A389" s="880" t="inlineStr">
        <is>
          <t>Seamless Shapewear High Waist Shorts</t>
        </is>
      </c>
      <c r="B389" s="881" t="inlineStr">
        <is>
          <t>Underwear</t>
        </is>
      </c>
      <c r="C389" s="882" t="n">
        <v>35</v>
      </c>
      <c r="D389" s="882" t="n">
        <v>35</v>
      </c>
      <c r="E389" s="881" t="inlineStr"/>
      <c r="F389" s="883" t="inlineStr">
        <is>
          <t>Supportive and invisible under anything, our Seamless Shapewear Super High Waist Shorts hold in your core while shaping and enhancing your body's natural curves with their soft and seamless construction – the ideal everyday shapewear for any day of the week.</t>
        </is>
      </c>
      <c r="G389" s="884" t="inlineStr">
        <is>
          <t>• Seamless, breathable &amp; lightweight fabric for gentle shaping. • High waist comfort waistband stays put and doesn't pinch or roll. • Complete tummy-to-waist control gives you a smooth look in every outfit.</t>
        </is>
      </c>
      <c r="H389" s="885" t="inlineStr">
        <is>
          <t>45% modal, 44% nylon, 11% Spandex. • Care instructions: For best results, hand wash with like colors in cold water</t>
        </is>
      </c>
      <c r="I389" s="886" t="inlineStr">
        <is>
          <t>22.8.19, Category_Underwear, Category_Underwear/Bottoms, Category_Underwear/Bottoms/Panties, Category_Underwear/Bottoms/Panties/Shapewear, Fabric_Underwear/Tencel Modal, Few Size Brief, LBD23, US Inventory, US Main</t>
        </is>
      </c>
      <c r="J389" s="887" t="inlineStr">
        <is>
          <t>seamless-shapewear-high-waist-shorts</t>
        </is>
      </c>
    </row>
    <row r="390" ht="56" customHeight="1" s="229">
      <c r="A390" s="888" t="inlineStr">
        <is>
          <t>Seamless Shapewear Super High Waist Brief</t>
        </is>
      </c>
      <c r="B390" s="889" t="inlineStr">
        <is>
          <t>Underwear</t>
        </is>
      </c>
      <c r="C390" s="890" t="n">
        <v>35</v>
      </c>
      <c r="D390" s="890" t="n">
        <v>35</v>
      </c>
      <c r="E390" s="889" t="inlineStr"/>
      <c r="F390" s="891" t="inlineStr">
        <is>
          <t>Supportive and invisible under anything, our Seamless Shapewear Super High Waist Brief holds in your core while shaping and enhancing your body's natural curves with their soft and seamless construction – the perfect base layer for any outfit.</t>
        </is>
      </c>
      <c r="G390" s="892" t="inlineStr">
        <is>
          <t>• Seamless, breathable: the perfect balance of comfort and control for 24/7 wear. • Super high waist for complete tummy-to-waist control, giving you a smooth look in every outfit.</t>
        </is>
      </c>
      <c r="H390" s="893" t="inlineStr">
        <is>
          <t>45% modal, 44% nylon, 11% Spandex. • Care instructions: For best results, hand wash with like colors in cold water</t>
        </is>
      </c>
      <c r="I390" s="894" t="inlineStr">
        <is>
          <t>22.8.19, Category_Underwear, Category_Underwear/Bottoms, Category_Underwear/Bottoms/Panties, Category_Underwear/Bottoms/Panties/High Waist, Category_Underwear/Bottoms/Panties/Shapewear, Fabric_Underwear/Tencel Modal, Few Size Brief, LBD23, Tariff Final Sale</t>
        </is>
      </c>
      <c r="J390" s="895" t="inlineStr">
        <is>
          <t>seamless-shapewear-super-high-waist-brief</t>
        </is>
      </c>
    </row>
    <row r="391" ht="56" customHeight="1" s="229">
      <c r="A391" s="880" t="inlineStr">
        <is>
          <t>3D Smile Support Cutout Bra</t>
        </is>
      </c>
      <c r="B391" s="881" t="inlineStr">
        <is>
          <t>Underwear</t>
        </is>
      </c>
      <c r="C391" s="882" t="n">
        <v>45</v>
      </c>
      <c r="D391" s="882" t="n">
        <v>45</v>
      </c>
      <c r="E391" s="881" t="inlineStr"/>
      <c r="F391" s="883" t="inlineStr">
        <is>
          <t>Our 3D Smile Cutout Bra is a supportive, ultra-comfy undergarment featuring our patented 3D Smile Structure ‚Äî this bra is designed to provide generous coverage, lift, and a flattering, natural silhouette. No underwire, just support and confidence all day long.</t>
        </is>
      </c>
      <c r="G391" s="884" t="inlineStr">
        <is>
          <t>• ¬æ cup for moderate coverage, best suited for AA-B cup sizes. • Cutout in the front provides ventilation for all-day breathability • 3D Smile Support Technology provides sturdy support without making you feel constrained. • Wireless lift: constructed with a skin-friendly silicone band that forms to your body and adds more flexibility. • Easy care: durable &amp; machine washable.</t>
        </is>
      </c>
      <c r="H391" s="885" t="inlineStr">
        <is>
          <t>65% polyamide, 35% Spandex. • Care instructions: Machine wash in cold water using a mild laundry detergent and air dry</t>
        </is>
      </c>
      <c r="I391" s="886" t="inlineStr">
        <is>
          <t>22.8.5, 22FW, 23SS A3 Size Bra, 24.7.25, Category_Bras/Everyday, Category_Bras/Medium Support, Category_Bras/Plunge, Category_Underwear, Category_Underwear/Tops, Category_Underwear/Tops/Wireless Bra, Feature_Best Seller, Flexport Stock, LBD23, SML Size Bra, Spring Palette, Tariff Final Sale, US Inventory</t>
        </is>
      </c>
      <c r="J391" s="887" t="inlineStr">
        <is>
          <t>3d-smile-support-cutout-bra</t>
        </is>
      </c>
    </row>
    <row r="392" ht="56" customHeight="1" s="229">
      <c r="A392" s="904" t="inlineStr">
        <is>
          <t>Dance Sports Bra</t>
        </is>
      </c>
      <c r="B392" s="905" t="inlineStr">
        <is>
          <t>Active</t>
        </is>
      </c>
      <c r="C392" s="906" t="n">
        <v>79</v>
      </c>
      <c r="D392" s="906" t="n">
        <v>55.3</v>
      </c>
      <c r="E392" s="956" t="inlineStr">
        <is>
          <t>Yes</t>
        </is>
      </c>
      <c r="F392" s="907" t="inlineStr">
        <is>
          <t>Fully express yourself with every pose in our Dance Sports Bra – made from a durable blend of premium nylon and Lycra¬Æ Spandex, this soft &amp; stretchy street-to-studio sports bra moves with you in every bend, twist, and turn. Fit tip: if you're in between sizes, we recommend sizing up.</t>
        </is>
      </c>
      <c r="G392" s="908" t="inlineStr">
        <is>
          <t>• V-back design, removable chest padding, best suited for A-C cup sizes. • Moisture-wicking, quick-dry materials – perfect for yoga, barre, pilates, and everyday use. • Available in stylish black and floral patterns. Complete the set with our matching Dance Sport Leggings!</t>
        </is>
      </c>
      <c r="H392" s="909" t="inlineStr">
        <is>
          <t>80% nylon, 20% Spandex. • Care instructions: For best results, hand wash with like colors in cold water</t>
        </is>
      </c>
      <c r="I392" s="910" t="inlineStr">
        <is>
          <t>22.9.16, 22.9.2, 24JuneSale, Activity_Active/Ballet, Activity_Active/Ballet&amp;Dance, Activity_Active/Gym, Activity_Active/Yoga, B1 Sports Bra, Category_Active, Category_Active/Ballet, Category_Active/Core, Category_Active/Sports Bra, HR-CX, LBD23, mousse, no-returns, pink collection, Tariff Final Sale, US Inventory</t>
        </is>
      </c>
      <c r="J392" s="911" t="inlineStr">
        <is>
          <t>dance-sports-bra</t>
        </is>
      </c>
    </row>
    <row r="393" ht="56" customHeight="1" s="229">
      <c r="A393" s="928" t="inlineStr">
        <is>
          <t>V-Neck Loose Fit Wool Cardigan</t>
        </is>
      </c>
      <c r="B393" s="929" t="inlineStr">
        <is>
          <t>Loungewear</t>
        </is>
      </c>
      <c r="C393" s="930" t="n">
        <v>289</v>
      </c>
      <c r="D393" s="930" t="n">
        <v>173.4</v>
      </c>
      <c r="E393" s="936" t="inlineStr">
        <is>
          <t>Yes</t>
        </is>
      </c>
      <c r="F393" s="931" t="inlineStr">
        <is>
          <t>Classic yet stylish, our V-Neck Loose Fit Wool Cardigan leaves no boundary between home wear and outerwear: a versatile outer layer for comfort &amp; casual style at home and beyond that you can easily layer over dresses and other tops for cozy looks to wear out in the cooler months.</t>
        </is>
      </c>
      <c r="G393" s="932" t="inlineStr">
        <is>
          <t>• Loose fit , open front with self-tie belt, long sleeves. Flexible for all body types. • Knitted from a luxurious blend of wool and cashmere – soft, warm, &amp; breathable. Size M is 29.5" in length. • A casual relaxed style for lounging at home or daily errands. • Perfectly matches our Flare Knitted Pants.</t>
        </is>
      </c>
      <c r="H393" s="933" t="inlineStr">
        <is>
          <t>72% wool, 28% cashmere. • Care instructions: Professional dry-cleaning recommended</t>
        </is>
      </c>
      <c r="I393" s="934" t="inlineStr">
        <is>
          <t>22.8.19, 24.10 Sale, 25DEC 40OFF, 25DEC SALE, Category_Lounge, Category_Lounge/Knitwear, Category_Lounge/Outerwear, Category_Lounge/Tops, Fabric_Lounge/Cashmere &amp; Wool, HR-CX, LBD23, no-returns, Outerwear, Tariff Final Sale</t>
        </is>
      </c>
      <c r="J393" s="935" t="inlineStr">
        <is>
          <t>v-neck-loose-wool-cardigan</t>
        </is>
      </c>
    </row>
    <row r="394" ht="56" customHeight="1" s="229">
      <c r="A394" s="912" t="inlineStr">
        <is>
          <t>NEIWAI ACTIVE X Andrea Jiapei Li Cutout Long Sleeve T-shirt</t>
        </is>
      </c>
      <c r="B394" s="913" t="inlineStr">
        <is>
          <t>Active</t>
        </is>
      </c>
      <c r="C394" s="914" t="n">
        <v>149</v>
      </c>
      <c r="D394" s="914" t="n">
        <v>104.3</v>
      </c>
      <c r="E394" s="955" t="inlineStr">
        <is>
          <t>Yes</t>
        </is>
      </c>
      <c r="F394" s="915" t="inlineStr">
        <is>
          <t>Join us in celebrating the feminine figure &amp; freedom of movement with our latest collaboration with Andrea Jiapei Li, a New-York based womenswear designer. The Cutout Long Sleeve T-shirt has a unique off-duty chic style, designed for those who want to make a statement and ensure their playtime look has personality.</t>
        </is>
      </c>
      <c r="G394" s="916" t="inlineStr">
        <is>
          <t>• Four-way stretch in a flexible blend, with cut-out detail and thumbhole cuffs for optimal flexibility while staying stylish. • Features moisture-wicking &amp; UV-proof (UPF 50+) fabric – perfect for those who enjoy both city life and outdoor exploring. Size M is 20.8" in length. • A versatile style for the dance studio, work, special occasions or anywhere else.</t>
        </is>
      </c>
      <c r="H394" s="917" t="inlineStr">
        <is>
          <t>77% nylon, 23% Spandex. • Care instructions: For best results, h and wash with like colors in cold water</t>
        </is>
      </c>
      <c r="I394" s="918" t="inlineStr">
        <is>
          <t>22.8.12, 24.10 Sale, Activity_Active/Ballet&amp;Dance, Category_Active, Category_Active/Sport Bra &amp; Top, Category_Active/Tops, hide-bis, HR-CX, LBD23, no-returns, US Main</t>
        </is>
      </c>
      <c r="J394" s="919" t="inlineStr">
        <is>
          <t>neiwai-andrea-jiapei-li-cutout-long-sleeve-t-shirt</t>
        </is>
      </c>
    </row>
    <row r="395" ht="56" customHeight="1" s="229">
      <c r="A395" s="904" t="inlineStr">
        <is>
          <t>NEIWAI ACTIVE X Andrea Jiapei Li Cutout Halter Sports Top</t>
        </is>
      </c>
      <c r="B395" s="905" t="inlineStr">
        <is>
          <t>Active</t>
        </is>
      </c>
      <c r="C395" s="906" t="n">
        <v>99</v>
      </c>
      <c r="D395" s="906" t="n">
        <v>59.4</v>
      </c>
      <c r="E395" s="956" t="inlineStr">
        <is>
          <t>Yes</t>
        </is>
      </c>
      <c r="F395" s="907" t="inlineStr">
        <is>
          <t>Join us in celebrating the feminine figure &amp; freedom of movement with our latest collaboration with Andrea Jiapei Li, a New-York based womenswear designer. The Cutout Halter Sports Top will brings a more modern spirit to your wardrobe ‚Äî wear it as a stylish top or layer with different outfits!</t>
        </is>
      </c>
      <c r="G395" s="908" t="inlineStr">
        <is>
          <t>• Cross neckline, cut-out detail in the front for added mobility and elegance. • Extremely versatile. You can wear it for light exercise, as a stylish base to create a work-leisure outfit, or pair it with any formal bottoms to dress for different occasions! • Available in refined light color and stylish marble print.</t>
        </is>
      </c>
      <c r="H395" s="909" t="inlineStr">
        <is>
          <t>95% nylon, 5% Spandex. • Care instructions: For best results, h and wash with like colors in cold water</t>
        </is>
      </c>
      <c r="I395" s="910" t="inlineStr">
        <is>
          <t>22.8.12, 24.10 Sale, 25DEC 40OFF, 25DEC SALE, Activity_Active/Ballet&amp;Dance, Activity_Active/Dance, Activity_Active/Gym, Activity_Active/Outdoor, Activity_Active/Running, Activity_Active/Yoga, B1 Sports Bra, Category_Active, Category_Active/Sport Bra &amp; Top, Category_Active/Sports Bra, Flexport Stock, HR-CX, LBD23, no-returns, Tariff Final Sale, US Inventory</t>
        </is>
      </c>
      <c r="J395" s="911" t="inlineStr">
        <is>
          <t>neiwai-andrea-jiapei-li-cutout-halter-sports-top</t>
        </is>
      </c>
    </row>
    <row r="396" ht="56" customHeight="1" s="229">
      <c r="A396" s="912" t="inlineStr">
        <is>
          <t>NEIWAI ACTIVE X Andrea Jiapei Li Cutout Short Sleeve T-shirt</t>
        </is>
      </c>
      <c r="B396" s="913" t="inlineStr">
        <is>
          <t>Active</t>
        </is>
      </c>
      <c r="C396" s="914" t="n">
        <v>109</v>
      </c>
      <c r="D396" s="914" t="n">
        <v>65.40000000000001</v>
      </c>
      <c r="E396" s="955" t="inlineStr">
        <is>
          <t>Yes</t>
        </is>
      </c>
      <c r="F396" s="915" t="inlineStr">
        <is>
          <t>Join us in celebrating the feminine figure &amp; freedom of movement with our latest collaboration with Andrea Jiapei Li, a New-York based womenswear designer. The Cutout Short Sleeve T-shirt combines retro-style cutouts with modern tailoring and seams to flatter the figure.</t>
        </is>
      </c>
      <c r="G396" s="916" t="inlineStr">
        <is>
          <t>• Extremely versatile. You can wear it for light exercise, as a stylish base to create a work-leisure outfit, or pair it with any formal bottoms to dress for different occasions! • Features moisture-wicking &amp; UV-proof (UPF 50+) fabric – perfect for those who enjoy both city life and outdoor exploring. Size M is 18.9" in length. • Available in refreshing light green color and stylish iron gray.</t>
        </is>
      </c>
      <c r="H396" s="917" t="inlineStr">
        <is>
          <t>75% nylon, 25% Spandex. • Care instructions: For best results, h and wash with like colors in cold water</t>
        </is>
      </c>
      <c r="I396" s="918" t="inlineStr">
        <is>
          <t>22.8.12, 24.10 Sale, 25DEC 40OFF, 25DEC SALE, Activity_Active/Ballet&amp;Dance, Activity_Active/Dance, Activity_Active/Gym, Activity_Active/Jogging, Activity_Active/Running, Activity_Active/Yoga, Category_Active, Category_Active/Tops, HR-CX, LBD23, no-returns, Tariff Final Sale</t>
        </is>
      </c>
      <c r="J396" s="919" t="inlineStr">
        <is>
          <t>neiwai-andrea-jiapei-li-cutout-short-sleeve-t-shirt</t>
        </is>
      </c>
    </row>
    <row r="397" ht="42" customHeight="1" s="229">
      <c r="A397" s="896" t="inlineStr">
        <is>
          <t>Classic Cozy Pajama Tee</t>
        </is>
      </c>
      <c r="B397" s="897" t="inlineStr">
        <is>
          <t>Loungewear</t>
        </is>
      </c>
      <c r="C397" s="898" t="n">
        <v>65</v>
      </c>
      <c r="D397" s="898" t="n">
        <v>45.5</v>
      </c>
      <c r="E397" s="957" t="inlineStr">
        <is>
          <t>Yes</t>
        </is>
      </c>
      <c r="F397" s="899" t="inlineStr">
        <is>
          <t>Meet our new cozy Pajama Tee- a comfortably relaxed fit that's perfect for sleeping in late. Go ahead, hit the "snooze" button again- perfect for staying home and lounging around.</t>
        </is>
      </c>
      <c r="G397" s="900" t="inlineStr">
        <is>
          <t>• Loose, flexible fit featuring crew neckline, half sleeves, and dropped shoulder seams for a relaxed silhouette. • Made from sustainable, biodegradable carbon-zero TENCEL‚Ñ¢ fibers: all the functional benefits of Modal while contributing to lower carbon emissions. Size M is 23.3" in length. • Features cashmere protein fibers for an enhanced texture: extremely fine and soft to the touch.</t>
        </is>
      </c>
      <c r="H397" s="901" t="inlineStr">
        <is>
          <t>57% modal, 20% acrylic, 18% viscose, 5% Spandex. • Care instructions: For best results, machine wash on gentle cycle. Tumble dry on low heat or hang to dry</t>
        </is>
      </c>
      <c r="I397" s="902" t="inlineStr">
        <is>
          <t>22.8.5, 22FW, 25JulySale, CarbonZero, Category_Lounge, Category_Lounge/Pajamas &amp; Robes, Category_Lounge/Pajamas &amp; Robes/Top, Category_Lounge/Tees&amp;Tanks, Category_Lounge/Tops, Fabric_Lounge/Tencel Modal, Feature_Best Seller, LBD23, no-returns, Spring Palette, Tariff Final Sale</t>
        </is>
      </c>
      <c r="J397" s="903" t="inlineStr">
        <is>
          <t>classic-cozy-pajama-tee</t>
        </is>
      </c>
    </row>
    <row r="398" ht="28" customHeight="1" s="229">
      <c r="A398" s="928" t="inlineStr">
        <is>
          <t>Ruched Collarless Pajama Dress</t>
        </is>
      </c>
      <c r="B398" s="929" t="inlineStr">
        <is>
          <t>Loungewear</t>
        </is>
      </c>
      <c r="C398" s="930" t="n">
        <v>89</v>
      </c>
      <c r="D398" s="930" t="n">
        <v>62.3</v>
      </c>
      <c r="E398" s="936" t="inlineStr">
        <is>
          <t>Yes</t>
        </is>
      </c>
      <c r="F398" s="931" t="inlineStr">
        <is>
          <t>Introducing the ideal pajama dress for relaxing at night, our Ruched Collarless Pajama Dress is tailored in a stylish cut with delicate details.</t>
        </is>
      </c>
      <c r="G398" s="932" t="inlineStr">
        <is>
          <t>• Flexible for all body types with asymmetry design that adds a touch of mystique. • Made from a blend of silky TENCEL‚Ñ¢ Modal &amp; crisp cotton for smooth texture and better breathability. Size M is 35.8" in length.</t>
        </is>
      </c>
      <c r="H398" s="933" t="inlineStr">
        <is>
          <t>54% TENCEL‚Ñ¢ Modal , 46% cotton. • Care instructions: For best results, hand wash with like colors in cold water. Lay flat or hang to dry</t>
        </is>
      </c>
      <c r="I398" s="934" t="inlineStr">
        <is>
          <t>22.7.29, 24JuneSale, Category_Lounge, Category_Lounge/Dress&amp;Jumpsuit, Category_Lounge/Pajamas &amp; Robes, Category_Lounge/Pajamas &amp; Robes/Dress, Collection_Valentine, Fabric_Lounge/Cotton, Fabric_Lounge/Tencel Modal, HR-CX, LBD23, no-returns, Spring Palette, Tariff Final Sale</t>
        </is>
      </c>
      <c r="J398" s="935" t="inlineStr">
        <is>
          <t>ruched-collarless-pajama-dress</t>
        </is>
      </c>
    </row>
    <row r="399" ht="42" customHeight="1" s="229">
      <c r="A399" s="896" t="inlineStr">
        <is>
          <t>Cocoon Pajama Pants</t>
        </is>
      </c>
      <c r="B399" s="897" t="inlineStr">
        <is>
          <t>Loungewear</t>
        </is>
      </c>
      <c r="C399" s="898" t="n">
        <v>55</v>
      </c>
      <c r="D399" s="898" t="n">
        <v>38.5</v>
      </c>
      <c r="E399" s="957" t="inlineStr">
        <is>
          <t>Yes</t>
        </is>
      </c>
      <c r="F399" s="899" t="inlineStr">
        <is>
          <t>Enjoy a lazy afternoon in our Cocoon Pajama Pants: Inspired by "roadside wildflowers at full speed," this stye features exciting accents and delicate details that put comfort first without sacrificing style.</t>
        </is>
      </c>
      <c r="G399" s="900" t="inlineStr">
        <is>
          <t>• Elastic waistband, side pockets, and a comfortable fit for all body types. • Made from a blend of silky TENCEL‚Ñ¢ Modal &amp; crisp cotton for smooth texture and better breathability. Size M is 37.5" in length. • Complete the set with the matching Ruched Collarless Pajama Top!</t>
        </is>
      </c>
      <c r="H399" s="901" t="inlineStr">
        <is>
          <t>54% TENCEL‚Ñ¢ Modal , 46% cotton. • Care instructions: For best results, hand wash with like colors in cold water. Lay flat or hang to dry</t>
        </is>
      </c>
      <c r="I399" s="902" t="inlineStr">
        <is>
          <t>22.7.29, 24JuneSale, Category_Lounge, Category_Lounge/Bottoms, Category_Lounge/Bottoms/Elastic, Category_Lounge/Pajamas &amp; Robes, Category_Lounge/Pajamas &amp; Robes/Bottoms, Category_Lounge/Pants, Collection_Valentine, Fabric_Lounge/Cotton, Fabric_Lounge/Tencel Modal, Flexport Stock, HR-CX, LBD23, no-returns, Spring Palette, US Inventory, US Main</t>
        </is>
      </c>
      <c r="J399" s="903" t="inlineStr">
        <is>
          <t>micro-cocoon-pajama-pant</t>
        </is>
      </c>
    </row>
    <row r="400" ht="42" customHeight="1" s="229">
      <c r="A400" s="928" t="inlineStr">
        <is>
          <t>Ruched Collarless Pajama Top</t>
        </is>
      </c>
      <c r="B400" s="929" t="inlineStr">
        <is>
          <t>Loungewear</t>
        </is>
      </c>
      <c r="C400" s="930" t="n">
        <v>75</v>
      </c>
      <c r="D400" s="930" t="n">
        <v>52.5</v>
      </c>
      <c r="E400" s="936" t="inlineStr">
        <is>
          <t>Yes</t>
        </is>
      </c>
      <c r="F400" s="931" t="inlineStr">
        <is>
          <t>Enjoy a lazy afternoon in our Ruched Collarless Pajama Top: inspired by "roadside wildflowers at full speed," this style features exciting accents and a delicate collarless design ‚Äî comfort first without sacrificing style.</t>
        </is>
      </c>
      <c r="G400" s="932" t="inlineStr">
        <is>
          <t>• Collarless ruched design for a relaxed, oversized fit- flexible for all body types. • Made from a blend of silky TENCEL‚Ñ¢ Modal &amp; crisp cotton for smooth texture and better breathability. Size M is 28.3" in length. • Complete the set with the matching Cocoon Pajama Pants!</t>
        </is>
      </c>
      <c r="H400" s="933" t="inlineStr">
        <is>
          <t>54% TENCEL‚Ñ¢ Modal , 46% cotton. • Care instructions: For best results, hand wash with like colors in cold water. Lay flat or hang to dry</t>
        </is>
      </c>
      <c r="I400" s="934" t="inlineStr">
        <is>
          <t>22.7.29, 24JuneSale, Category_Lounge, Category_Lounge/Pajamas &amp; Robes, Category_Lounge/Pajamas &amp; Robes/Top, Category_Lounge/Tops, Collection_Valentine, Fabric_Lounge/Cotton, Fabric_Lounge/Tencel Modal, Flexport Stock, HR-CX, LBD23, no-returns, Spring Palette, Tariff Final Sale, US Inventory</t>
        </is>
      </c>
      <c r="J400" s="935" t="inlineStr">
        <is>
          <t>ruched-collarless-pajamas</t>
        </is>
      </c>
    </row>
    <row r="401" ht="28" customHeight="1" s="229">
      <c r="A401" s="888" t="inlineStr">
        <is>
          <t>Nude Shape Foundation Bra</t>
        </is>
      </c>
      <c r="B401" s="889" t="inlineStr">
        <is>
          <t>Underwear</t>
        </is>
      </c>
      <c r="C401" s="890" t="n">
        <v>69</v>
      </c>
      <c r="D401" s="890" t="n">
        <v>69</v>
      </c>
      <c r="E401" s="889" t="inlineStr"/>
      <c r="F401" s="891" t="inlineStr">
        <is>
          <t>Our Nude Shape Foundation Bra is the ultimate bra for elevated daily comfort. This bra features molded cups, providing a gentle lift and seamless fit.</t>
        </is>
      </c>
      <c r="G401" s="892" t="inlineStr">
        <is>
          <t>• Made from a skin-friendly, flexible blend of Spandex and nylon. • Versatile plunge neckline fits any wardrobe. • Complete the set with matching Nude Shape Mid Waist Brief 2.0.</t>
        </is>
      </c>
      <c r="H401" s="893" t="inlineStr">
        <is>
          <t>75% nylon, 25% Spandex. • Care instructions: For best results, hand wash with a light detergent in cold water</t>
        </is>
      </c>
      <c r="I401" s="894" t="inlineStr">
        <is>
          <t>22.7.29, Band + Cup Bra, Category_Bras/Everyday, Category_Bras/Medium Support, Category_Bras/Plunge, Category_Underwear, Category_Underwear/Tops, Category_Underwear/Tops/Wireless Bra, Category_Underwear/Tops/Wireless Bra/Push-Up, Feature_Best Seller, Flexport Stock, LBD23, pink collection, US Inventory, US Main</t>
        </is>
      </c>
      <c r="J401" s="895" t="inlineStr">
        <is>
          <t>nude-shape-contour-bra</t>
        </is>
      </c>
    </row>
    <row r="402" ht="42" customHeight="1" s="229">
      <c r="A402" s="880" t="inlineStr">
        <is>
          <t>Core Seamless Sport Thong</t>
        </is>
      </c>
      <c r="B402" s="881" t="inlineStr">
        <is>
          <t>Underwear</t>
        </is>
      </c>
      <c r="C402" s="882" t="n">
        <v>25</v>
      </c>
      <c r="D402" s="882" t="n">
        <v>25</v>
      </c>
      <c r="E402" s="881" t="inlineStr"/>
      <c r="F402" s="883" t="inlineStr">
        <is>
          <t>Completely invisible, breathable, and light as air, our Core Seamless Sport Thong offers a luxe, barely-there feel thanks to a raw-edge finish &amp; ultra-soft, second-skin fabric that moves with you on and off the mat.</t>
        </is>
      </c>
      <c r="G402" s="884" t="inlineStr">
        <is>
          <t>• The ultimate comfortable thong that sits right at your natural waist. • Completely invisible under even the tightest leggings or biker shorts. • Soft and smooth, lies effortlessly flat against your skin.</t>
        </is>
      </c>
      <c r="H402" s="885" t="inlineStr">
        <is>
          <t>Shell: 60% nylon, 40% Spandex. Lining: 100% Cotton • Care instructions: For best results, hand wash with a light detergent in cold water</t>
        </is>
      </c>
      <c r="I402" s="886" t="inlineStr">
        <is>
          <t>22.8.5, 22FW, Category_Active, Category_Active/Core, Category_Underwear, Category_Underwear/Bottoms, Category_Underwear/Bottoms/Panties, Category_Underwear/Bottoms/Panties/Thongs, feedonomics_exclude, hide-bis, HR-CX, LBD23, XS - XL Brief</t>
        </is>
      </c>
      <c r="J402" s="887" t="inlineStr">
        <is>
          <t>core-seamless-sport-thong</t>
        </is>
      </c>
    </row>
    <row r="403" ht="28" customHeight="1" s="229">
      <c r="A403" s="888" t="inlineStr">
        <is>
          <t>Core Seamless Sport Boxer Brief</t>
        </is>
      </c>
      <c r="B403" s="889" t="inlineStr">
        <is>
          <t>Underwear</t>
        </is>
      </c>
      <c r="C403" s="890" t="n">
        <v>25</v>
      </c>
      <c r="D403" s="890" t="n">
        <v>25</v>
      </c>
      <c r="E403" s="889" t="inlineStr"/>
      <c r="F403" s="891" t="inlineStr">
        <is>
          <t>Our Core Seamless Sport Boxer Brief features seamless construction that fits effortlessly underneath leggings.</t>
        </is>
      </c>
      <c r="G403" s="892" t="inlineStr">
        <is>
          <t>• Mid rise, full coverage. • Soft and smooth, designed to effortlessly lie flat against your skin. • Completely invisible under leggings and fitted bottoms.</t>
        </is>
      </c>
      <c r="H403" s="893" t="inlineStr">
        <is>
          <t>Shell: 60% nylon, 40% Spandex. Lining: 100% Cotton • Care instructions: For best results, hand wash with a light detergent in cold water</t>
        </is>
      </c>
      <c r="I403" s="894" t="inlineStr">
        <is>
          <t>22.8.5, 22FW, Category_Active, Category_Active/Core, Category_Underwear, Category_Underwear/Bottoms, Category_Underwear/Bottoms/Panties, hide-bis, HR-CX, LBD23, Tariff Final Sale, XS - XL Brief</t>
        </is>
      </c>
      <c r="J403" s="895" t="inlineStr">
        <is>
          <t>core-seamless-sport-boxer-brief</t>
        </is>
      </c>
    </row>
    <row r="404" ht="42" customHeight="1" s="229">
      <c r="A404" s="896" t="inlineStr">
        <is>
          <t>Half Sleeve Merino Wool Sweater</t>
        </is>
      </c>
      <c r="B404" s="897" t="inlineStr">
        <is>
          <t>Loungewear</t>
        </is>
      </c>
      <c r="C404" s="898" t="n">
        <v>129</v>
      </c>
      <c r="D404" s="898" t="n">
        <v>90.3</v>
      </c>
      <c r="E404" s="957" t="inlineStr">
        <is>
          <t>Yes</t>
        </is>
      </c>
      <c r="F404" s="899" t="inlineStr">
        <is>
          <t>Don't think twice, just toss this on for instant, effortless style! Our Half Sleeve Sweater is knit from irresistibly soft lightweight wool, making it the perfect top and layering piece.</t>
        </is>
      </c>
      <c r="G404" s="900" t="inlineStr">
        <is>
          <t>• Made from Merino wool – naturally warm and breathable with a glossy sheen. • A stylish fine-knit top featuring an elegant mock neck • Half sleeves hit right at the elbow for a super flattering cut. • Tailored for a streamlined fit for easy layering. Size M is 22.8" in length.</t>
        </is>
      </c>
      <c r="H404" s="901" t="inlineStr">
        <is>
          <t>100% wool • Care instructions: Professional dry cleaning recommended</t>
        </is>
      </c>
      <c r="I404" s="902" t="inlineStr">
        <is>
          <t>22.8.5, 22FW, 24.10 Sale, Category_Lounge, Category_Lounge/Knitwear, Category_Lounge/Tops, Fabric_Lounge/Cashmere &amp; Wool, HR-CX, LBD23, no-returns, Outerwear, Tariff Final Sale</t>
        </is>
      </c>
      <c r="J404" s="903" t="inlineStr">
        <is>
          <t>half-sleeve-merino-wool-sweater</t>
        </is>
      </c>
    </row>
    <row r="405" ht="42" customHeight="1" s="229">
      <c r="A405" s="975" t="inlineStr">
        <is>
          <t>Barely Zero Fixed Cup Curve Bra Trio</t>
        </is>
      </c>
      <c r="B405" s="976" t="inlineStr">
        <is>
          <t>Bundle3</t>
        </is>
      </c>
      <c r="C405" s="977" t="n">
        <v>49</v>
      </c>
      <c r="D405" s="977" t="n">
        <v>39.5</v>
      </c>
      <c r="E405" s="978" t="inlineStr">
        <is>
          <t>Yes</t>
        </is>
      </c>
      <c r="F405" s="979" t="inlineStr">
        <is>
          <t>Enjoy unbelievable wireless support and comfort in the Barely Zero Fixed Cup Curve Bra. No wires, no lines, all comfort ‚Äî making it a great option for everyday wear, light workouts, or even a nursing bra.</t>
        </is>
      </c>
      <c r="G405" s="980" t="inlineStr">
        <is>
          <t>• Fixed cups: no more worrying about shifting bra cups . • Designed for up to D cup sizes. • A djustable wider straps &amp; four-hook closure for a customized fit. • Made from CloudFit: a soft, ultra-elastic blend that's breathable &amp; moisture-wicking for all-day skin comfort.</t>
        </is>
      </c>
      <c r="H405" s="981" t="inlineStr">
        <is>
          <t>69% CloudFit nylon blend, 31% Spandex</t>
        </is>
      </c>
      <c r="I405" s="982" t="inlineStr">
        <is>
          <t>Bundle Collection, BZ Fixed Cup Curve Size Bra, C1 Size Bra, Category_Bras/Everyday, Category_Bras/High Support, Category_Underwear, Category_Underwear/Tops, Category_Underwear/Tops/Wireless Bra, Category_Underwear/Tops/Wireless Bra/Seamless, Collection_Barely Zero, Collection_Barely Zero/Bras, Memorial Day Bundle Price Update, pink collection, Priority Products, Sized BZ Bras</t>
        </is>
      </c>
      <c r="J405" s="983" t="inlineStr">
        <is>
          <t>barely-zero-fixed-cup-curve-bra-trio</t>
        </is>
      </c>
    </row>
    <row r="406" ht="42" customHeight="1" s="229">
      <c r="A406" s="975" t="inlineStr">
        <is>
          <t>Barely Zero Fixed Cup Curve Bra Bundle</t>
        </is>
      </c>
      <c r="B406" s="976" t="inlineStr">
        <is>
          <t>Bundle</t>
        </is>
      </c>
      <c r="C406" s="977" t="n">
        <v>49</v>
      </c>
      <c r="D406" s="977" t="n">
        <v>44.25</v>
      </c>
      <c r="E406" s="978" t="inlineStr">
        <is>
          <t>Yes</t>
        </is>
      </c>
      <c r="F406" s="979" t="inlineStr">
        <is>
          <t>Enjoy unbelievable wireless support and comfort in the Barely Zero Fixed Cup Curve Bra. No wires, no lines, all comfort ‚Äî making it a great option for everyday wear, light workouts, or even a nursing bra.</t>
        </is>
      </c>
      <c r="G406" s="980" t="inlineStr">
        <is>
          <t>• Fixed cups: no more worrying about shifting bra cups . • Designed for up to D cup sizes. • A djustable wider straps &amp; four-hook closure for a customized fit. • Made from CloudFit: a soft, ultra-elastic blend that's breathable &amp; moisture-wicking for all-day skin comfort.</t>
        </is>
      </c>
      <c r="H406" s="981" t="inlineStr">
        <is>
          <t>69% CloudFit nylon blend, 31% Spandex</t>
        </is>
      </c>
      <c r="I406" s="982" t="inlineStr">
        <is>
          <t>Bundle Collection, BZ Fixed Cup Curve Size Bra, C1 Size Bra, Category_Bras/Everyday, Category_Bras/High Support, Category_Bras/Medium Support, Category_Underwear, Category_Underwear/Tops, Category_Underwear/Tops/Wireless Bra, Collection_Barely Zero, Collection_Barely Zero/Bras, Memorial Day Bundle Price Update, pink collection, Priority Products, Sized BZ Bras</t>
        </is>
      </c>
      <c r="J406" s="983" t="inlineStr">
        <is>
          <t>barely-zero-fixed-cup-curve-bra-bundle</t>
        </is>
      </c>
    </row>
    <row r="407" ht="28" customHeight="1" s="229">
      <c r="A407" s="938" t="inlineStr">
        <is>
          <t>Men's Basic Long Sleeved T-shirt</t>
        </is>
      </c>
      <c r="B407" s="939" t="inlineStr">
        <is>
          <t>Men</t>
        </is>
      </c>
      <c r="C407" s="940" t="n">
        <v>59</v>
      </c>
      <c r="D407" s="940" t="n">
        <v>41.3</v>
      </c>
      <c r="E407" s="941" t="inlineStr">
        <is>
          <t>Yes</t>
        </is>
      </c>
      <c r="F407" s="942" t="inlineStr">
        <is>
          <t>Ready for cooler weather? Stay warm and cozy in our Basic Long Sleeved T-Shirt, a versatile top that offers superb comfort and style.</t>
        </is>
      </c>
      <c r="G407" s="943" t="inlineStr">
        <is>
          <t>• Long sleeved, crewneck, finely woven for a smooth texture and durability. • A wardrobe staple equally perfect on its own or worn as an undershirt. Size M is 27.5" in length. • Made from 100% top-quality cotton ‚Äî lightweight, soft, and breathable.</t>
        </is>
      </c>
      <c r="H407" s="944" t="inlineStr">
        <is>
          <t>100% cotton. • Care instructions: Hand or machine wash and air dry</t>
        </is>
      </c>
      <c r="I407" s="945" t="inlineStr">
        <is>
          <t>22.7.22, 22FW, 24.10 Sale, Category_Men, Category_Men/Pajams, Category_Men/Tops, Collection_Valentine, HR-CX, LBD23, no-returns, Tariff Final Sale</t>
        </is>
      </c>
      <c r="J407" s="946" t="inlineStr">
        <is>
          <t>mens-basic-long-sleeved-t-shirt</t>
        </is>
      </c>
    </row>
    <row r="408" ht="28" customHeight="1" s="229">
      <c r="A408" s="958" t="inlineStr">
        <is>
          <t>Men's Basic Short Sleeved T-Shirt</t>
        </is>
      </c>
      <c r="B408" s="959" t="inlineStr">
        <is>
          <t>Men</t>
        </is>
      </c>
      <c r="C408" s="960" t="n">
        <v>49</v>
      </c>
      <c r="D408" s="960" t="n">
        <v>34.3</v>
      </c>
      <c r="E408" s="984" t="inlineStr">
        <is>
          <t>Yes</t>
        </is>
      </c>
      <c r="F408" s="961" t="inlineStr">
        <is>
          <t>Lounge around or hit the town with our versatile Basic Short Sleeved T-Shirt, our take on a timeless classic with the perfect balance of polish and ease.</t>
        </is>
      </c>
      <c r="G408" s="962" t="inlineStr">
        <is>
          <t>• Short-sleeved, crewneck, finely woven for a smooth texture and durability. S ize M is 28.9" in length. • A wardrobe staple equally perfect on its own or worn as an undershirt. • Made from 100% top-quality cotton: lightweight, soft, and breathable.</t>
        </is>
      </c>
      <c r="H408" s="963" t="inlineStr">
        <is>
          <t>100% cotton. • Care instructions: Hand or machine wash and air dry recommended</t>
        </is>
      </c>
      <c r="I408" s="964" t="inlineStr">
        <is>
          <t>22.7.22, 22FW, 24.10 Sale, Category_Men, Category_Men/Pajams, Category_Men/Tops, Collection_Valentine, HR-CX, LBD23, no-returns, Tariff Final Sale</t>
        </is>
      </c>
      <c r="J408" s="965" t="inlineStr">
        <is>
          <t>mens-basic-short-sleeved-t-shirt</t>
        </is>
      </c>
    </row>
    <row r="409" ht="42" customHeight="1" s="229">
      <c r="A409" s="880" t="inlineStr">
        <is>
          <t>Twin Cross Mesh Bra</t>
        </is>
      </c>
      <c r="B409" s="881" t="inlineStr">
        <is>
          <t>Underwear</t>
        </is>
      </c>
      <c r="C409" s="882" t="n">
        <v>69</v>
      </c>
      <c r="D409" s="882" t="n">
        <v>41.4</v>
      </c>
      <c r="E409" s="937" t="inlineStr">
        <is>
          <t>Yes</t>
        </is>
      </c>
      <c r="F409" s="883" t="inlineStr">
        <is>
          <t>Find beauty and grace in the elegant style of our Twin Cross Mesh Bra. Made from refined Italian fabrics, this luxurious bra is designed to provide wire-free lift and support. This item is FINAL SALE and cannot be returned or exchanged.</t>
        </is>
      </c>
      <c r="G409" s="884" t="inlineStr">
        <is>
          <t>• ¬æ cup for moderate coverage. • Features delicate mesh panel and keyhole design for improved ventilation. • Designed with a patented Japanese cross-layer design for added lift.</t>
        </is>
      </c>
      <c r="H409" s="885" t="inlineStr">
        <is>
          <t>65% nylon, 35% Spandex. • Care instructions: For best results, hand wash with a light detergent in cold water</t>
        </is>
      </c>
      <c r="I409" s="886" t="inlineStr">
        <is>
          <t>22.7.29, 25Jan Sale, 25JulySale, Band + Cup Bra, Category_Bras/High Support, Category_Underwear, Category_Underwear/Tops, Category_Underwear/Tops/Wireless Bra, Category_Underwear/Tops/Wireless Bra/Soft-Cup, Collection_Twin Cross, Flexport Stock, HR-CX, LBD23, no-returns, Sale, Tariff Final Sale, US Inventory</t>
        </is>
      </c>
      <c r="J409" s="887" t="inlineStr">
        <is>
          <t>twin-cross-mesh-bra</t>
        </is>
      </c>
    </row>
    <row r="410" ht="42" customHeight="1" s="229">
      <c r="A410" s="928" t="inlineStr">
        <is>
          <t>Boat Neck Merino Wool Sweater</t>
        </is>
      </c>
      <c r="B410" s="929" t="inlineStr">
        <is>
          <t>Loungewear</t>
        </is>
      </c>
      <c r="C410" s="930" t="n">
        <v>149</v>
      </c>
      <c r="D410" s="930" t="n">
        <v>104.3</v>
      </c>
      <c r="E410" s="936" t="inlineStr">
        <is>
          <t>Yes</t>
        </is>
      </c>
      <c r="F410" s="931" t="inlineStr">
        <is>
          <t>Level up your basics with this elegant Boat Neck Sweater. Made from luxurious 100% Merino wool, this sweater features a subtle jacquard pattern that elevates every look.</t>
        </is>
      </c>
      <c r="G410" s="932" t="inlineStr">
        <is>
          <t>• Relaxed cut with boat neck design to show off your collar bone. • Made from Merino wool – naturally warm and breathable with a glossy sheen. • Versatile hem can be tucked into bottoms and worn loose. Size M is 22.4" in length.</t>
        </is>
      </c>
      <c r="H410" s="933" t="inlineStr">
        <is>
          <t>100% Merino wool • Care instructions: Professional dry cleaning recommended</t>
        </is>
      </c>
      <c r="I410" s="934" t="inlineStr">
        <is>
          <t>22.8.5, 22FW, 25JulySale, Category_Lounge, Category_Lounge/Knitwear, Category_Lounge/Tops, Fabric_Lounge/Cashmere &amp; Wool, LBD23, no-returns, Tariff Final Sale</t>
        </is>
      </c>
      <c r="J410" s="935" t="inlineStr">
        <is>
          <t>boat-neck-merino-wool-sweater</t>
        </is>
      </c>
    </row>
    <row r="411" ht="56" customHeight="1" s="229">
      <c r="A411" s="888" t="inlineStr">
        <is>
          <t>Thin¬†Strap¬†Low¬†Waist¬†Brief</t>
        </is>
      </c>
      <c r="B411" s="889" t="inlineStr">
        <is>
          <t>Underwear</t>
        </is>
      </c>
      <c r="C411" s="890" t="n">
        <v>39</v>
      </c>
      <c r="D411" s="890" t="n">
        <v>23.4</v>
      </c>
      <c r="E411" s="985" t="inlineStr">
        <is>
          <t>Yes</t>
        </is>
      </c>
      <c r="F411" s="891" t="inlineStr">
        <is>
          <t>Tailored in luxurious German fabric, our Thin Strap Low Waist Brief is a confidence-boosting style with contemporary comfort. Features a unique crossover design that adds to the modern aesthetic of this look. This item is FINAL SALE and cannot be returned or exchanged.</t>
        </is>
      </c>
      <c r="G411" s="892" t="inlineStr">
        <is>
          <t>• L ow-waist cut, cheeky bottom coverage. • A brilliant mix of contemporary comfort and elegance, perfect as an everyday brief but also well-suited for special occasions. • Complete the set with the Lightweight Unpadded Triangle Bra.</t>
        </is>
      </c>
      <c r="H411" s="893" t="inlineStr">
        <is>
          <t>89% nylon, 11% Spandex; 100% cotton lining. • Care instructions: For best results, hand wash in cold water with a neutral detergent separately from other garments</t>
        </is>
      </c>
      <c r="I411" s="894" t="inlineStr">
        <is>
          <t>2023 BTS Sale, 22.7.22, 22SS, 23 May Sale, Category_Underwear, Category_Underwear/Bottoms, Category_Underwear/Bottoms/Panties, Category_Underwear/Bottoms/Panties/Low Waist, Collection_Valentine, hide-bis, HR-CX, LBD23, no-returns, Sale, XS - XL Brief</t>
        </is>
      </c>
      <c r="J411" s="895" t="inlineStr">
        <is>
          <t>thin-strap-low-waist-brief</t>
        </is>
      </c>
    </row>
    <row r="412" ht="56" customHeight="1" s="229">
      <c r="A412" s="880" t="inlineStr">
        <is>
          <t>Crossover Low Waist Brief</t>
        </is>
      </c>
      <c r="B412" s="881" t="inlineStr">
        <is>
          <t>Underwear</t>
        </is>
      </c>
      <c r="C412" s="882" t="n">
        <v>39</v>
      </c>
      <c r="D412" s="882" t="n">
        <v>23.4</v>
      </c>
      <c r="E412" s="937" t="inlineStr">
        <is>
          <t>Yes</t>
        </is>
      </c>
      <c r="F412" s="883" t="inlineStr">
        <is>
          <t>Refresh your underwear drawer with the Crossover Low Waist Brief: tailored from imported German fabrics, this elegant brief provides breathable coverage. A front crossover design and contrast color lining add an exciting flair to this refined look. This item is FINAL SALE and cannot be returned or exchanged.</t>
        </is>
      </c>
      <c r="G412" s="884" t="inlineStr">
        <is>
          <t>• Low waist cut, medium bottom coverage. • Light color with improved ventilation. • Complete the set with the Lightweight Cross Triangle Cup Bra.</t>
        </is>
      </c>
      <c r="H412" s="885" t="inlineStr">
        <is>
          <t>89% nylon, 11% Spandex; 100% cotton lining. • Care instructions: For best results, hand wash in cold water with a neutral detergent separately from other garments</t>
        </is>
      </c>
      <c r="I412" s="886" t="inlineStr">
        <is>
          <t>2023 BTS Sale, 22.7.22, 22SS, 23 May Sale, Category_Underwear, Category_Underwear/Bottoms, Category_Underwear/Bottoms/Panties, Category_Underwear/Bottoms/Panties/Low Waist, hide-bis, HR-CX, LBD23, no-returns, Sale, XS - XL Brief</t>
        </is>
      </c>
      <c r="J412" s="887" t="inlineStr">
        <is>
          <t>crossover-low-waist-brief</t>
        </is>
      </c>
    </row>
    <row r="413" ht="42" customHeight="1" s="229">
      <c r="A413" s="888" t="inlineStr">
        <is>
          <t>Lightweight Unpadded¬†Triangle Bra</t>
        </is>
      </c>
      <c r="B413" s="889" t="inlineStr">
        <is>
          <t>Underwear</t>
        </is>
      </c>
      <c r="C413" s="890" t="n">
        <v>79</v>
      </c>
      <c r="D413" s="890" t="n">
        <v>47.4</v>
      </c>
      <c r="E413" s="985" t="inlineStr">
        <is>
          <t>Yes</t>
        </is>
      </c>
      <c r="F413" s="891" t="inlineStr">
        <is>
          <t>Tailored from German fabric, this Lightweight Unpadded Triangle Bra offers light support and breathability with a subtle mesh texture at the front and thin straps at the back.</t>
        </is>
      </c>
      <c r="G413" s="892" t="inlineStr">
        <is>
          <t>• Unpadded bralette style triangle bra. Best fit for AA-B cup sizes. • Features adjustable thin straps and back clasp closure. • Complete the set with the Thin Strap Low Waist Brief.</t>
        </is>
      </c>
      <c r="H413" s="893" t="inlineStr">
        <is>
          <t>89% nylon, 11% Spandex. • Care instructions: Machine wash on gentle cycle or hand wash in cold water, lay flat to dry</t>
        </is>
      </c>
      <c r="I413" s="894" t="inlineStr">
        <is>
          <t>22.7.22, 22SS, 23SS A3 Size Bra, 24JuneSale, Category_Bras/Bralettes, Category_Bras/Light Support, Category_Bras/Plunge, Category_Underwear, Category_Underwear/Tops, Category_Underwear/Tops/Wireless Bra, Category_Underwear/Tops/Wireless Bra/Triangle, Collection_Valentine, HR-CX, LBD23, no-returns, Tariff Final Sale, US Inventory</t>
        </is>
      </c>
      <c r="J413" s="895" t="inlineStr">
        <is>
          <t>lightweight-triangle-bra</t>
        </is>
      </c>
    </row>
    <row r="414" ht="42" customHeight="1" s="229">
      <c r="A414" s="880" t="inlineStr">
        <is>
          <t>Lightweight Crossover Triangle Bra</t>
        </is>
      </c>
      <c r="B414" s="881" t="inlineStr">
        <is>
          <t>Underwear</t>
        </is>
      </c>
      <c r="C414" s="882" t="n">
        <v>79</v>
      </c>
      <c r="D414" s="882" t="n">
        <v>55.3</v>
      </c>
      <c r="E414" s="937" t="inlineStr">
        <is>
          <t>Yes</t>
        </is>
      </c>
      <c r="F414" s="883" t="inlineStr">
        <is>
          <t>Refresh your underwear drawer with the Lightweight Cross Triangle Cup Bra: tailored from German fabric, this bra offers light support and breathability. Features a crossover design that add an exciting flair to this refined look.</t>
        </is>
      </c>
      <c r="G414" s="884" t="inlineStr">
        <is>
          <t>• T riangle bra. Best suited for AA-B cup sizes. • Light color with soft cup lining for improved ventilation. • Complete the set with the Crossover Low Waist Brief.</t>
        </is>
      </c>
      <c r="H414" s="885" t="inlineStr">
        <is>
          <t>89% nylon, 11% Spandex. • Care instructions: Machine wash on gentle cycle or hand wash in cold water, lay flat to dry</t>
        </is>
      </c>
      <c r="I414" s="886" t="inlineStr">
        <is>
          <t>22.7.22, 22SS, 23SS A3 Size Bra, 24JuneSale, Category_Bras/Bralettes, Category_Bras/Light Support, Category_Bras/Plunge, Category_Underwear, Category_Underwear/Tops, Category_Underwear/Tops/Wireless Bra, Flexport Stock, HR-CX, LBD23, no-returns</t>
        </is>
      </c>
      <c r="J414" s="887" t="inlineStr">
        <is>
          <t>lightweight-crossover-triangle-bra</t>
        </is>
      </c>
    </row>
    <row r="415" ht="28" customHeight="1" s="229">
      <c r="A415" s="888" t="inlineStr">
        <is>
          <t>Pantie Pro Overnight Mid Waist Period Brief</t>
        </is>
      </c>
      <c r="B415" s="889" t="inlineStr">
        <is>
          <t>Underwear</t>
        </is>
      </c>
      <c r="C415" s="890" t="n">
        <v>39</v>
      </c>
      <c r="D415" s="890" t="n">
        <v>39</v>
      </c>
      <c r="E415" s="889" t="inlineStr"/>
      <c r="F415" s="891" t="inlineStr">
        <is>
          <t>PANTIE Pro offers secure absorbency during your period and beyond. This version features a four-layer structure for excellent absorption and comfort.</t>
        </is>
      </c>
      <c r="G415" s="892" t="inlineStr">
        <is>
          <t>• Mid-waist cut for moderate coverage with thinner linings for better comfort. • Maximum absorbency of 55 mL of fluid (approximately 5 regular tampons). Designed to keep you protected on heavy-flow days and all night long. • Includes a quick-drying inner layer, a highly-absorbent leakproof middle layer, a third layer of absorbent material for improved protection, and a waterproof exterior. Turbodry TM lining wicks moisture 3x faster. • Features Persbond‚Ñ¢ finish for a seamless edge &amp; added breathability.</t>
        </is>
      </c>
      <c r="H415" s="893" t="inlineStr">
        <is>
          <t>Shell: 92% cotton, 8% Spandex. Lining: 90% Polyester, 10% Spandex. Middle Layer: 100% Polyester. Back Layer: 73% Polyamide 27% Spandex • Care instructions: Hand or machine wash and dry according to instructions on the care label using a mild laundry detergent</t>
        </is>
      </c>
      <c r="I415" s="894" t="inlineStr">
        <is>
          <t>22.7.22, 22SS, Category_Bras/Nursing, Category_Lingerie/Brief/Mid Waist, Category_Underwear, Category_Underwear/Bottoms, Category_Underwear/Bottoms/Panties, Category_Underwear/Bottoms/Panties/Mid Waist, Fabric_Underwear/Cotton, Fabric_Underwear/Pantie Pro, Feature_Best Seller, HR-CX, LBD23, Tariff Final Sale, XS - XL Brief</t>
        </is>
      </c>
      <c r="J415" s="895" t="inlineStr">
        <is>
          <t>pantie-pro-overnight-mid-waist-period-brief</t>
        </is>
      </c>
    </row>
    <row r="416" ht="28" customHeight="1" s="229">
      <c r="A416" s="880" t="inlineStr">
        <is>
          <t>Pantie Pro Light Mid Waist Period Brief</t>
        </is>
      </c>
      <c r="B416" s="881" t="inlineStr">
        <is>
          <t>Underwear</t>
        </is>
      </c>
      <c r="C416" s="882" t="n">
        <v>35</v>
      </c>
      <c r="D416" s="882" t="n">
        <v>35</v>
      </c>
      <c r="E416" s="881" t="inlineStr"/>
      <c r="F416" s="883" t="inlineStr">
        <is>
          <t>PANTIE Pro offers secure absorbency during your period and beyond. This version features a four-layer structure for excellent absorption and comfort.</t>
        </is>
      </c>
      <c r="G416" s="884" t="inlineStr">
        <is>
          <t>• Mid-waist cut for moderate coverage with thinner design for better comfort. • Maximum absorbency of 20 mL (approximately 3 regular tampons). Doubles as protection from slight bladder leaks. • Includes a quick-drying inner layer, a highly-absorbent leakproof middle layer, a third layer of absorbent material for improved protection, and a waterproof exterior. Turbodry TM lining wicks moisture 3x faster. • Features Persbond‚Ñ¢ finish for a seamless edge &amp; added breathability.</t>
        </is>
      </c>
      <c r="H416" s="885" t="inlineStr">
        <is>
          <t>Shell: 92% cotton, 8% Spandex. Lining: 90%Polyester, 10% Spandex. Middle Layer: 100% Polyester. Back Layer: 73% Polyamide 27% Spandex • Care instructions: Hand or machine wash and dry according to instructions on the care label using a mild laundry detergent</t>
        </is>
      </c>
      <c r="I416" s="886" t="inlineStr">
        <is>
          <t>22.7.22, 22SS, Category_Bras/Nursing, Category_Lingerie/Brief/Mid Waist, Category_Underwear, Category_Underwear/Bottoms, Category_Underwear/Bottoms/Panties, Category_Underwear/Bottoms/Panties/Mid Waist, Fabric_Underwear/Pantie Pro, HR-CX, LBD23, Tariff Final Sale, XS - XL Brief</t>
        </is>
      </c>
      <c r="J416" s="887" t="inlineStr">
        <is>
          <t>pantie-pro-light-mid-waist-brief</t>
        </is>
      </c>
    </row>
    <row r="417" ht="42" customHeight="1" s="229">
      <c r="A417" s="888" t="inlineStr">
        <is>
          <t>Barely Zero Fixed Cup Curve Bra</t>
        </is>
      </c>
      <c r="B417" s="889" t="inlineStr">
        <is>
          <t>Underwear</t>
        </is>
      </c>
      <c r="C417" s="890" t="n">
        <v>49</v>
      </c>
      <c r="D417" s="890" t="n">
        <v>49</v>
      </c>
      <c r="E417" s="889" t="inlineStr"/>
      <c r="F417" s="891" t="inlineStr">
        <is>
          <t>Enjoy unbelievable wireless support and comfort in the Barely Zero Fixed Cup Curve Bra. No wires, no lines, all comfort ‚Äî making it a great option for everyday wear, light workouts, or even a nursing bra.</t>
        </is>
      </c>
      <c r="G417" s="892" t="inlineStr">
        <is>
          <t>• Fixed cups: no more worrying about shifting bra cups . • Designed for up to D cup sizes. • A djustable wider straps &amp; four-hook closure for a customized fit. • Made from CloudFit: a soft, ultra-elastic blend that's breathable &amp; moisture-wicking for all-day skin comfort.</t>
        </is>
      </c>
      <c r="H417" s="893" t="inlineStr">
        <is>
          <t>69% CloudFit nylon blend, 31% Spandex</t>
        </is>
      </c>
      <c r="I417" s="894" t="inlineStr">
        <is>
          <t>22.7.29, 22SS, BZ Curve Bra, BZ Fixed Cup Curve Size Bra, C1 Size Bra, Category_Bras/Everyday, Category_Bras/High Support, Category_Underwear, Category_Underwear/Tops, Category_Underwear/Tops/Wireless Bra, Collection_Barely Zero, Feature_Best Seller, Flexport Stock, LBD23, pink collection, Priority Products, Sized BZ Bras, US Inventory, US Main</t>
        </is>
      </c>
      <c r="J417" s="895" t="inlineStr">
        <is>
          <t>barely-zero-fixed-cup-curve-bra</t>
        </is>
      </c>
    </row>
    <row r="418" ht="42" customHeight="1" s="229">
      <c r="A418" s="938" t="inlineStr">
        <is>
          <t>Men‚Äôs Cotton Boxer Brief</t>
        </is>
      </c>
      <c r="B418" s="939" t="inlineStr">
        <is>
          <t>Men</t>
        </is>
      </c>
      <c r="C418" s="940" t="n">
        <v>19</v>
      </c>
      <c r="D418" s="940" t="n">
        <v>13.3</v>
      </c>
      <c r="E418" s="941" t="inlineStr">
        <is>
          <t>Yes</t>
        </is>
      </c>
      <c r="F418" s="942" t="inlineStr">
        <is>
          <t>Our best-selling boxer brief is now available in cotton. The Men's Cotton Boxer Brief is designed to maximize comfort with soft and breathable cotton and provide a secure fit.</t>
        </is>
      </c>
      <c r="G418" s="943" t="inlineStr">
        <is>
          <t>• Crafted from soft cotton for long-lasting comfort. • Available in multiple colors suited for different moods and styles. • S turdy comfort waistband prevents rolling and digging throughout the day.</t>
        </is>
      </c>
      <c r="H418" s="944" t="inlineStr">
        <is>
          <t>91% cotton, 9% Spandex. • Care instructions: Machine wash in cold water. Air drying is recommended</t>
        </is>
      </c>
      <c r="I418" s="945" t="inlineStr">
        <is>
          <t>22.7.15, 22FW, 22SS 7.15, 24.10 Sale, Bundle Collection, Category_Men, Category_Men/Underwear, Collection_Valentine, HR-CX, LBD23, no-returns, Tariff Final Sale</t>
        </is>
      </c>
      <c r="J418" s="946" t="inlineStr">
        <is>
          <t>60s-cotton-brief</t>
        </is>
      </c>
    </row>
    <row r="419" ht="28" customHeight="1" s="229">
      <c r="A419" s="880" t="inlineStr">
        <is>
          <t>Pantie Pro Light Low Waist Period Brief</t>
        </is>
      </c>
      <c r="B419" s="881" t="inlineStr">
        <is>
          <t>Underwear</t>
        </is>
      </c>
      <c r="C419" s="882" t="n">
        <v>29</v>
      </c>
      <c r="D419" s="882" t="n">
        <v>29</v>
      </c>
      <c r="E419" s="881" t="inlineStr"/>
      <c r="F419" s="883" t="inlineStr">
        <is>
          <t>PANTIE Pro offers secure absorbency during your period and beyond. This version features a four-layer structure for excellent absorption and comfort.</t>
        </is>
      </c>
      <c r="G419" s="884" t="inlineStr">
        <is>
          <t>• Low-waist cut with thinner lining for better comfort. • Maximum absorbency of 15 mL of fluid (approximately 2 regular tampons). Best for exercise, light-flow days, and as backup protection. • Includes a quick-drying inner layer, a highly-absorbent leakproof middle layer, a third layer of absorbent material for improved protection, and a waterproof exterior. Turbodry TM lining wicks moisture 3x faster. • Features Persbond‚Ñ¢ finish for a seamless edge &amp; added breathability.</t>
        </is>
      </c>
      <c r="H419" s="885" t="inlineStr">
        <is>
          <t>Shell: 75% nylon, 25% Spandex. Lining: 90%Polyester, 10% Spandex. Middle Layer: 100% Polyester. Back Layer: 73% Polyamide 27% Spandex • Care instructions: Hand or machine wash and dry according to instructions on the care label using a mild laundry detergent</t>
        </is>
      </c>
      <c r="I419" s="886" t="inlineStr">
        <is>
          <t>22.7.22, 22SS, Category_Bras/Nursing, Category_Underwear, Category_Underwear/Bottoms, Category_Underwear/Bottoms/Panties, Category_Underwear/Bottoms/Panties/Low Waist, Fabric_Underwear/Lycra, Fabric_Underwear/Pantie Pro, HR-CX, LBD23, Tariff Final Sale, XS - XL Brief</t>
        </is>
      </c>
      <c r="J419" s="887" t="inlineStr">
        <is>
          <t>pantie-pro-lycra-mid-waist-brief</t>
        </is>
      </c>
    </row>
    <row r="420" ht="42" customHeight="1" s="229">
      <c r="A420" s="888" t="inlineStr">
        <is>
          <t>Modal Silk Mid Waist Brief</t>
        </is>
      </c>
      <c r="B420" s="889" t="inlineStr">
        <is>
          <t>Underwear</t>
        </is>
      </c>
      <c r="C420" s="890" t="n">
        <v>15</v>
      </c>
      <c r="D420" s="890" t="n">
        <v>15</v>
      </c>
      <c r="E420" s="889" t="inlineStr"/>
      <c r="F420" s="891" t="inlineStr">
        <is>
          <t>Our Modal Silk Mid Waist Brief combines two of the softest fabrics on the planet, TENCEL‚Ñ¢ Modal and mulberry silk. Once you've tried a pair, you'll never go back.</t>
        </is>
      </c>
      <c r="G420" s="892" t="inlineStr">
        <is>
          <t>• Made from a lusciously soft &amp; breathable blend of TENCEL‚Ñ¢ Modal, mulberry silk, and Spandex. • Premium materials imported from Austria. • Mid-rise cut and full bottom coverage.</t>
        </is>
      </c>
      <c r="H420" s="893" t="inlineStr">
        <is>
          <t>85 % TENCEL‚Ñ¢ Modal, 9% mulberry silk, 6% Spandex; lining: 100% cotton. • Care instructions: Hand or machine wash in cold water; air drying is recommended</t>
        </is>
      </c>
      <c r="I420" s="894" t="inlineStr">
        <is>
          <t>22.7.15, 22SS 7.15, Category_Lingerie/Brief/Mid Waist, Category_Underwear, Category_Underwear/Bottoms, Category_Underwear/Bottoms/Panties, Category_Underwear/Bottoms/Panties/Mid Waist, Fabric_Underwear/Silk, Fabric_Underwear/Tencel Modal, HR-CX, LBD23, XS - XL Brief</t>
        </is>
      </c>
      <c r="J420" s="895" t="inlineStr">
        <is>
          <t>80s-modal-silk-mid-waist-brief</t>
        </is>
      </c>
    </row>
    <row r="421" ht="28" customHeight="1" s="229">
      <c r="A421" s="880" t="inlineStr">
        <is>
          <t>Pure Comfort Mid Waist Cheeky Brief</t>
        </is>
      </c>
      <c r="B421" s="881" t="inlineStr">
        <is>
          <t>Underwear</t>
        </is>
      </c>
      <c r="C421" s="882" t="n">
        <v>19</v>
      </c>
      <c r="D421" s="882" t="n">
        <v>19</v>
      </c>
      <c r="E421" s="881" t="inlineStr"/>
      <c r="F421" s="883" t="inlineStr">
        <is>
          <t>The Pure Comfort Mid Waist Cheeky Brief provides eco-friendly and light coverage for lasting all-day comfort.</t>
        </is>
      </c>
      <c r="G421" s="884" t="inlineStr">
        <is>
          <t>• Made from a blend of Supima ¬Æ cotton and TENCEL‚Ñ¢ Micro Carbon Zero Modal ‚Äî luxuriously soft &amp; eco-friendly. • Cheeky brief, mid-rise cut for moderate coverage and all-day comfort. • Ultra-soft and breathable, allows skin to feel cool &amp; dry.</t>
        </is>
      </c>
      <c r="H421" s="885" t="inlineStr">
        <is>
          <t>45 % cotton, 44% TENCEL‚Ñ¢ Modal, 11% Spandex; lining: 100% cotton. • Care instructions: For best results, hand wash in cold water. Lay flat to dry. Do not iron</t>
        </is>
      </c>
      <c r="I421" s="886" t="inlineStr">
        <is>
          <t>22.7.15, 22FW, 22SS 7.15, Category_Lingerie/Brief/Mid Waist, Category_Underwear, Category_Underwear/Bottoms, Category_Underwear/Bottoms/Panties, Category_Underwear/Bottoms/Panties/Mid Waist, Collection_Pure Comfort, Fabric_Underwear/Cotton, Fabric_Underwear/Tencel Modal, Feature_Best Seller, HR-CX, LBD23, Tariff Final Sale, XS - XL Brief</t>
        </is>
      </c>
      <c r="J421" s="887" t="inlineStr">
        <is>
          <t>pure-comfort-modal-mid-waist-cheeky-brief</t>
        </is>
      </c>
    </row>
    <row r="422" ht="42" customHeight="1" s="229">
      <c r="A422" s="888" t="inlineStr">
        <is>
          <t>Pure Comfort Modal Mid Waist Brief</t>
        </is>
      </c>
      <c r="B422" s="889" t="inlineStr">
        <is>
          <t>Underwear</t>
        </is>
      </c>
      <c r="C422" s="890" t="n">
        <v>19</v>
      </c>
      <c r="D422" s="890" t="n">
        <v>19</v>
      </c>
      <c r="E422" s="889" t="inlineStr"/>
      <c r="F422" s="891" t="inlineStr">
        <is>
          <t>Meet the Pure Comfort Modal Mid Waist Brief: ultra-soft, lightweight, and sits at your natural waist for long-lasting comfort. Thoughtfully tailored from eco-friendly fabrics for everyday wear.</t>
        </is>
      </c>
      <c r="G422" s="892" t="inlineStr">
        <is>
          <t>• Made from a blend of Supima ¬Æ cotton and TENCEL‚Ñ¢ Micro Carbon Zero Modal ‚Äî luxuriously soft &amp; eco-friendly. • Classic mid-rise cut and full bottom coverage for all-day comfort. • Ultra-soft and breathable for a skin-friendly fit.</t>
        </is>
      </c>
      <c r="H422" s="893" t="inlineStr">
        <is>
          <t>45 % cotton, 44% TENCEL‚Ñ¢ Modal, 11% Spandex; lining: 100% cotton. • Care instructions: For best results, hand wash in cold water. Lay flat to dry. Do not iron</t>
        </is>
      </c>
      <c r="I422" s="894" t="inlineStr">
        <is>
          <t>22SS 7.15, Category_Lingerie/Brief/Mid Waist, Category_Underwear, Category_Underwear/Bottoms, Category_Underwear/Bottoms/Panties, Category_Underwear/Bottoms/Panties/Mid Waist, Collection_Pure Comfort, Fabric_Underwear/Cotton, Fabric_Underwear/Tencel Modal, HR-CX, LBD23, Tariff Final Sale, XS - XL Brief</t>
        </is>
      </c>
      <c r="J422" s="895" t="inlineStr">
        <is>
          <t>pure-comfort-modal-mid-waist-brief</t>
        </is>
      </c>
    </row>
    <row r="423" ht="42" customHeight="1" s="229">
      <c r="A423" s="896" t="inlineStr">
        <is>
          <t>Barely Zero Lycra Leggings</t>
        </is>
      </c>
      <c r="B423" s="897" t="inlineStr">
        <is>
          <t>Loungewear</t>
        </is>
      </c>
      <c r="C423" s="898" t="n">
        <v>49</v>
      </c>
      <c r="D423" s="898" t="n">
        <v>49</v>
      </c>
      <c r="E423" s="897" t="inlineStr"/>
      <c r="F423" s="899" t="inlineStr">
        <is>
          <t>A cozy update to our best-selling leggings, our Barely Zero Lycra Leggings are thicker and warmer than the original. P air them with everything from your favorite sweatshirt for a brisk morning walk or a cozy cardigan for everyday wear.</t>
        </is>
      </c>
      <c r="G423" s="900" t="inlineStr">
        <is>
          <t>• Go-to c ozy leggings, perfect for everyday wear! • Features lightweight Lycra fabric that's ultra-elastic &amp; soft for an adaptive fit. • High waist, ankle-length fit with double-layered waistband. • Adapts to fit anyone in the following ranges: 24.5"- 34.5" waist and 31.5"- 39.5" hips. Flat garment inseam length: 23" (however, this garment stretches to accommodate a longer length).</t>
        </is>
      </c>
      <c r="H423" s="901" t="inlineStr">
        <is>
          <t>82% CloudFit nylon, 18% Spandex • Care instructions: For best results, hand wash with like colors in cold water. Lay flat or hang to dry</t>
        </is>
      </c>
      <c r="I423" s="902" t="inlineStr">
        <is>
          <t>22.8.12, BZ Leggings, Category_Lounge, Category_Lounge/Bottoms, Category_Lounge/Pants, Collection_Barely Zero, Feature_Best Seller, Flexport Stock, LBD23, Tariff Final Sale, US Inventory</t>
        </is>
      </c>
      <c r="J423" s="903" t="inlineStr">
        <is>
          <t>barely-zero-lycra-high-waist-leggings</t>
        </is>
      </c>
    </row>
    <row r="424" ht="42" customHeight="1" s="229">
      <c r="A424" s="920" t="inlineStr">
        <is>
          <t>Double Needle Abstract Socks</t>
        </is>
      </c>
      <c r="B424" s="921" t="inlineStr">
        <is>
          <t>Accessories</t>
        </is>
      </c>
      <c r="C424" s="922" t="n">
        <v>12</v>
      </c>
      <c r="D424" s="922" t="n">
        <v>12</v>
      </c>
      <c r="E424" s="921" t="inlineStr"/>
      <c r="F424" s="923" t="inlineStr">
        <is>
          <t>Reimagine and enhance your modern look with a vintage flair ‚Äî these Double Needle Abstract Socks are available in multiple vibrant colors &amp; retro-style designs to pair with any outfit!</t>
        </is>
      </c>
      <c r="G424" s="924" t="inlineStr">
        <is>
          <t>• Soft crew-length socks to keep your feet cozy. • Knit with double-needle jacquard technique &amp; breathable cotton blend. The socks are 8.6 - 9.4'' in length. • Available in abstract patterns inspired by the colors of fall and winter.</t>
        </is>
      </c>
      <c r="H424" s="925" t="inlineStr">
        <is>
          <t>75% cotton, 21% nylon, 3% Spandex, 1% Polyester. • Care Instructions: For best results, hand wash in cold water</t>
        </is>
      </c>
      <c r="I424" s="926" t="inlineStr">
        <is>
          <t>22.7.15, 22FW, 22SS 7.15, Category_Lounge, Category_Lounge/Accessories, Fabric_Lounge/Cotton, LBD23, Womens Socks</t>
        </is>
      </c>
      <c r="J424" s="927" t="inlineStr">
        <is>
          <t>double-needle-abstract-socks</t>
        </is>
      </c>
    </row>
    <row r="425" ht="56" customHeight="1" s="229">
      <c r="A425" s="958" t="inlineStr">
        <is>
          <t>Men‚Äôs Crew Socks (3-Pack)</t>
        </is>
      </c>
      <c r="B425" s="959" t="inlineStr">
        <is>
          <t>Men</t>
        </is>
      </c>
      <c r="C425" s="960" t="n">
        <v>25</v>
      </c>
      <c r="D425" s="960" t="n">
        <v>25</v>
      </c>
      <c r="E425" s="959" t="inlineStr"/>
      <c r="F425" s="961" t="inlineStr">
        <is>
          <t>These minimalist socks will keep your feet warm, cozy, and stylish in a variety of footwear. They come in a convenient value pack that is perfect for stocking your own sock drawer and for gifting loved ones. P.S. They're a great unisex sock option!</t>
        </is>
      </c>
      <c r="G425" s="962" t="inlineStr">
        <is>
          <t>• Mid-calf socks in easy-to-match colors. Each pack includes three pairs of socks. • Made from a blend of cotton &amp; Spandex that keeps skin clean, dry, and healthy. The socks are 9.4 - 10.2" in length. • Easy care: durable &amp; machine washable.</t>
        </is>
      </c>
      <c r="H425" s="963" t="inlineStr">
        <is>
          <t>60% cotton, 32% nylon, 4% Spandex, 4% Polyester. • Care Instructions: Machine wash in cold water; air drying is recommended</t>
        </is>
      </c>
      <c r="I425" s="964" t="inlineStr">
        <is>
          <t>22.7.15, 22FW, 22SS 7.15, Bundle Collection, Category_Lounge/Accessories, Category_Men, Category_Men/Accessories, Category_Men/Socks, LBD23, Tariff Final Sale</t>
        </is>
      </c>
      <c r="J425" s="965" t="inlineStr">
        <is>
          <t>mid-calf-length-socks-3-pack</t>
        </is>
      </c>
    </row>
    <row r="426" ht="42" customHeight="1" s="229">
      <c r="A426" s="938" t="inlineStr">
        <is>
          <t>Men's Low-Cut Socks (3-Pack)</t>
        </is>
      </c>
      <c r="B426" s="939" t="inlineStr">
        <is>
          <t>Men</t>
        </is>
      </c>
      <c r="C426" s="940" t="n">
        <v>19</v>
      </c>
      <c r="D426" s="940" t="n">
        <v>19</v>
      </c>
      <c r="E426" s="939" t="inlineStr"/>
      <c r="F426" s="942" t="inlineStr">
        <is>
          <t>Perfect everyday minimalist socks with a low profile and ultra-comfort, these Men's Low-Cut Socks come in a convenient value pack (perfect for stocking your own sock drawer or as a practical gift for loved ones).</t>
        </is>
      </c>
      <c r="G426" s="943" t="inlineStr">
        <is>
          <t>• Low-cut socks in easy-to-match colors. Each pack includes three pairs of socks. • Made from a comfortable, antibacterial blend of cotton &amp; Spandex that keeps skin clean, dry, and healthy. • Easy care- durable &amp; machine washable.</t>
        </is>
      </c>
      <c r="H426" s="944" t="inlineStr">
        <is>
          <t>60% cotton, 32% nylon, 4% Spandex, 4% Polyester. • Care Instructions: Machine wash in cold water, hang to dry</t>
        </is>
      </c>
      <c r="I426" s="945" t="inlineStr">
        <is>
          <t>22.7.15, 22FW, 22SS 7.15, Bundle Collection, Category_Men, Category_Men/Accessories, Category_Men/Socks, Feature_Best Seller</t>
        </is>
      </c>
      <c r="J426" s="946" t="inlineStr">
        <is>
          <t>short-socks3-pack</t>
        </is>
      </c>
    </row>
    <row r="427" ht="56" customHeight="1" s="229">
      <c r="A427" s="958" t="inlineStr">
        <is>
          <t>Men's Crew Neck Short-Sleeve Undershirt</t>
        </is>
      </c>
      <c r="B427" s="959" t="inlineStr">
        <is>
          <t>Men</t>
        </is>
      </c>
      <c r="C427" s="960" t="n">
        <v>39</v>
      </c>
      <c r="D427" s="960" t="n">
        <v>27.3</v>
      </c>
      <c r="E427" s="984" t="inlineStr">
        <is>
          <t>Yes</t>
        </is>
      </c>
      <c r="F427" s="961" t="inlineStr">
        <is>
          <t>A lightweight wardrobe staple, our Round Neck Short-Sleeve Undershirt is the perfect everyday tee. Whether you're relaxing at home, running errands, or out with friends and family, you can comfortably layer this top under knits and jackets with ease.</t>
        </is>
      </c>
      <c r="G427" s="962" t="inlineStr">
        <is>
          <t>• Minimalist design is versatile for different styles and outfits. • Classic crew neck. Size M is 26.8" in length. • Made from a blend of cotton &amp; Spandex that keeps skin clean, dry, and healthy.</t>
        </is>
      </c>
      <c r="H427" s="963" t="inlineStr">
        <is>
          <t>94% cotton, 6% Spandex. • Care instructions: Hand or machine wash in cold water; air drying is recommended</t>
        </is>
      </c>
      <c r="I427" s="964" t="inlineStr">
        <is>
          <t>22.7.22, 22FW, 24JuneSale, Category_Men, Category_Men/Pajams, Category_Men/Tops, Collection_Valentine, HR-CX, LBD23, no-returns, Tariff Final Sale</t>
        </is>
      </c>
      <c r="J427" s="965" t="inlineStr">
        <is>
          <t>mens-crew-neck-short-sleeve-undershirt</t>
        </is>
      </c>
    </row>
    <row r="428" ht="42" customHeight="1" s="229">
      <c r="A428" s="938" t="inlineStr">
        <is>
          <t>Men's V-neck Short-Sleeve Undershirt</t>
        </is>
      </c>
      <c r="B428" s="939" t="inlineStr">
        <is>
          <t>Men</t>
        </is>
      </c>
      <c r="C428" s="940" t="n">
        <v>39</v>
      </c>
      <c r="D428" s="940" t="n">
        <v>27.3</v>
      </c>
      <c r="E428" s="941" t="inlineStr">
        <is>
          <t>Yes</t>
        </is>
      </c>
      <c r="F428" s="942" t="inlineStr">
        <is>
          <t>Our V-neck Short-Sleeve Undershirt is a lightweight staple. Whether you're at home relaxing, out shopping, or grabbing dinner with a friend, you can comfortably layer this top with knits, jackets, and more.</t>
        </is>
      </c>
      <c r="G428" s="943" t="inlineStr">
        <is>
          <t>• Minimalist design for easy styling and layering. • Classic v-neck. Size M is 26.8" in length. • Made from a blend of cotton &amp; Spandex that keeps skin clean, dry, and healthy.</t>
        </is>
      </c>
      <c r="H428" s="944" t="inlineStr">
        <is>
          <t>94% cotton, 6% Spandex. • Care instructions: Hand or machine wash in cold water; air drying is recommended</t>
        </is>
      </c>
      <c r="I428" s="945" t="inlineStr">
        <is>
          <t>22.7.22, 22FW, 24JuneSale, Category_Men, Category_Men/Pajams, Category_Men/Tops, Collection_Valentine, HR-CX, LBD23, no-returns, Tariff Final Sale</t>
        </is>
      </c>
      <c r="J428" s="946" t="inlineStr">
        <is>
          <t>mens-v-neck-short-sleeve-undershirt</t>
        </is>
      </c>
    </row>
    <row r="429" ht="42" customHeight="1" s="229">
      <c r="A429" s="958" t="inlineStr">
        <is>
          <t>Men's Undershirt Tank</t>
        </is>
      </c>
      <c r="B429" s="959" t="inlineStr">
        <is>
          <t>Men</t>
        </is>
      </c>
      <c r="C429" s="960" t="n">
        <v>35</v>
      </c>
      <c r="D429" s="960" t="n">
        <v>24.5</v>
      </c>
      <c r="E429" s="984" t="inlineStr">
        <is>
          <t>Yes</t>
        </is>
      </c>
      <c r="F429" s="961" t="inlineStr">
        <is>
          <t>Replenish your underwear drawer with top-quality essentials like our ultra-soft Undershirt Tank ‚Äî effortlessly comfortable, this versatile base layers perfectly with flannels, jackets, and more!</t>
        </is>
      </c>
      <c r="G429" s="962" t="inlineStr">
        <is>
          <t>• Your 24/7 tank top features a classic round neckline. Size M is 24.7" in length. • Minimalist design with understated solid colors. • Crafted from a blend of cotton &amp; Spandex that keeps skin clean, dry, and healthy.</t>
        </is>
      </c>
      <c r="H429" s="963" t="inlineStr">
        <is>
          <t>94% cotton, 6% Spandex. • Care instructions: Hand or machine wash in cold water; air drying is recommended</t>
        </is>
      </c>
      <c r="I429" s="964" t="inlineStr">
        <is>
          <t>22.7.22, 22FW, 24JuneSale, Category_Men, Category_Men/Pajams, Category_Men/Tops, Collection_Valentine, HR-CX, LBD23, no-returns, Tariff Final Sale</t>
        </is>
      </c>
      <c r="J429" s="965" t="inlineStr">
        <is>
          <t>mens-undershirt-tank</t>
        </is>
      </c>
    </row>
    <row r="430" ht="28" customHeight="1" s="229">
      <c r="A430" s="938" t="inlineStr">
        <is>
          <t>Men's Cotton Modal Brief</t>
        </is>
      </c>
      <c r="B430" s="939" t="inlineStr">
        <is>
          <t>Men</t>
        </is>
      </c>
      <c r="C430" s="940" t="n">
        <v>25</v>
      </c>
      <c r="D430" s="940" t="n">
        <v>17.5</v>
      </c>
      <c r="E430" s="941" t="inlineStr">
        <is>
          <t>Yes</t>
        </is>
      </c>
      <c r="F430" s="942" t="inlineStr">
        <is>
          <t>Blending breathable cotton with silky-smooth TENCEL‚Ñ¢ Modal, our Men's 80 Thread Cotton Modal Brief is designed for all-day comfort.</t>
        </is>
      </c>
      <c r="G430" s="943" t="inlineStr">
        <is>
          <t>• Made from a silky-soft blend of TENCEL‚Ñ¢ Modal &amp; cotton. • Stay-put contrast waistband adds flare to this everyday staple. • Flat chafe-free seams - no friction or show-through lines.</t>
        </is>
      </c>
      <c r="H430" s="944" t="inlineStr">
        <is>
          <t>46% cotton, 44% TENCEL‚Ñ¢ Modal, 10% Spandex. • Care instructions: Machine wash in cold water; air drying is recommended</t>
        </is>
      </c>
      <c r="I430" s="945" t="inlineStr">
        <is>
          <t>22.7.22, 22FW, 25Feb Sale, Bundle Collection, Category_Men, Category_Men/Underwear, Collection_Valentine, Feature_Best Seller, HR-CX, LBD23, no-returns, Tariff Final Sale</t>
        </is>
      </c>
      <c r="J430" s="946" t="inlineStr">
        <is>
          <t>mens-cotton-modal-brief</t>
        </is>
      </c>
    </row>
    <row r="431" ht="42" customHeight="1" s="229">
      <c r="A431" s="958" t="inlineStr">
        <is>
          <t>Men's Modal Brief 2.0</t>
        </is>
      </c>
      <c r="B431" s="959" t="inlineStr">
        <is>
          <t>Men</t>
        </is>
      </c>
      <c r="C431" s="960" t="n">
        <v>19</v>
      </c>
      <c r="D431" s="960" t="n">
        <v>13.3</v>
      </c>
      <c r="E431" s="984" t="inlineStr">
        <is>
          <t>Yes</t>
        </is>
      </c>
      <c r="F431" s="961" t="inlineStr">
        <is>
          <t>Made from a silky blend of TENCEL‚Ñ¢ Modal and Spandex, our Men's Modal Brief 2.0 provides superb stretch and comfort ‚Äî you'll love the feeling of wearing nothing at all with its seamless fit and stay-put waistband.</t>
        </is>
      </c>
      <c r="G431" s="962" t="inlineStr">
        <is>
          <t>• Highly flexible to accommodate different body types. • Flat chafe-free seams- no friction or show-through lines. • Made from a breathable 60s blend of TENCEL‚Ñ¢ Modal &amp; Spandex.</t>
        </is>
      </c>
      <c r="H431" s="963" t="inlineStr">
        <is>
          <t>90% TENCEL‚Ñ¢ Modal, 10% Spandex. • Care instructions: Machine wash in cold water; air drying is recommended</t>
        </is>
      </c>
      <c r="I431" s="964" t="inlineStr">
        <is>
          <t>22.7.22, 22FW, 25Feb Sale, Bundle Collection, Category_Men, Category_Men/Underwear, Collection_Valentine, Feature_Best Seller, HR-CX, LBD23, no-returns, Tariff Final Sale</t>
        </is>
      </c>
      <c r="J431" s="965" t="inlineStr">
        <is>
          <t>mens-modal-brief-2-0</t>
        </is>
      </c>
    </row>
    <row r="432" ht="56" customHeight="1" s="229">
      <c r="A432" s="904" t="inlineStr">
        <is>
          <t>Core Medium Support Leggings</t>
        </is>
      </c>
      <c r="B432" s="905" t="inlineStr">
        <is>
          <t>Active</t>
        </is>
      </c>
      <c r="C432" s="906" t="n">
        <v>99</v>
      </c>
      <c r="D432" s="906" t="n">
        <v>59.4</v>
      </c>
      <c r="E432" s="956" t="inlineStr">
        <is>
          <t>Yes</t>
        </is>
      </c>
      <c r="F432" s="907" t="inlineStr">
        <is>
          <t>These Core Medium Support Leggings‚Äã are a workout staple, featuring lightweight fabric and mesh panels to support the a full range of motion. Fit tip: if you're in between sizes, we recommend sizing up. This item is FINAL SALE and cannot be returned or exchanged.</t>
        </is>
      </c>
      <c r="G432" s="908" t="inlineStr">
        <is>
          <t>• Side mesh for added ventilation and breathability in motion. • Hidden pocket at the back for keys and other small objects. • Features h igh-rise cut for confident support and curved exposed seams that shape the legs. • Inseam is 24.2" for Size M.</t>
        </is>
      </c>
      <c r="H432" s="909" t="inlineStr">
        <is>
          <t>body: 83% nylon, 17% Spandex; mesh: 71% nylon, 29% Spandex. • Care instructions: Gently hand wash with like colors in cold water. Use a light detergent and do not scrub or allow to soak for longer than 10 minutes</t>
        </is>
      </c>
      <c r="I432" s="910" t="inlineStr">
        <is>
          <t>2023 BTS Sale, 22.7.15, 22SS, 22SS 7.15, 23 May Sale, 25JulySale, Activity_Active/Gym, Activity_Active/Outdoor, Activity_Active/Running, Activity_Active/Yoga, Category_Active, Category_Active/Core, Category_Active/Leggings, hide-bis, HR-CX, LBD23, no-returns, Sale, Tariff Final Sale</t>
        </is>
      </c>
      <c r="J432" s="911" t="inlineStr">
        <is>
          <t>core-medium-support-leggings</t>
        </is>
      </c>
    </row>
    <row r="433" ht="56" customHeight="1" s="229">
      <c r="A433" s="912" t="inlineStr">
        <is>
          <t>Core Training Skorts</t>
        </is>
      </c>
      <c r="B433" s="913" t="inlineStr">
        <is>
          <t>Active</t>
        </is>
      </c>
      <c r="C433" s="914" t="n">
        <v>79</v>
      </c>
      <c r="D433" s="914" t="n">
        <v>47.4</v>
      </c>
      <c r="E433" s="955" t="inlineStr">
        <is>
          <t>Yes</t>
        </is>
      </c>
      <c r="F433" s="915" t="inlineStr">
        <is>
          <t>Go from the tennis court to the dance studio in confidence in the Core Training Skorts! This skort features built-in shorts and side pockets and is made from a lightweight and breathable performance fabric. This item is FINAL SALE and cannot be returned or exchanged.</t>
        </is>
      </c>
      <c r="G433" s="916" t="inlineStr">
        <is>
          <t>• A-line &amp; wrap-style skort with fitted inner shorts. • Zippered side pockets. Size M is 14.2" in length. • Customized fit with the elastic wide waistband with drawstring at the front. • Perfect for tennis, running, golf and everyday wear.</t>
        </is>
      </c>
      <c r="H433" s="917" t="inlineStr">
        <is>
          <t>77% nylon, 23% Spandex. • Care instructions: Gently hand wash with like colors in cold water</t>
        </is>
      </c>
      <c r="I433" s="918" t="inlineStr">
        <is>
          <t>2023 BTS Sale, 22SS 7.8, 23 May Sale, 25JulySale, Activity_Active/Outdoor, Activity_Active/Running, Activity_Active/Tennis, Category_Active, Category_Active/Core, Category_Active/Shorts, Category_Lounge/Bottoms/Elastic, hide-bis, HR-CX, LBD23, no-returns, Sale, Tariff Final Sale</t>
        </is>
      </c>
      <c r="J433" s="919" t="inlineStr">
        <is>
          <t>core-training-skorts</t>
        </is>
      </c>
    </row>
    <row r="434" ht="56" customHeight="1" s="229">
      <c r="A434" s="880" t="inlineStr">
        <is>
          <t>Pure Comfort Premium Mid Waist Brief</t>
        </is>
      </c>
      <c r="B434" s="881" t="inlineStr">
        <is>
          <t>Underwear</t>
        </is>
      </c>
      <c r="C434" s="882" t="n">
        <v>35</v>
      </c>
      <c r="D434" s="882" t="n">
        <v>35</v>
      </c>
      <c r="E434" s="881" t="inlineStr"/>
      <c r="F434" s="883" t="inlineStr">
        <is>
          <t>Indulge in upgraded elegance &amp; comfort with our new Pure Comfort Premium Collection‚Äã. This Pure Comfort Mid High Waist Brief is made from a premium Italian fabric blend that's simply delightful against the skin, and tailored in a style that makes it an instant everyday staple.</t>
        </is>
      </c>
      <c r="G434" s="884" t="inlineStr">
        <is>
          <t>• Made from premium fabric imported from Italy, ultra-soft with the perfect stretch. • Subtle mesh structure for improved ventilation; perfect for summer. • Classic mid to high-rise cut for moderate coverage and all-day comfort!</t>
        </is>
      </c>
      <c r="H434" s="885" t="inlineStr">
        <is>
          <t>83% cotton, 10% nylon, 7% Spandex; lining: 100% cotton. • Care instructions: For best results, hand wash in cold water. Lay flat to dry. Do not iron</t>
        </is>
      </c>
      <c r="I434" s="886" t="inlineStr">
        <is>
          <t>22SS 7.8, Category_Lingerie/Brief/Mid Waist, Category_Underwear, Category_Underwear/Bottoms, Category_Underwear/Bottoms/Panties, Category_Underwear/Bottoms/Panties/Mid Waist, Collection_Pure Comfort, Collection_Valentine, Fabric_Underwear/Cotton, Fabric_Underwear/Tencel Modal, HR-CX, XS - XL Brief</t>
        </is>
      </c>
      <c r="J434" s="887" t="inlineStr">
        <is>
          <t>pure-comfort-premium-mid-waist-brief</t>
        </is>
      </c>
    </row>
    <row r="435" ht="42" customHeight="1" s="229">
      <c r="A435" s="888" t="inlineStr">
        <is>
          <t>Pure Comfort Premium Triangle Bra</t>
        </is>
      </c>
      <c r="B435" s="889" t="inlineStr">
        <is>
          <t>Underwear</t>
        </is>
      </c>
      <c r="C435" s="890" t="n">
        <v>69</v>
      </c>
      <c r="D435" s="890" t="n">
        <v>69</v>
      </c>
      <c r="E435" s="889" t="inlineStr"/>
      <c r="F435" s="891" t="inlineStr">
        <is>
          <t>Indulge in upgraded elegance and comfort with our Pure Comfort Premium Triangle Bra. This style offers reliable support with a breathable and ultra-soft modal-cotton blend.</t>
        </is>
      </c>
      <c r="G435" s="892" t="inlineStr">
        <is>
          <t>• Triangle fixed cups for easy care. Best suited for A-B cup sizes. • Subtle mesh structure for improved ventilation. • Adjustable straps for customizable fit.</t>
        </is>
      </c>
      <c r="H435" s="893" t="inlineStr">
        <is>
          <t>83% cotton, 10% nylon, 7% Spandex; cup lining: 86% TENCEL‚Ñ¢ Modal, 8% silk, 6% Spandex. • Care instructions: Hand wash in cold water, lay flat to dry</t>
        </is>
      </c>
      <c r="I435" s="894" t="inlineStr">
        <is>
          <t>22SS 7.8, 23SS A3 Size Bra, Category_Bras/Cotton, Category_Bras/Everyday, Category_Bras/Medium Support, Category_Bras/Plunge, Category_Underwear, Category_Underwear/Tops, Category_Underwear/Tops/Wireless Bra, Category_Underwear/Tops/Wireless Bra/Triangle, Collection_Pure Comfort, Fabric_Underwear/Cotton, Flexport Stock, LBD23, US Inventory, US Main</t>
        </is>
      </c>
      <c r="J435" s="895" t="inlineStr">
        <is>
          <t>pure-comfort-premium-triangle-bra</t>
        </is>
      </c>
    </row>
    <row r="436" ht="56" customHeight="1" s="229">
      <c r="A436" s="880" t="inlineStr">
        <is>
          <t>Belle Lace Triangle Bra</t>
        </is>
      </c>
      <c r="B436" s="881" t="inlineStr">
        <is>
          <t>Underwear</t>
        </is>
      </c>
      <c r="C436" s="882" t="n">
        <v>79</v>
      </c>
      <c r="D436" s="882" t="n">
        <v>55.3</v>
      </c>
      <c r="E436" s="937" t="inlineStr">
        <is>
          <t>Yes</t>
        </is>
      </c>
      <c r="F436" s="883" t="inlineStr">
        <is>
          <t>Make every day a special occasion with the Belle Lace Triangle Bra. Inspired by La Belle √âpoque Paris, this beautiful bra is a perfect combination of classic elegance and contemporary comfort. This item is FINAL SALE and cannot be returned or exchanged.</t>
        </is>
      </c>
      <c r="G436" s="884" t="inlineStr">
        <is>
          <t>• Plunge neckline for a sleek fit under any top. • Features fixed cup bra padding. Perfect as an everyday bra but also well-suited for special occasions. • Straps are adjustable for a customized fit. Back-clasp closure.</t>
        </is>
      </c>
      <c r="H436" s="885" t="inlineStr">
        <is>
          <t>59% nylon, 41% Spandex; lining: 72% nylon, 28% Spandex • Care instructions: For best results, hand wash in cold water with a neutral detergent separately from other garments</t>
        </is>
      </c>
      <c r="I436" s="886" t="inlineStr">
        <is>
          <t>22SS 7.1, 23SS A3 Size Bra, 25Jan Sale, Category_Bras/Medium Support, Category_Bras/Plunge, Category_Underwear, Category_Underwear/Tops, Category_Underwear/Tops/Wireless Bra, Collection_Valentine, Fabric_Underwear/Lace, Flexport Stock, HR-CX, LBD23, no-returns, Sale, Tariff Final Sale, US Inventory</t>
        </is>
      </c>
      <c r="J436" s="887" t="inlineStr">
        <is>
          <t>belle-lace-triangle-bra</t>
        </is>
      </c>
    </row>
    <row r="437" ht="56" customHeight="1" s="229">
      <c r="A437" s="928" t="inlineStr">
        <is>
          <t>Vacation Slip Maxi Dress</t>
        </is>
      </c>
      <c r="B437" s="929" t="inlineStr">
        <is>
          <t>Loungewear</t>
        </is>
      </c>
      <c r="C437" s="930" t="n">
        <v>159</v>
      </c>
      <c r="D437" s="930" t="n">
        <v>95.40000000000001</v>
      </c>
      <c r="E437" s="936" t="inlineStr">
        <is>
          <t>Yes</t>
        </is>
      </c>
      <c r="F437" s="931" t="inlineStr">
        <is>
          <t>This is the sundress you'll want to wear for any &amp; every occasion: pair it with heels for an exquisite formal fit, or dress it down during the day with sandals for a relaxed yet elegant casual look. This item is FINAL SALE and cannot be returned or exchanged.</t>
        </is>
      </c>
      <c r="G437" s="932" t="inlineStr">
        <is>
          <t>• Made using a light, soft modal blend - breathable with a flattering drape. • Thin straps cross in the back. Size M is 35.6" in length. • High slit for ease of movement and breathability.</t>
        </is>
      </c>
      <c r="H437" s="933" t="inlineStr">
        <is>
          <t>76% modal, 24% polyester. • Care instructions: For best results, hand wash with like colors in cold water</t>
        </is>
      </c>
      <c r="I437" s="934" t="inlineStr">
        <is>
          <t>2023 BTS Sale, 22SS 7.1, 23 May Sale, Category_Lounge, Category_Lounge/Dress&amp;Jumpsuit, Fabric_Lounge/Tencel Modal, hide-bis, HR-CX, LBD23, no-returns, Sale, Tariff Final Sale</t>
        </is>
      </c>
      <c r="J437" s="935" t="inlineStr">
        <is>
          <t>vacation-maxi-dress</t>
        </is>
      </c>
    </row>
    <row r="438" ht="42" customHeight="1" s="229">
      <c r="A438" s="896" t="inlineStr">
        <is>
          <t>Silk Cotton U Neck Pajama Top</t>
        </is>
      </c>
      <c r="B438" s="897" t="inlineStr">
        <is>
          <t>Loungewear</t>
        </is>
      </c>
      <c r="C438" s="898" t="n">
        <v>89</v>
      </c>
      <c r="D438" s="898" t="n">
        <v>53.4</v>
      </c>
      <c r="E438" s="957" t="inlineStr">
        <is>
          <t>Yes</t>
        </is>
      </c>
      <c r="F438" s="899" t="inlineStr">
        <is>
          <t>The Silk Cotton U Neck Pajama Top blends fine silk and skin-friendly cotton for a smooth and airy design. This item is FINAL SALE and cannot be returned or exchanged.</t>
        </is>
      </c>
      <c r="G438" s="900" t="inlineStr">
        <is>
          <t>• Easy-to-wear U neck style with light stripe pattern. • Made from a crisp blend of breathable cotton and smooth silk. Size M is 24" in length. • Pairs with the matching Silk Cotton Straight Leg Pants.</t>
        </is>
      </c>
      <c r="H438" s="901" t="inlineStr">
        <is>
          <t>69% cotton, 31% mulberry silk. • Care instructions: For best results, hand wash with like colors in cold water</t>
        </is>
      </c>
      <c r="I438" s="902" t="inlineStr">
        <is>
          <t>2023 BTS Sale, 22SS 7.1, 23 May Sale, Category_Lounge, Category_Lounge/Pajamas &amp; Robes, Category_Lounge/Pajamas &amp; Robes/Top, Category_Lounge/Tops, Fabric_Lounge/Cotton, Fabric_Lounge/Silk, hide-bis, HR-CX, LBD23, no-returns, Sale, Tariff Final Sale</t>
        </is>
      </c>
      <c r="J438" s="903" t="inlineStr">
        <is>
          <t>silk-cotton-u-neck-pajama-top</t>
        </is>
      </c>
    </row>
    <row r="439" ht="56" customHeight="1" s="229">
      <c r="A439" s="888" t="inlineStr">
        <is>
          <t>Nude Skin Mesh Mid Waist Brief</t>
        </is>
      </c>
      <c r="B439" s="889" t="inlineStr">
        <is>
          <t>Underwear</t>
        </is>
      </c>
      <c r="C439" s="890" t="n">
        <v>25</v>
      </c>
      <c r="D439" s="890" t="n">
        <v>17.5</v>
      </c>
      <c r="E439" s="985" t="inlineStr">
        <is>
          <t>Yes</t>
        </is>
      </c>
      <c r="F439" s="891" t="inlineStr">
        <is>
          <t>Smooth and seamless, the Nude Skin Mid Waist Brief‚Äã provides that wearing-nothing feeling. Featuring a mesh waistband, this modern brief provides an ideal blend of elegance, simplicity, and all-day comfort. This item is FINAL SALE and cannot be returned or exchanged.</t>
        </is>
      </c>
      <c r="G439" s="892" t="inlineStr">
        <is>
          <t>• Mid-rise waist, medium coverage. • Tailored from a smoot and flexible blend of Spandex and nylon . • Pairs perfectly with the matching Nude Skin Bra.</t>
        </is>
      </c>
      <c r="H439" s="893" t="inlineStr">
        <is>
          <t>69% nylon, 31% Spandex; lining: 100% cotton. • Care instructions: For best results, hand wash with a light detergent in cold water</t>
        </is>
      </c>
      <c r="I439" s="894" t="inlineStr">
        <is>
          <t>22SS 7.1, 25Jan Sale, Category_Lingerie/Brief/Mid Waist, Category_Underwear, Category_Underwear/Bottoms, Category_Underwear/Bottoms/Panties/Mid Waist, HR-CX, LBD23, no-returns, Sale, Tariff Final Sale, XS - XL Brief</t>
        </is>
      </c>
      <c r="J439" s="895" t="inlineStr">
        <is>
          <t>nude-skin-mesh-mid-waist-brief</t>
        </is>
      </c>
    </row>
    <row r="440" ht="56" customHeight="1" s="229">
      <c r="A440" s="880" t="inlineStr">
        <is>
          <t>Twin Cross High Waist Brief 2.0</t>
        </is>
      </c>
      <c r="B440" s="881" t="inlineStr">
        <is>
          <t>Underwear</t>
        </is>
      </c>
      <c r="C440" s="882" t="n">
        <v>29</v>
      </c>
      <c r="D440" s="882" t="n">
        <v>17.4</v>
      </c>
      <c r="E440" s="937" t="inlineStr">
        <is>
          <t>Yes</t>
        </is>
      </c>
      <c r="F440" s="883" t="inlineStr">
        <is>
          <t>Classic elegance meets contemporary comfort: introducing the Twin Cross High Waist Brief 2.0, featuring soft, silky fabric that gently embraces your body with comfort and support through the day. This item is FINAL SALE and cannot be returned or exchanged.</t>
        </is>
      </c>
      <c r="G440" s="884" t="inlineStr">
        <is>
          <t>• Features a high waistline, full coverage, and signature cross detail in the back. • Made using imported Italian fabrics - all-day flexibility &amp; comfort. • Finished with a 100% cotton lining.</t>
        </is>
      </c>
      <c r="H440" s="885" t="inlineStr">
        <is>
          <t>76% nylon, 24% Spandex; 100% cotton gusset • Care instructions: Hand wash or machine wash on gentle cycle; lay flat to dry</t>
        </is>
      </c>
      <c r="I440" s="886" t="inlineStr">
        <is>
          <t>22SS 6.24, 25DEC 40OFF, 25DEC SALE, 25Jan Sale, Category_Underwear, Category_Underwear/Bottoms, Category_Underwear/Bottoms/Panties, Category_Underwear/Bottoms/Panties/High Waist, Collection_Twin Cross, Collection_Valentine, Feature_Best Seller, HR-CX, LBD23, no-returns, Sale, Tariff Final Sale, XS - XL Brief</t>
        </is>
      </c>
      <c r="J440" s="887" t="inlineStr">
        <is>
          <t>twin-cross-high-waist-brief-2-0</t>
        </is>
      </c>
    </row>
    <row r="441" ht="28" customHeight="1" s="229">
      <c r="A441" s="904" t="inlineStr">
        <is>
          <t>Essential 2-In-1 Training Shorts</t>
        </is>
      </c>
      <c r="B441" s="905" t="inlineStr">
        <is>
          <t>Active</t>
        </is>
      </c>
      <c r="C441" s="906" t="n">
        <v>79</v>
      </c>
      <c r="D441" s="906" t="n">
        <v>47.4</v>
      </c>
      <c r="E441" s="956" t="inlineStr">
        <is>
          <t>Yes</t>
        </is>
      </c>
      <c r="F441" s="907" t="inlineStr">
        <is>
          <t>Our Essential 2-In-1 Training Shorts with built-in brief are perfect for warm-weather workouts or easy, breezy everyday wear.</t>
        </is>
      </c>
      <c r="G441" s="908" t="inlineStr">
        <is>
          <t>• Features a built-in brief for one less item to pack for the gym! • A djustable drawstrings, overlapping side panels for custom fit &amp; optimal mobility. Size M is 10" in length. • Well suited for a wide range of workouts and everyday use.</t>
        </is>
      </c>
      <c r="H441" s="909" t="inlineStr">
        <is>
          <t>outer: 80% nylon, 20% Spandex; inner: 51 % Spandex, 49% nylon; lining: 100% cotton. • Care instructions: Gently hand wash with like colors in cold water</t>
        </is>
      </c>
      <c r="I441" s="910" t="inlineStr">
        <is>
          <t>22SS 7.1, 24.10 Sale, 25JulySale, Activity_Active/Gym, Activity_Active/Outdoor, Activity_Active/Running, Activity_Active/Tennis, Category_Active, Category_Active/Shorts, Category_Lounge/Bottoms/Elastic, HR-CX, LBD23, no-returns, Tariff Final Sale</t>
        </is>
      </c>
      <c r="J441" s="911" t="inlineStr">
        <is>
          <t>essential-2-in-1-training-shorts</t>
        </is>
      </c>
    </row>
    <row r="442" ht="56" customHeight="1" s="229">
      <c r="A442" s="912" t="inlineStr">
        <is>
          <t>Light Support Shorts</t>
        </is>
      </c>
      <c r="B442" s="913" t="inlineStr">
        <is>
          <t>Active</t>
        </is>
      </c>
      <c r="C442" s="914" t="n">
        <v>65</v>
      </c>
      <c r="D442" s="914" t="n">
        <v>39</v>
      </c>
      <c r="E442" s="955" t="inlineStr">
        <is>
          <t>Yes</t>
        </is>
      </c>
      <c r="F442" s="915" t="inlineStr">
        <is>
          <t>These biker shorts are made from buttery-soft Mousse fabric for outstanding support and comfort during low-impact workouts. Fit tip: if you're in between sizes, we recommend sizing up. This item is FINAL SALE and cannot be returned or exchanged.</t>
        </is>
      </c>
      <c r="G442" s="916" t="inlineStr">
        <is>
          <t>• Durable blend of premium nylon + Lycra¬Æ spandex. • Pocket located inside front waistband for keys or cards. • Best for studio: yoga + barre + pilates and everyday use. • Complete the look with our Light Support V-Back Sports Bra!</t>
        </is>
      </c>
      <c r="H442" s="917" t="inlineStr">
        <is>
          <t>80% nylon, 20% Spandex. • Care instructions: Machine wash in cold water</t>
        </is>
      </c>
      <c r="I442" s="918" t="inlineStr">
        <is>
          <t>2023 BTS Sale, 22SS 7.1, 23 May Sale, Activity_Active/Gym, Activity_Active/Outdoor, Activity_Active/Running, Activity_Active/Yoga, Category_Active, Category_Active/Core, Category_Active/Leggings, Category_Active/Shorts, hide-bis, HR-CX, LBD23, mousse, no-returns, Sale, Spring Palette, Tariff Final Sale</t>
        </is>
      </c>
      <c r="J442" s="919" t="inlineStr">
        <is>
          <t>light-support-shorts</t>
        </is>
      </c>
    </row>
    <row r="443" ht="56" customHeight="1" s="229">
      <c r="A443" s="888" t="inlineStr">
        <is>
          <t>Plisse Lace Low Waist Brief</t>
        </is>
      </c>
      <c r="B443" s="889" t="inlineStr">
        <is>
          <t>Underwear</t>
        </is>
      </c>
      <c r="C443" s="890" t="n">
        <v>39</v>
      </c>
      <c r="D443" s="890" t="n">
        <v>23.4</v>
      </c>
      <c r="E443" s="985" t="inlineStr">
        <is>
          <t>Yes</t>
        </is>
      </c>
      <c r="F443" s="891" t="inlineStr">
        <is>
          <t>It's time to update your lingerie wardrobe with the delicate and romantic Plisse Lace Low Waist Brief. It features refined lace accents and is made from premium imported fabrics for exquisite design details. This item is FINAL SALE and cannot be returned or exchanged.</t>
        </is>
      </c>
      <c r="G443" s="892" t="inlineStr">
        <is>
          <t>• Made from smooth, soft, and subtly sheer Austrian. • Crafted with ancient lace weaving techniques, using 3 to 4x more lace than regular products. • The intricate pattern underneath adds an extra layer of feminine touch.</t>
        </is>
      </c>
      <c r="H443" s="893" t="inlineStr">
        <is>
          <t>surface: 90% nylon, 10% polyester; lining: 100% cotton. • Care instructions: For best results, hand wash in cold water. Lay flat to dry. Do not iron</t>
        </is>
      </c>
      <c r="I443" s="894" t="inlineStr">
        <is>
          <t>2023 BTS Sale, 22SS 6.24, 23 May Sale, 24JuneSale, Category_Underwear, Category_Underwear/Bottoms, Category_Underwear/Bottoms/Panties, Category_Underwear/Bottoms/Panties/Low Waist, Collection_Valentine, hide-bis, HR-CX, LBD23, no-returns, pink collection, Sale, Tariff Final Sale, XS - XL Brief</t>
        </is>
      </c>
      <c r="J443" s="895" t="inlineStr">
        <is>
          <t>plisse-lace-low-waist-brief</t>
        </is>
      </c>
    </row>
    <row r="444" ht="42" customHeight="1" s="229">
      <c r="A444" s="880" t="inlineStr">
        <is>
          <t>Plisse Lace 3/4 Cup Bra</t>
        </is>
      </c>
      <c r="B444" s="881" t="inlineStr">
        <is>
          <t>Underwear</t>
        </is>
      </c>
      <c r="C444" s="882" t="n">
        <v>79</v>
      </c>
      <c r="D444" s="882" t="n">
        <v>47.4</v>
      </c>
      <c r="E444" s="937" t="inlineStr">
        <is>
          <t>Yes</t>
        </is>
      </c>
      <c r="F444" s="883" t="inlineStr">
        <is>
          <t>The Plisse Lace ¬æ Cup Bra features lightweight three-quarter cups with a mesh design that gently embraces your natural shape ‚Äî a must-have bra for all-day comfort and elegance. This item is FINAL SALE and cannot be returned or exchanged.</t>
        </is>
      </c>
      <c r="G444" s="884" t="inlineStr">
        <is>
          <t>• Wireless with subtle pliss√© pleat accents. • Made from imported fabrics refined in Austria: smooth, soft, &amp; subtly sheer. • Intricate pattern underneath adds extra layers of feminine touch.</t>
        </is>
      </c>
      <c r="H444" s="885" t="inlineStr">
        <is>
          <t>outer: 90% nylon, 10% polyester; cup lining: 46% Spandex, 54% nylon. • Care instructions: For best results, hand wash in cold water. Lay flat to dry. Do not iron</t>
        </is>
      </c>
      <c r="I444" s="886" t="inlineStr">
        <is>
          <t>2023 BTS Sale, 22SS 6.24, 23 May Sale, 24JuneSale, Band + Cup Bra, Category_Bras/Light Support, Category_Bras/Plunge, Category_Underwear, Category_Underwear/Tops, Category_Underwear/Tops/Wireless Bra, Collection_Valentine, hide-bis, HR-CX, LBD23, no-returns, pink collection, Sale, Tariff Final Sale</t>
        </is>
      </c>
      <c r="J444" s="887" t="inlineStr">
        <is>
          <t>3-4-cup-bra</t>
        </is>
      </c>
    </row>
    <row r="445" ht="56" customHeight="1" s="229">
      <c r="A445" s="888" t="inlineStr">
        <is>
          <t>Nude Skin Bra</t>
        </is>
      </c>
      <c r="B445" s="889" t="inlineStr">
        <is>
          <t>Underwear</t>
        </is>
      </c>
      <c r="C445" s="890" t="n">
        <v>49</v>
      </c>
      <c r="D445" s="890" t="n">
        <v>34.3</v>
      </c>
      <c r="E445" s="985" t="inlineStr">
        <is>
          <t>Yes</t>
        </is>
      </c>
      <c r="F445" s="891" t="inlineStr">
        <is>
          <t>Introducing the new Nude Skin Bra, an elegant mesh bra that helps you find that perfect wearing-nothing level of comfort. Light, flexible and breathable, this wireless bra is ideal for long-lasting, easy everyday wear. This item is FINAL SALE and cannot be returned or exchanged.</t>
        </is>
      </c>
      <c r="G445" s="892" t="inlineStr">
        <is>
          <t>• Tailored from a blend of Spandex and nylon- smooth and flexible. • Features removable soft triangle cups. • Delicate front mesh lining for a subtle touch of elegance and confident coverage.</t>
        </is>
      </c>
      <c r="H445" s="893" t="inlineStr">
        <is>
          <t>55% nylon, 45% Spandex. • Care instructions: For best results, hand wash with a light detergent in cold water</t>
        </is>
      </c>
      <c r="I445" s="894" t="inlineStr">
        <is>
          <t>22SS 7.1, 23SS A3 Size Bra, 25Jan Sale, Category_Bras/Everyday, Category_Bras/Medium Support, Category_Bras/Plunge, Category_Underwear, Category_Underwear/Tops, Category_Underwear/Tops/Wireless Bra, Feature_Best Seller, HR-CX, LBD23, no-returns, Sale, US Inventory</t>
        </is>
      </c>
      <c r="J445" s="895" t="inlineStr">
        <is>
          <t>nude-skin-bra</t>
        </is>
      </c>
    </row>
    <row r="446" ht="42" customHeight="1" s="229">
      <c r="A446" s="904" t="inlineStr">
        <is>
          <t>Vacation Bikini Top</t>
        </is>
      </c>
      <c r="B446" s="905" t="inlineStr">
        <is>
          <t>Active</t>
        </is>
      </c>
      <c r="C446" s="906" t="n">
        <v>69</v>
      </c>
      <c r="D446" s="906" t="n">
        <v>69</v>
      </c>
      <c r="E446" s="905" t="inlineStr"/>
      <c r="F446" s="907" t="inlineStr">
        <is>
          <t>Soak up the sun in this retro-style Vacation Bikini Top ‚Äî made from soft Italian fabric, this top blends simplicity and elegance. Pair it with the matching Vacation High Waist Bikini Bottom for the perfect beach outfit!</t>
        </is>
      </c>
      <c r="G446" s="908" t="inlineStr">
        <is>
          <t>• Features a cutout front with adjustable tie. • Criss-cross &amp; tie closure in the back for flexibility and security. • Pair with the matching Vacation High Waist Bikini Bottom.</t>
        </is>
      </c>
      <c r="H446" s="909" t="inlineStr">
        <is>
          <t>89% nylon, 11% Spandex. • Care instructions: Gently hand wash with like colors in cold water, allowing to soak no longer than 5 minutes. Do not use harsh detergents, or twist/scrub fabric</t>
        </is>
      </c>
      <c r="I446" s="910" t="inlineStr">
        <is>
          <t>22SS 6.24, Activity_Active/Swim, Category_Active, Category_Active/Swimwear, Category_Active/Swimwear/Top, Flexport Stock, hide-bis, LBD23, Tariff Final Sale, US Inventory</t>
        </is>
      </c>
      <c r="J446" s="911" t="inlineStr">
        <is>
          <t>bikini-top</t>
        </is>
      </c>
    </row>
    <row r="447" ht="42" customHeight="1" s="229">
      <c r="A447" s="912" t="inlineStr">
        <is>
          <t>Vacation Swimsuit</t>
        </is>
      </c>
      <c r="B447" s="913" t="inlineStr">
        <is>
          <t>Active</t>
        </is>
      </c>
      <c r="C447" s="914" t="n">
        <v>99</v>
      </c>
      <c r="D447" s="914" t="n">
        <v>99</v>
      </c>
      <c r="E447" s="913" t="inlineStr"/>
      <c r="F447" s="915" t="inlineStr">
        <is>
          <t>Make a splash with this unique Vacation Swimsuit! Designed in a chic vintage style, this swimsuit features pleated fabric with a romantic ruched neckline and pairs well with any flowy cover-up for a charming beach look.</t>
        </is>
      </c>
      <c r="G447" s="916" t="inlineStr">
        <is>
          <t>• Keyhole at the front adds an understated feminine flair. • Criss-crossed design with adjustable straps in the back. • One-piece construction. Best suited for A-C cup.</t>
        </is>
      </c>
      <c r="H447" s="917" t="inlineStr">
        <is>
          <t>outer: 87% nylon, 13% Spandex; Inner: 82% nylon, 18% Spandex. • Care instructions: Gently hand wash with like colors in cold water, allowing to soak no longer than 5 minutes. Do not use harsh detergents, or twist/scrub fabric</t>
        </is>
      </c>
      <c r="I447" s="918" t="inlineStr">
        <is>
          <t>22SS 6.24, Activity_Active/Swim, Category_Active, Category_Active/Bodysuits, Category_Active/Swimwear, Category_Active/Swimwear/One_Piece, Flexport Stock, LBD23, Tariff Final Sale</t>
        </is>
      </c>
      <c r="J447" s="919" t="inlineStr">
        <is>
          <t>vacation-swimsuit</t>
        </is>
      </c>
    </row>
    <row r="448" ht="42" customHeight="1" s="229">
      <c r="A448" s="904" t="inlineStr">
        <is>
          <t>Vacation High Waist Bikini Bottom</t>
        </is>
      </c>
      <c r="B448" s="905" t="inlineStr">
        <is>
          <t>Active</t>
        </is>
      </c>
      <c r="C448" s="906" t="n">
        <v>55</v>
      </c>
      <c r="D448" s="906" t="n">
        <v>55</v>
      </c>
      <c r="E448" s="905" t="inlineStr"/>
      <c r="F448" s="907" t="inlineStr">
        <is>
          <t>Soak up the sun in this retro-style Vacation High Waist Bikini Bottom. Featuring soft and pleated fabric, this bottom provides flattering tummy coverage for a comfy, no-stress day at the beach.</t>
        </is>
      </c>
      <c r="G448" s="908" t="inlineStr">
        <is>
          <t>• High-waisted bikini bottom offering full coverage. • Made from lightweight Italian fabric. • Pair with the matching Vacation Bikini Top.</t>
        </is>
      </c>
      <c r="H448" s="909" t="inlineStr">
        <is>
          <t>89% nylon, 11% Spandex. • Care instructions: Gently hand wash with like colors in cold water, allowing to soak no longer than 5 minutes. Do not use harsh detergents, or twist/scrub fabric</t>
        </is>
      </c>
      <c r="I448" s="910" t="inlineStr">
        <is>
          <t>22SS 6.24, Activity_Active/Swim, Category_Active, Category_Active/Swimwear, Category_Active/Swimwear/Bottom, Flexport Stock, hide-bis, LBD23, US Inventory, US Main, XS - XL Brief</t>
        </is>
      </c>
      <c r="J448" s="911" t="inlineStr">
        <is>
          <t>vacation-high-waist-bikini-bottom</t>
        </is>
      </c>
    </row>
    <row r="449" ht="56" customHeight="1" s="229">
      <c r="A449" s="880" t="inlineStr">
        <is>
          <t>Twin Cross Mesh Mid Waist Brief</t>
        </is>
      </c>
      <c r="B449" s="881" t="inlineStr">
        <is>
          <t>Underwear</t>
        </is>
      </c>
      <c r="C449" s="882" t="n">
        <v>29</v>
      </c>
      <c r="D449" s="882" t="n">
        <v>17.4</v>
      </c>
      <c r="E449" s="937" t="inlineStr">
        <is>
          <t>Yes</t>
        </is>
      </c>
      <c r="F449" s="883" t="inlineStr">
        <is>
          <t>Introducing the Twin Cross Mesh Mid Waist Brief, featuring full coverage with a mesh design that adds a breathable, feminine touch. Hugs your body gently with soft, silky, and subtly sheer fabric. This item is FINAL SALE and cannot be returned or exchanged.</t>
        </is>
      </c>
      <c r="G449" s="884" t="inlineStr">
        <is>
          <t>• Mid waist cut, full bottom coverage. • Invisible finish u nder clothing. • Slightly higher than regular mid-waist for more coverage.</t>
        </is>
      </c>
      <c r="H449" s="885" t="inlineStr">
        <is>
          <t>65% nylon, 35% Spandex; 100% cotton gusset • Care instructions: Hand wash or machine wash on gentle cycle, lay flat to dry</t>
        </is>
      </c>
      <c r="I449" s="886" t="inlineStr">
        <is>
          <t>22SS 6.17, 25DEC 40OFF, 25DEC SALE, 25Jan Sale, Category_Lingerie/Brief/Mid Waist, Category_Underwear, Category_Underwear/Bottoms, Category_Underwear/Bottoms/Panties, Category_Underwear/Bottoms/Panties/Mid Waist, Collection_Twin Cross, HR-CX, LBD23, no-returns, Sale, Tariff Final Sale, XS - XL Brief</t>
        </is>
      </c>
      <c r="J449" s="887" t="inlineStr">
        <is>
          <t>twin-cross-mesh-mid-waist-brief</t>
        </is>
      </c>
    </row>
    <row r="450" ht="56" customHeight="1" s="229">
      <c r="A450" s="912" t="inlineStr">
        <is>
          <t>Core High Support Leggings</t>
        </is>
      </c>
      <c r="B450" s="913" t="inlineStr">
        <is>
          <t>Active</t>
        </is>
      </c>
      <c r="C450" s="914" t="n">
        <v>109</v>
      </c>
      <c r="D450" s="914" t="n">
        <v>65.40000000000001</v>
      </c>
      <c r="E450" s="955" t="inlineStr">
        <is>
          <t>Yes</t>
        </is>
      </c>
      <c r="F450" s="915" t="inlineStr">
        <is>
          <t>Meet our Core High Intensity Leggings: street-to-studio leggings that balance function and elegance ‚Äî perfect for high-impact activities or daily wear! Fit tip: if you're in between sizes, we recommend sizing up. This item is FINAL SALE and cannot be returned or exchanged.</t>
        </is>
      </c>
      <c r="G450" s="916" t="inlineStr">
        <is>
          <t>• High-waist, ankle-length, and highly elastic for comfort fit &amp; optimal mobility. • Performance blend of Spandex and nylon. Lightweight, firm &amp; stretchy. • Functional side pockets for phones and other objects. • Complete the look with our High Support X-Back Sports Bra! • Inseam is 22.6" for Size M.</t>
        </is>
      </c>
      <c r="H450" s="917" t="inlineStr">
        <is>
          <t>68% nylon, 32% Spandex. • Care instructions: Gently hand wash (do not twist or knead vigorously) with like colors in cold water</t>
        </is>
      </c>
      <c r="I450" s="918" t="inlineStr">
        <is>
          <t>2023 BTS Sale, 22SS 6.3, 23 May Sale, Activity_Active/Dance, Activity_Active/Gym, Activity_Active/Outdoor, Activity_Active/Running, Activity_Active/Yoga, Category_Active, Category_Active/Core, Category_Active/Leggings, hide-bis, HR-CX, LBD23, no-returns, Sale, Tariff Final Sale, US Inventory</t>
        </is>
      </c>
      <c r="J450" s="919" t="inlineStr">
        <is>
          <t>core-high-support-leggings</t>
        </is>
      </c>
    </row>
    <row r="451" ht="56" customHeight="1" s="229">
      <c r="A451" s="904" t="inlineStr">
        <is>
          <t>High Support X-Back Sports Bra</t>
        </is>
      </c>
      <c r="B451" s="905" t="inlineStr">
        <is>
          <t>Active</t>
        </is>
      </c>
      <c r="C451" s="906" t="n">
        <v>79</v>
      </c>
      <c r="D451" s="906" t="n">
        <v>55.3</v>
      </c>
      <c r="E451" s="956" t="inlineStr">
        <is>
          <t>Yes</t>
        </is>
      </c>
      <c r="F451" s="907" t="inlineStr">
        <is>
          <t>The High Support X-Back Sports Bra provides support, movement control, and comfort ‚Äî perfect for high-impact workouts. Fit tip: if you're in between sizes, we recommend sizing up. This item is FINAL SALE and cannot be returned or exchanged.</t>
        </is>
      </c>
      <c r="G451" s="908" t="inlineStr">
        <is>
          <t>• Convenient zip-front closure, racerback design for optimal mobility. • Breathable and supportive stretch mesh panels for ventilation. • 3D Motion Support TM fixed cups for a better fitting and a powerful support. • Complete the look with our Core High Intensity Leggings!</t>
        </is>
      </c>
      <c r="H451" s="909" t="inlineStr">
        <is>
          <t>Body: 68% nylon, 32% Spandex; Lining: 82% nylon, 18% Spandex; Cups: 100% polyester. • Care instructions: Gently hand wash (do not twist or knead vigorously) with like colors in cold water</t>
        </is>
      </c>
      <c r="I451" s="910" t="inlineStr">
        <is>
          <t>2023 BTS Sale, 22SS 6.3, 23 May Sale, Activity_Active/Gym, Activity_Active/Outdoor, Activity_Active/Running, Activity_Active/Yoga, B1 Sports Bra, Category_Active, Category_Active/Core, Category_Active/Sports Bra, hide-bis, LBD23, no-returns, Sale</t>
        </is>
      </c>
      <c r="J451" s="911" t="inlineStr">
        <is>
          <t>core-high-support-x-back-bra</t>
        </is>
      </c>
    </row>
    <row r="452" ht="56" customHeight="1" s="229">
      <c r="A452" s="912" t="inlineStr">
        <is>
          <t>Light Support V-Back Sports Bra</t>
        </is>
      </c>
      <c r="B452" s="913" t="inlineStr">
        <is>
          <t>Active</t>
        </is>
      </c>
      <c r="C452" s="914" t="n">
        <v>69</v>
      </c>
      <c r="D452" s="914" t="n">
        <v>41.4</v>
      </c>
      <c r="E452" s="955" t="inlineStr">
        <is>
          <t>Yes</t>
        </is>
      </c>
      <c r="F452" s="915" t="inlineStr">
        <is>
          <t>The Light Support V-Back Sports Bra features a unique V-back silhouette that gently hugs your body as it provides support. Fit tip: if you're in between sizes, we recommend sizing up. This item is FINAL SALE and cannot be returned or exchanged.</t>
        </is>
      </c>
      <c r="G452" s="916" t="inlineStr">
        <is>
          <t>• Durable blend of premium nylon + Lycra¬Æ Spandex for stretchy fit. • Upgraded removable pads with mesh structure for comfort and breathability. • Full coverage in the front with an open back to support a full range of motion. • Best for studio: yoga, barre, pilates, and everyday use.</t>
        </is>
      </c>
      <c r="H452" s="917" t="inlineStr">
        <is>
          <t>Body: 53% Spandex,47% nylon; Lining: 82% nylon, 18% Spandex; Cups: 100% polyester. • Care instructions: Gently hand wash (do not twist or knead vigorously) with like colors in cold water</t>
        </is>
      </c>
      <c r="I452" s="918" t="inlineStr">
        <is>
          <t>2023 BTS Sale, 22SS 6.3, 23 May Sale, 25DEC 40OFF, 25DEC SALE, Activity_Active/Yoga, B1 Sports Bra, Category_Active, Category_Active/Core, Category_Active/Sports Bra, Flexport Stock, hide-bis, HR-CX, LBD23, no-returns, Sale, Spring Palette, Tariff Final Sale, US Inventory</t>
        </is>
      </c>
      <c r="J452" s="919" t="inlineStr">
        <is>
          <t>core-light-support-v-back-bra</t>
        </is>
      </c>
    </row>
    <row r="453" ht="56" customHeight="1" s="229">
      <c r="A453" s="904" t="inlineStr">
        <is>
          <t>Medium Support M-Back Sports Bra</t>
        </is>
      </c>
      <c r="B453" s="905" t="inlineStr">
        <is>
          <t>Active</t>
        </is>
      </c>
      <c r="C453" s="906" t="n">
        <v>79</v>
      </c>
      <c r="D453" s="906" t="n">
        <v>47.4</v>
      </c>
      <c r="E453" s="956" t="inlineStr">
        <is>
          <t>Yes</t>
        </is>
      </c>
      <c r="F453" s="907" t="inlineStr">
        <is>
          <t>This stylish sports bra balances function and elegance to support a range of activities, making it a win on and off the mat. Fit tip: if you're in between sizes, we recommend sizing up. This item is FINAL SALE and cannot be returned or exchanged.</t>
        </is>
      </c>
      <c r="G453" s="908" t="inlineStr">
        <is>
          <t>• 2D Motion Support TM cups provide a secure fit and support. • Breathable and supportive stretch mesh panels for ventilation. • Constructed with Turbo Dry TM band that wicks moisture 3 times faster! The bra holds you in while keeping skin dry.</t>
        </is>
      </c>
      <c r="H453" s="909" t="inlineStr">
        <is>
          <t>Body: 66% nylon, 34% Spandex; Lining: 82% nylon, 18% Spandex; Cups: 100% polyester. • Care instructions: Gently hand wash (do not twist or knead vigorously) with like colors in cold water</t>
        </is>
      </c>
      <c r="I453" s="910" t="inlineStr">
        <is>
          <t>2023 BTS Sale, 22SS 6.3, 23 May Sale, 25DEC 40OFF, 25DEC SALE, Activity_Active/Gym, Activity_Active/Outdoor, Activity_Active/Running, Activity_Active/Yoga, B1 Sports Bra, Category_Active, Category_Active/Core, Category_Active/Sports Bra, hide-bis, HR-CX, LBD23, no-returns, Sale, Tariff Final Sale, US Inventory</t>
        </is>
      </c>
      <c r="J453" s="911" t="inlineStr">
        <is>
          <t>core-medium-support-m-back-bra</t>
        </is>
      </c>
    </row>
    <row r="454" ht="56" customHeight="1" s="229">
      <c r="A454" s="888" t="inlineStr">
        <is>
          <t>Twin Cross Wide Strap Plunge Contour Bra 2.0</t>
        </is>
      </c>
      <c r="B454" s="889" t="inlineStr">
        <is>
          <t>Underwear</t>
        </is>
      </c>
      <c r="C454" s="890" t="n">
        <v>79</v>
      </c>
      <c r="D454" s="890" t="n">
        <v>47.4</v>
      </c>
      <c r="E454" s="985" t="inlineStr">
        <is>
          <t>Yes</t>
        </is>
      </c>
      <c r="F454" s="891" t="inlineStr">
        <is>
          <t>Our Twin Cross Wide Strap Plunge Contour Bra is constructed with imported Italian fabric and uses a Japanese patented cross technique that easily adapts to your shape for support and comfort. This item is FINAL SALE and cannot be returned or exchanged.</t>
        </is>
      </c>
      <c r="G454" s="892" t="inlineStr">
        <is>
          <t>• Adjustable wide straps for additional support and minimal pressure. • Completely wireless, with a keyhole design for better breathability and comfort. • Non-removable cups provide the right lift and security at every moment.</t>
        </is>
      </c>
      <c r="H454" s="893" t="inlineStr">
        <is>
          <t>76% nylon, 24% Spandex; lining: 72% nylon, 28% Spandex • Care instructions: Machine wash on gentle cycle or hand wash in cold water; hang to dry</t>
        </is>
      </c>
      <c r="I454" s="894" t="inlineStr">
        <is>
          <t>22SS 5.27, 25Jan Sale, 25JulySale, Band + Cup Bra, Category_Bras/High Support, Category_Bras/Plunge, Category_Underwear, Category_Underwear/Tops, Category_Underwear/Tops/Wireless Bra, Category_Underwear/Tops/Wireless Bra/Push-Up, Category_Underwear/Tops/Wireless Bra/Soft-Cup, Collection_Twin Cross, Collection_Valentine, HR-CX, LBD23, no-returns, Sale, Tariff Final Sale</t>
        </is>
      </c>
      <c r="J454" s="895" t="inlineStr">
        <is>
          <t>twin-cross-wide-strap-bra</t>
        </is>
      </c>
    </row>
    <row r="455" ht="56" customHeight="1" s="229">
      <c r="A455" s="880" t="inlineStr">
        <is>
          <t>Twin Cross Plunge Contour Bra 2.0</t>
        </is>
      </c>
      <c r="B455" s="881" t="inlineStr">
        <is>
          <t>Underwear</t>
        </is>
      </c>
      <c r="C455" s="882" t="n">
        <v>69</v>
      </c>
      <c r="D455" s="882" t="n">
        <v>41.4</v>
      </c>
      <c r="E455" s="937" t="inlineStr">
        <is>
          <t>Yes</t>
        </is>
      </c>
      <c r="F455" s="883" t="inlineStr">
        <is>
          <t>Our Twin Cross Plunge Contour Bra is made from luxurious Italian fabric and uses a patented Japanese cross-layer design for support. This is a must-have bra for elegant, effortless support all year long. This item is FINAL SALE and cannot be returned or exchanged.</t>
        </is>
      </c>
      <c r="G455" s="884" t="inlineStr">
        <is>
          <t>• Adjustable spaghetti straps and back buckle for a customizable fit. • Completely wireless, with a keyhole design for breathability and skin comfort. • Made with non-removable cups for lift and security. • Stable support from both sides, so you can worry less about spillage.</t>
        </is>
      </c>
      <c r="H455" s="885" t="inlineStr">
        <is>
          <t>76% nylon, 24% Spandex; lining: 72% nylon, 28% Spandex • Care instructions: Machine wash on gentle cycle or hand wash in cold water; hang to dry</t>
        </is>
      </c>
      <c r="I455" s="886" t="inlineStr">
        <is>
          <t>22SS 5.27, 25Jan Sale, 25JulySale, Band + Cup Bra, Category_Bras/High Support, Category_Bras/Plunge, Category_Underwear, Category_Underwear/Tops, Category_Underwear/Tops/Wireless Bra, Category_Underwear/Tops/Wireless Bra/Push-Up, Category_Underwear/Tops/Wireless Bra/Soft-Cup, Collection_Twin Cross, Collection_Valentine, Feature_Best Seller, HR-CX, LBD23, no-returns, Sale, Tariff Final Sale</t>
        </is>
      </c>
      <c r="J455" s="887" t="inlineStr">
        <is>
          <t>twin-cross-spaghetti-strap-bra</t>
        </is>
      </c>
    </row>
    <row r="456" ht="28" customHeight="1" s="229">
      <c r="A456" s="888" t="inlineStr">
        <is>
          <t>Nude Shape Mid Waist Brief 2.0</t>
        </is>
      </c>
      <c r="B456" s="889" t="inlineStr">
        <is>
          <t>Underwear</t>
        </is>
      </c>
      <c r="C456" s="890" t="n">
        <v>19</v>
      </c>
      <c r="D456" s="890" t="n">
        <v>13.3</v>
      </c>
      <c r="E456" s="985" t="inlineStr">
        <is>
          <t>Yes</t>
        </is>
      </c>
      <c r="F456" s="891" t="inlineStr">
        <is>
          <t>Our upgraded Nude Shape Mid Waist Brief 2.0 is the ultimate brief for everyday comfort, featuring a just-right rise for full coverage and a near-seamless fit.</t>
        </is>
      </c>
      <c r="G456" s="892" t="inlineStr">
        <is>
          <t>• Classic mid-waist cut, easy fit for everyday comfort. • Made from a flexible blend of Spandex and nylon with a 100% cotton lining. • Smooth touch, seamless finish, and flexible fit.</t>
        </is>
      </c>
      <c r="H456" s="893" t="inlineStr">
        <is>
          <t>outer: 72% nylon, 28% Spandex; lining: 100% cotton • Care instructions: For best results, hand wash with a light detergent in cold water</t>
        </is>
      </c>
      <c r="I456" s="894" t="inlineStr">
        <is>
          <t>22SS 5.27, 25JulySale, Category_Lingerie/Brief/Mid Waist, Category_Underwear, Category_Underwear/Bottoms, Category_Underwear/Bottoms/Panties, Category_Underwear/Bottoms/Panties/Mid Waist, HR-CX, LBD23, no-returns, pink collection, Tariff Final Sale, XS - XL Brief</t>
        </is>
      </c>
      <c r="J456" s="895" t="inlineStr">
        <is>
          <t>nude-shape-mid-waist-brief-2-0</t>
        </is>
      </c>
    </row>
    <row r="457" ht="28" customHeight="1" s="229">
      <c r="A457" s="938" t="inlineStr">
        <is>
          <t>Ribbed Modal Men's Boxer Brief</t>
        </is>
      </c>
      <c r="B457" s="939" t="inlineStr">
        <is>
          <t>Men</t>
        </is>
      </c>
      <c r="C457" s="940" t="n">
        <v>19</v>
      </c>
      <c r="D457" s="940" t="n">
        <v>13.3</v>
      </c>
      <c r="E457" s="941" t="inlineStr">
        <is>
          <t>Yes</t>
        </is>
      </c>
      <c r="F457" s="942" t="inlineStr">
        <is>
          <t>Made with COOLMAX¬Æ fiber that helps you beat the heat, this Ribbed Modal Men's Brief provides luxurious comfort while keeping you cool and dry all day long.</t>
        </is>
      </c>
      <c r="G457" s="943" t="inlineStr">
        <is>
          <t>• Features a 3D cut with extra soft stretch for a flexible fit. • Chafe-free seams provide an invisible fit under bottoms. • Made from COOLMAX¬Æ fiber to let your skin breathe and keep it healthy and comfortable.</t>
        </is>
      </c>
      <c r="H457" s="944" t="inlineStr">
        <is>
          <t>Fabric: 53% modal, 34% polyester, 13% Spandex • Care instructions: Hand wash or m achine wash in cold water, hang to dry</t>
        </is>
      </c>
      <c r="I457" s="945" t="inlineStr">
        <is>
          <t>22SS 5.27, 24.10 Sale, Bundle Collection, Category_Men, Category_Men/Underwear, Category_Underwear, Fabric_Underwear/Tencel Modal, HR-CX, LBD23, no-returns, Tariff Final Sale</t>
        </is>
      </c>
      <c r="J457" s="946" t="inlineStr">
        <is>
          <t>ribbed-modal-mens-boxer-brief</t>
        </is>
      </c>
    </row>
    <row r="458" ht="56" customHeight="1" s="229">
      <c r="A458" s="880" t="inlineStr">
        <is>
          <t>Pantie Pro High Waist Period Brief</t>
        </is>
      </c>
      <c r="B458" s="881" t="inlineStr">
        <is>
          <t>Underwear</t>
        </is>
      </c>
      <c r="C458" s="882" t="n">
        <v>45</v>
      </c>
      <c r="D458" s="882" t="n">
        <v>27</v>
      </c>
      <c r="E458" s="937" t="inlineStr">
        <is>
          <t>Yes</t>
        </is>
      </c>
      <c r="F458" s="883" t="inlineStr">
        <is>
          <t>Our PANTIE PRO High Waist Period Brief's secret is its three-layer N√ºWA-TECH‚Ñ¢ design comprised of a quick-drying inner lining, a highly-absorbent middle layer, and a waterproof exterior. This item is FINAL SALE and cannot be returned or exchanged.</t>
        </is>
      </c>
      <c r="G458" s="884" t="inlineStr">
        <is>
          <t>• Durable, elastic, and highly absorbent for all-day, worry-free comfort ‚Äî great for replacing or reducing the use of disposable hygiene products. • Maximum absorbency of 58 mL of fluid (approximately 5 regular tampons). Leak-free high-waist cut for full coverage and all-day confidence. • Available in two colors &amp; multiple sizes for the perfect fit.</t>
        </is>
      </c>
      <c r="H458" s="885" t="inlineStr">
        <is>
          <t>Shell: 95% Cotton 5% Spandex. Lining: 90%Polyester, 10% Spandex. Middle Layer: 91% nylon, 9% Spandex. Inner Layer: 89% nylon, 11% Spandex. • Care instructions: For best results, g ently handwash with like colors in cold water or machine wash cold using a laundry bag</t>
        </is>
      </c>
      <c r="I458" s="886" t="inlineStr">
        <is>
          <t>2023 BTS Sale, 22SS 5.27, 23 Spring Sale, 23Oct Markdown, Category_Underwear, Category_Underwear/Bottoms, Category_Underwear/Bottoms/Panties, Category_Underwear/Bottoms/Panties/High Waist, Fabric_Underwear/Pantie Pro, hide-bis, HR-CX, LBD23, no-returns, Pre-adjustment Size Brief, Sale, Tariff Final Sale</t>
        </is>
      </c>
      <c r="J458" s="887" t="inlineStr">
        <is>
          <t>high-waist-pantie-pro</t>
        </is>
      </c>
    </row>
    <row r="459" ht="56" customHeight="1" s="229">
      <c r="A459" s="888" t="inlineStr">
        <is>
          <t>Pantie Pro Mid Waist Period Brief</t>
        </is>
      </c>
      <c r="B459" s="889" t="inlineStr">
        <is>
          <t>Underwear</t>
        </is>
      </c>
      <c r="C459" s="890" t="n">
        <v>38</v>
      </c>
      <c r="D459" s="890" t="n">
        <v>22.8</v>
      </c>
      <c r="E459" s="985" t="inlineStr">
        <is>
          <t>Yes</t>
        </is>
      </c>
      <c r="F459" s="891" t="inlineStr">
        <is>
          <t>Our PANTIE PRO Mid Waist Period Brief's secret is its three-layer N√ºWA-TECH‚Ñ¢ design, comprised of a quick-drying inner lining, a highly-absorbent middle layer, and a waterproof exterior. This item is FINAL SALE and cannot be returned or exchanged.</t>
        </is>
      </c>
      <c r="G459" s="892" t="inlineStr">
        <is>
          <t>• Durable, elastic, and highly absorbent for all-day, worry-free comfort ‚Äî great for replacing or reducing the use of disposable hygiene products. • Maximum absorbency of 36 mL of fluid (approximately 4 regular tampons). Leak-free mid-waist cut for full coverage and all-day confidence. • Available in three colors &amp; multiple sizes for the perfect fit.</t>
        </is>
      </c>
      <c r="H459" s="893" t="inlineStr">
        <is>
          <t>Shell: 95% Cotton 5% Spandex. Lining: 90% Polyester, 10% Spandex. Middle Layer: 91% nylon, 9% Spandex. Inner Layer: 89% nylon, 11% Spandex. • Care instructions: For best results, g ently handwash with like colors in cold water or machine wash cold using a laundry bag</t>
        </is>
      </c>
      <c r="I459" s="894" t="inlineStr">
        <is>
          <t>2023 BTS Sale, 22SS 5.27, 23 Spring Sale, 23Oct Markdown, Category_Lingerie/Brief/Mid Waist, Category_Underwear, Category_Underwear/Bottoms, Category_Underwear/Bottoms/Panties, Category_Underwear/Bottoms/Panties/Mid Waist, Fabric_Underwear/Pantie Pro, hide-bis, HR-CX, LBD23, no-returns, Pre-adjustment Size Brief, Sale, Tariff Final Sale</t>
        </is>
      </c>
      <c r="J459" s="895" t="inlineStr">
        <is>
          <t>pantie-pro-mid-waist-period-brief</t>
        </is>
      </c>
    </row>
    <row r="460" ht="42" customHeight="1" s="229">
      <c r="A460" s="966" t="inlineStr">
        <is>
          <t>Barely Zero Mid Waist Brief 2.0 Trio</t>
        </is>
      </c>
      <c r="B460" s="967" t="inlineStr">
        <is>
          <t>Bundle3</t>
        </is>
      </c>
      <c r="C460" s="968" t="n">
        <v>19</v>
      </c>
      <c r="D460" s="968" t="n">
        <v>15.5</v>
      </c>
      <c r="E460" s="969" t="inlineStr">
        <is>
          <t>Yes</t>
        </is>
      </c>
      <c r="F460" s="970" t="inlineStr">
        <is>
          <t>This bundle contains three of the latest generation of Barely Zero Mid Waist Briefs: the first to feature two sizes to better adapt to a wider range of body types!</t>
        </is>
      </c>
      <c r="G460" s="971" t="inlineStr">
        <is>
          <t>• Classic mid-rise cut for f ull coverage and comfort all day and night. • T ailored for a close and comfortable fit. • Made from our signature moisture-wicking, odor-reducing CloudFit blend, complete with a 100% cotton lining.</t>
        </is>
      </c>
      <c r="H460" s="972" t="inlineStr">
        <is>
          <t>67% CloudFit nylon blend, 33% Spandex; lining: 100% cotton</t>
        </is>
      </c>
      <c r="I460" s="973" t="inlineStr">
        <is>
          <t>22SS 5.13, 22SS 6.24, Bundle Collection, BZ Sized Brief, Category_Lingerie/Brief/Mid Waist, Category_Underwear/Bottoms/Panties, Collection_Barely Zero, HR-CX, Memorial Day Bundle Price Update, Priority Products</t>
        </is>
      </c>
      <c r="J460" s="974" t="inlineStr">
        <is>
          <t>barely-zero-mid-waist-brief-2-0-trio</t>
        </is>
      </c>
    </row>
    <row r="461" ht="42" customHeight="1" s="229">
      <c r="A461" s="966" t="inlineStr">
        <is>
          <t>Barely Zero Mid Waist Brief 2.0 Bundle</t>
        </is>
      </c>
      <c r="B461" s="967" t="inlineStr">
        <is>
          <t>Bundle</t>
        </is>
      </c>
      <c r="C461" s="968" t="n">
        <v>19</v>
      </c>
      <c r="D461" s="968" t="n">
        <v>17.25</v>
      </c>
      <c r="E461" s="969" t="inlineStr">
        <is>
          <t>Yes</t>
        </is>
      </c>
      <c r="F461" s="970" t="inlineStr">
        <is>
          <t>This bundle contains two of the latest generation of Barely Zero Mid Waist Briefs: the first to feature two sizes to better adapt to a wider range of body types!</t>
        </is>
      </c>
      <c r="G461" s="971" t="inlineStr">
        <is>
          <t>• Classic mid-rise cut for f ull coverage and comfort all day and night. • T ailored for a close and comfortable fit. • Made from our signature moisture-wicking, odor-reducing CloudFit blend, complete with a 100% cotton lining.</t>
        </is>
      </c>
      <c r="H461" s="972" t="inlineStr">
        <is>
          <t>67% CloudFit nylon blend, 33% Spandex; lining: 100% cotton</t>
        </is>
      </c>
      <c r="I461" s="973" t="inlineStr">
        <is>
          <t>22SS 5.13, 22SS 6.24, Bundle Collection, BZ Sized Brief, Category_Lingerie/Brief/Mid Waist, Category_Underwear/Bottoms/Panties, Collection_Barely Zero, HR-CX, Memorial Day Bundle Price Update, Priority Products</t>
        </is>
      </c>
      <c r="J461" s="974" t="inlineStr">
        <is>
          <t>barely-zero-mid-waist-brief-2-0-bundle</t>
        </is>
      </c>
    </row>
    <row r="462" ht="70" customHeight="1" s="229">
      <c r="A462" s="975" t="inlineStr">
        <is>
          <t>Barely Zero Fixed Cup Clasp Bra Trio</t>
        </is>
      </c>
      <c r="B462" s="976" t="inlineStr">
        <is>
          <t>Bundle3</t>
        </is>
      </c>
      <c r="C462" s="977" t="n">
        <v>49</v>
      </c>
      <c r="D462" s="977" t="n">
        <v>39.5</v>
      </c>
      <c r="E462" s="978" t="inlineStr">
        <is>
          <t>Yes</t>
        </is>
      </c>
      <c r="F462" s="979" t="inlineStr">
        <is>
          <t>This bundle includes three Barely Zero Fixed Cup Clasp Bras, which are made with Flo Support‚Ñ¢ and Bisous Cups‚Ñ¢, two technologies that provide greater support and comfort than ever before. F it tip: If you're in between sizes, we recommend sizing up. The bra may also feel tight initially but will stretch slightly to adapt to your body.</t>
        </is>
      </c>
      <c r="G462" s="980" t="inlineStr">
        <is>
          <t>• Features adjustable spaghetti straps and a back clasp for easy on-and-off. Size XS-S comes with two hooks and size M-L comes with three hooks. • Flo Support‚Ñ¢: lower band lined with food-grade silicone in a water-ripple pattern to support and improve breathability and skin comfort. • Bisous Cups‚Ñ¢: crease-resistant, non-removable laminated cups designed to better fit your natural curves. • Made from our highly-elastic blend of CloudFit &amp; Spandex in two sizes: XS-S for those who normally wear A-C cups, and M-L for those who wear up to a D cup.</t>
        </is>
      </c>
      <c r="H462" s="981" t="inlineStr">
        <is>
          <t>outer: 70% CloudFit nylon blend, 30% Spandex; cup lining: 86% polyester, 14% Spandex</t>
        </is>
      </c>
      <c r="I462" s="982" t="inlineStr">
        <is>
          <t>Bundle Collection, BZ Fixed Cup Size Bra, Canada, Category_Bras/High Support, Category_Bras/Plunge, Collection_Barely Zero, Collection_Barely Zero/Bras, Memorial Day Bundle Price Update, Priority Products, Sized BZ Bras</t>
        </is>
      </c>
      <c r="J462" s="983" t="inlineStr">
        <is>
          <t>barely-zero-fixed-cup-clasp-bra-trio</t>
        </is>
      </c>
    </row>
    <row r="463" ht="70" customHeight="1" s="229">
      <c r="A463" s="975" t="inlineStr">
        <is>
          <t>Barely Zero Fixed Cup Clasp Bra Bundle</t>
        </is>
      </c>
      <c r="B463" s="976" t="inlineStr">
        <is>
          <t>Bundle</t>
        </is>
      </c>
      <c r="C463" s="977" t="n">
        <v>49</v>
      </c>
      <c r="D463" s="977" t="n">
        <v>44.25</v>
      </c>
      <c r="E463" s="978" t="inlineStr">
        <is>
          <t>Yes</t>
        </is>
      </c>
      <c r="F463" s="979" t="inlineStr">
        <is>
          <t>This bundle includes two Barely Zero Fixed Cup Clasp Bras, which are made with Flo Support‚Ñ¢ and Bisous Cups‚Ñ¢, two technologies that provide greater support and comfort than ever before. F it tip: If you're in between sizes, we recommend sizing up. The bra may also feel tight initially but will stretch slightly to adapt to your body.</t>
        </is>
      </c>
      <c r="G463" s="980" t="inlineStr">
        <is>
          <t>• Features adjustable spaghetti straps and a back clasp for easy on-and-off. Size XS-S comes with two hooks and size M-L comes with three hooks. • Flo Support‚Ñ¢: lower band lined with food-grade silicone in a water-ripple pattern to support and improve breathability and skin comfort. • Bisous Cups‚Ñ¢: crease-resistant, fixed laminated cups designed to hug your curves and simplify care. • Made from our highly-elastic blend of CloudFit &amp; Spandex, making it a great option for nursing and fluctuating sizes. Please see our size chart for detailed guidance.</t>
        </is>
      </c>
      <c r="H463" s="981" t="inlineStr">
        <is>
          <t>outer: 70% CloudFit nylon blend, 30% Spandex; cup lining: 86% polyester, 14% Spandex</t>
        </is>
      </c>
      <c r="I463" s="982" t="inlineStr">
        <is>
          <t>Bundle Collection, BZ Fixed Cup Size Bra, Canada, Category_Bras/High Support, Category_Bras/Plunge, Collection_Barely Zero, Collection_Barely Zero/Bras, Memorial Day Bundle Price Update, Priority Products, Sized BZ Bras</t>
        </is>
      </c>
      <c r="J463" s="983" t="inlineStr">
        <is>
          <t>barely-zero-fixed-cup-clasp-bra-bundle</t>
        </is>
      </c>
    </row>
    <row r="464" ht="56" customHeight="1" s="229">
      <c r="A464" s="912" t="inlineStr">
        <is>
          <t>Core Two-Way Active Tee</t>
        </is>
      </c>
      <c r="B464" s="913" t="inlineStr">
        <is>
          <t>Active</t>
        </is>
      </c>
      <c r="C464" s="914" t="n">
        <v>55</v>
      </c>
      <c r="D464" s="914" t="n">
        <v>38.5</v>
      </c>
      <c r="E464" s="955" t="inlineStr">
        <is>
          <t>Yes</t>
        </is>
      </c>
      <c r="F464" s="915" t="inlineStr">
        <is>
          <t>A must-have workout staple, the Core Two-Way Active can be worn open in the back or in the front over a sports bra. Made from soft and quick-drying fabric, this top is perfect for yoga, pilates, and daily wear. This item is FINAL SALE and cannot be returned or exchanged.</t>
        </is>
      </c>
      <c r="G464" s="916" t="inlineStr">
        <is>
          <t>• Front &amp; back reversible, flexible for multiple needs. • Loose fit and cropped design provide maximum freedom &amp; mobility. Size M is 18.7" in length.</t>
        </is>
      </c>
      <c r="H464" s="917" t="inlineStr">
        <is>
          <t>75% polyester, 19% lyocell, 6% Spandex • Care instructions: Gently hand wash (do not twist or knead vigorously) with like colors in cold water</t>
        </is>
      </c>
      <c r="I464" s="918" t="inlineStr">
        <is>
          <t>2023 BTS Sale, 22SS 6.3, 23 May Sale, Activity_Active/Dance, Activity_Active/Tennis, Activity_Active/Yoga, Category_Active, Category_Active/Core, Category_Active/Tops, Flexport Stock, hide-bis, LBD23, no-returns, Sale, US Inventory, US Main</t>
        </is>
      </c>
      <c r="J464" s="919" t="inlineStr">
        <is>
          <t>core-two-way-active-tee</t>
        </is>
      </c>
    </row>
    <row r="465" ht="56" customHeight="1" s="229">
      <c r="A465" s="928" t="inlineStr">
        <is>
          <t>Vacation Bermuda Shorts</t>
        </is>
      </c>
      <c r="B465" s="929" t="inlineStr">
        <is>
          <t>Loungewear</t>
        </is>
      </c>
      <c r="C465" s="930" t="n">
        <v>129</v>
      </c>
      <c r="D465" s="930" t="n">
        <v>90.3</v>
      </c>
      <c r="E465" s="936" t="inlineStr">
        <is>
          <t>Yes</t>
        </is>
      </c>
      <c r="F465" s="931" t="inlineStr">
        <is>
          <t>The Vacation Bermuda Shorts are an elevated take on a resort staple. The perfect long shorts with a formal touch, this style borrows classic tailoring elements for an elegant and relaxed silhouette. This item is FINAL SALE and cannot be returned or exchanged.</t>
        </is>
      </c>
      <c r="G465" s="932" t="inlineStr">
        <is>
          <t>• Semi-high waist, a draped design. Tailored for a stylish &amp; relaxed fit. • Versatile style, suited for a variety of settings. • Pair with the Vacation Vintage Shirt for a chic look fit for the boardwalk, beach, or bar.</t>
        </is>
      </c>
      <c r="H465" s="933" t="inlineStr">
        <is>
          <t>62% cupro, 38% cotton. • Care instructions: For best results, hand wash with like colors in cold water. Lay flat or hang to dry</t>
        </is>
      </c>
      <c r="I465" s="934" t="inlineStr">
        <is>
          <t>2023 BTS Sale, 22SS 6.10, 23 May Sale, Category_Lounge, Category_Lounge/Bottoms, Category_Lounge/Bottoms/Non-Elastic, Category_Lounge/Shorts, Fabric_Lounge/Cotton, Flexport Stock, hide-bis, LBD23, no-returns, Non-Elastic Lounge Bottoms, Sale, US Inventory, US Main</t>
        </is>
      </c>
      <c r="J465" s="935" t="inlineStr">
        <is>
          <t>vacation-bermuda-shorts</t>
        </is>
      </c>
    </row>
    <row r="466" ht="56" customHeight="1" s="229">
      <c r="A466" s="880" t="inlineStr">
        <is>
          <t>Barely Zero Fixed Cup Clasp Bra</t>
        </is>
      </c>
      <c r="B466" s="881" t="inlineStr">
        <is>
          <t>Underwear</t>
        </is>
      </c>
      <c r="C466" s="882" t="n">
        <v>49</v>
      </c>
      <c r="D466" s="882" t="n">
        <v>49</v>
      </c>
      <c r="E466" s="881" t="inlineStr"/>
      <c r="F466" s="883" t="inlineStr">
        <is>
          <t>The Barely Zero Fixed Cup Clasp Bra introduces Flo Support‚Ñ¢ and Bisous Cups‚Ñ¢, two technologies that provide greater support and comfort than ever before. Fit tip: If you're in between sizes, we recommend sizing up. Additionally, this bra may feel tight initially but will stretch slightly to adapt to your body.</t>
        </is>
      </c>
      <c r="G466" s="884" t="n"/>
      <c r="H466" s="885" t="n"/>
      <c r="I466" s="886" t="inlineStr">
        <is>
          <t>22SS 5.6, BZ Fixed Cup Size Bra, Canada, Category_Bras/Everyday, Category_Bras/High Support, Category_Bras/Plunge, Category_Underwear, Category_Underwear/Tops, Category_Underwear/Tops/Wireless Bra, Category_Underwear/Tops/Wireless Bra/Seamless, Collection_Barely Zero, Collection_Barely Zero/Bras, Feature_Best Seller, Flexport Stock, LBD23, NY Sample Sale Upstair, NY Underwear, Priority Products, Sized BZ Bras, US Evergreen, US Inventory, US Main</t>
        </is>
      </c>
      <c r="J466" s="887" t="inlineStr">
        <is>
          <t>barely-zero-fixed-cup-clasp-bra</t>
        </is>
      </c>
    </row>
    <row r="467" ht="42" customHeight="1" s="229">
      <c r="A467" s="896" t="inlineStr">
        <is>
          <t>Cropped Straight Leg Pajama Pants</t>
        </is>
      </c>
      <c r="B467" s="897" t="inlineStr">
        <is>
          <t>Loungewear</t>
        </is>
      </c>
      <c r="C467" s="898" t="n">
        <v>59</v>
      </c>
      <c r="D467" s="898" t="n">
        <v>35.4</v>
      </c>
      <c r="E467" s="957" t="inlineStr">
        <is>
          <t>Yes</t>
        </is>
      </c>
      <c r="F467" s="899" t="inlineStr">
        <is>
          <t>It's time to invite friends over for a PJ party! The Cropped Straight Leg Pajama Pants are designed in a vibrant check pattern to add a refreshing and exciting flair. This item is FINAL SALE and cannot be returned or exchanged.</t>
        </is>
      </c>
      <c r="G467" s="900" t="inlineStr">
        <is>
          <t>• Features elastic drawstring waistband and side pockets. Size M is 37.8" in length. • Made from crisp and breathable 100% cotton. • Complete the set with the matching Cropped Pajama Top!</t>
        </is>
      </c>
      <c r="H467" s="901" t="inlineStr">
        <is>
          <t>100% cotton • Care instructions: For best results, hand wash with like colors in cold water. Lay flat or hang to dry</t>
        </is>
      </c>
      <c r="I467" s="902" t="inlineStr">
        <is>
          <t>2023 BTS Sale, 22SS 6.17, 23 Spring Sale, 24JuneSale, Category_Lounge, Category_Lounge/Bottoms, Category_Lounge/Bottoms/Elastic, Category_Lounge/Pajamas &amp; Robes, Category_Lounge/Pants, Fabric_Lounge/Cotton, hide-bis, HR-CX, LBD23, no-returns, Sale, Spring Palette, Tariff Final Sale</t>
        </is>
      </c>
      <c r="J467" s="903" t="inlineStr">
        <is>
          <t>stroll-straight-pants</t>
        </is>
      </c>
    </row>
    <row r="468" ht="42" customHeight="1" s="229">
      <c r="A468" s="928" t="inlineStr">
        <is>
          <t>Cropped Pajama Top</t>
        </is>
      </c>
      <c r="B468" s="929" t="inlineStr">
        <is>
          <t>Loungewear</t>
        </is>
      </c>
      <c r="C468" s="930" t="n">
        <v>65</v>
      </c>
      <c r="D468" s="930" t="n">
        <v>39</v>
      </c>
      <c r="E468" s="936" t="inlineStr">
        <is>
          <t>Yes</t>
        </is>
      </c>
      <c r="F468" s="931" t="inlineStr">
        <is>
          <t>It's time to invite friends over for a PJ party! The Cropped Pajama Top is designed in a vibrant summer check pattern to add a refreshing and exciting flair. This item is FINAL SALE and cannot be returned or exchanged.</t>
        </is>
      </c>
      <c r="G468" s="932" t="inlineStr">
        <is>
          <t>• V-neck collar, button-down style with lively color options. Size M is 17.7" in length. • Made from crisp and breathable 100% cotton. • Complete the set with the matching Cropped Straight Leg Pajama Pants!</t>
        </is>
      </c>
      <c r="H468" s="933" t="inlineStr">
        <is>
          <t>100% cotton • Care instructions: For best results, hand wash with like colors in cold water. Lay flat or hang to dry</t>
        </is>
      </c>
      <c r="I468" s="934" t="inlineStr">
        <is>
          <t>2023 BTS Sale, 22SS 6.17, 23 May Sale, 23 Spring Sale, Category_Lounge/Pajamas &amp; Robes, Category_Lounge/Pajamas &amp; Robes/Top, Category_Lounge/Tops, Fabric_Lounge/Cotton, hide-bis, HR-CX, LBD23, no-returns, Sale, Spring Palette, Tariff Final Sale</t>
        </is>
      </c>
      <c r="J468" s="935" t="inlineStr">
        <is>
          <t>stroll-pajama-tops</t>
        </is>
      </c>
    </row>
    <row r="469" ht="56" customHeight="1" s="229">
      <c r="A469" s="896" t="inlineStr">
        <is>
          <t>Vacation Vintage Style Shirt</t>
        </is>
      </c>
      <c r="B469" s="897" t="inlineStr">
        <is>
          <t>Loungewear</t>
        </is>
      </c>
      <c r="C469" s="898" t="n">
        <v>129</v>
      </c>
      <c r="D469" s="898" t="n">
        <v>77.40000000000001</v>
      </c>
      <c r="E469" s="957" t="inlineStr">
        <is>
          <t>Yes</t>
        </is>
      </c>
      <c r="F469" s="899" t="inlineStr">
        <is>
          <t>Our Vacation Vintage Style Shirt is exquisitely tailored for a relaxed fit with a formal touch. Chic yet laid-back, this piece is made from a blend of silk and cotton ‚Äî perfect for staying cool and comfortable in the heat. This item is FINAL SALE and cannot be returned or exchanged.</t>
        </is>
      </c>
      <c r="G469" s="900" t="inlineStr">
        <is>
          <t>• Relaxed fit with drop shoulders, elbow-length sleeves, &amp; V-neck. • Versatile style suited for a variety of settings on vacation and at home. Size M is 31.2" in length. • Pairs perfectly with matching Vacation Bermuda Shorts.</t>
        </is>
      </c>
      <c r="H469" s="901" t="inlineStr">
        <is>
          <t>72% cotton, 28% mulberry silk • Care instructions: for best results, hand wash with like colors in cold water. Lay flat or hang to dry</t>
        </is>
      </c>
      <c r="I469" s="902" t="inlineStr">
        <is>
          <t>2023 BTS Sale, 22SS 7.1, 23 May Sale, Category_Lounge, Category_Lounge/Tops, Fabric_Lounge/Cotton, Fabric_Lounge/Silk, hide-bis, HR-CX, LBD23, no-returns, Sale</t>
        </is>
      </c>
      <c r="J469" s="903" t="inlineStr">
        <is>
          <t>vacation-vintage-style-shirt</t>
        </is>
      </c>
    </row>
    <row r="470" ht="42" customHeight="1" s="229">
      <c r="A470" s="928" t="inlineStr">
        <is>
          <t>Silk Cotton Straight Leg Pants</t>
        </is>
      </c>
      <c r="B470" s="929" t="inlineStr">
        <is>
          <t>Loungewear</t>
        </is>
      </c>
      <c r="C470" s="930" t="n">
        <v>89</v>
      </c>
      <c r="D470" s="930" t="n">
        <v>53.4</v>
      </c>
      <c r="E470" s="936" t="inlineStr">
        <is>
          <t>Yes</t>
        </is>
      </c>
      <c r="F470" s="931" t="inlineStr">
        <is>
          <t>Smooth, light, and airy, the Silk Cotton Straight Leg Pants are effortless to wear. Fine silk and cotton combine to create a breathable and elegant pajama staple. This item is FINAL SALE and cannot be returned or exchanged.</t>
        </is>
      </c>
      <c r="G470" s="932" t="inlineStr">
        <is>
          <t>• Cropped design with drawstring and side pockets: relaxed and practical. • A blend of crisp, breathable cotton and fine, smooth silk. Size M is 32.9" in length. • These pants pair perfectly with the Silk Cotton U Neck Pajama Top.</t>
        </is>
      </c>
      <c r="H470" s="933" t="inlineStr">
        <is>
          <t>69% cotton, 31% mulberry silk. • Care instructions: For best results, hand wash with like colors in cold water</t>
        </is>
      </c>
      <c r="I470" s="934" t="inlineStr">
        <is>
          <t>2023 BTS Sale, 22SS 6.17, 23 May Sale, Category_Lounge/Bottoms, Category_Lounge/Bottoms/Elastic, Category_Lounge/Pajamas &amp; Robes, Category_Lounge/Pajamas &amp; Robes/Bottoms, Category_Lounge/Pants, Fabric_Lounge/Cotton, Fabric_Lounge/Silk, hide-bis, HR-CX, LBD23, no-returns, Sale, Tariff Final Sale</t>
        </is>
      </c>
      <c r="J470" s="935" t="inlineStr">
        <is>
          <t>sleep-cropped-pajama-pants</t>
        </is>
      </c>
    </row>
    <row r="471" ht="42" customHeight="1" s="229">
      <c r="A471" s="896" t="inlineStr">
        <is>
          <t>Silk Cotton Slip Pajama Dress</t>
        </is>
      </c>
      <c r="B471" s="897" t="inlineStr">
        <is>
          <t>Loungewear</t>
        </is>
      </c>
      <c r="C471" s="898" t="n">
        <v>99</v>
      </c>
      <c r="D471" s="898" t="n">
        <v>59.4</v>
      </c>
      <c r="E471" s="957" t="inlineStr">
        <is>
          <t>Yes</t>
        </is>
      </c>
      <c r="F471" s="899" t="inlineStr">
        <is>
          <t>The Silk Cotton Slip Pajama Dress blends fine silk and cotton for a breathable and effortless evening staple. This item is FINAL SALE and cannot be returned or exchanged.</t>
        </is>
      </c>
      <c r="G471" s="900" t="inlineStr">
        <is>
          <t>• Designed in a subtle A-line silhouette for a feminine fit. • Blends crisp, breathable cotton and smooth silk. Size M is 43.4" in length. • Refined details in the back: the gathered design adds another layer of elegance.</t>
        </is>
      </c>
      <c r="H471" s="901" t="inlineStr">
        <is>
          <t>69% cotton, 31% mulberry silk • Care instructions: For best results, hand wash with like colors in cold water</t>
        </is>
      </c>
      <c r="I471" s="902" t="inlineStr">
        <is>
          <t>2023 BTS Sale, 22SS 6.17, 23 May Sale, Category_Lounge, Category_Lounge/Dress&amp;Jumpsuit, Category_Lounge/Pajamas &amp; Robes, Category_Lounge/Pajamas &amp; Robes/Dress, Fabric_Lounge/Cotton, Fabric_Lounge/Silk, hide-bis, HR-CX, LBD23, no-returns, Sale</t>
        </is>
      </c>
      <c r="J471" s="903" t="inlineStr">
        <is>
          <t>sleep-dress</t>
        </is>
      </c>
    </row>
    <row r="472" ht="42" customHeight="1" s="229">
      <c r="A472" s="904" t="inlineStr">
        <is>
          <t>Light Woven Short Jacket</t>
        </is>
      </c>
      <c r="B472" s="905" t="inlineStr">
        <is>
          <t>Active</t>
        </is>
      </c>
      <c r="C472" s="906" t="n">
        <v>189</v>
      </c>
      <c r="D472" s="906" t="n">
        <v>113.4</v>
      </c>
      <c r="E472" s="956" t="inlineStr">
        <is>
          <t>Yes</t>
        </is>
      </c>
      <c r="F472" s="907" t="inlineStr">
        <is>
          <t>Neither sun nor drizzle can stop your next outdoor workout. This lightweight jacket provides a breathable outer layer that supports a dynamic range of motion. This item is FINAL SALE and cannot be returned or exchanged.</t>
        </is>
      </c>
      <c r="G472" s="908" t="inlineStr">
        <is>
          <t>• Ripple texture, short style with drawstring waistband and hood. • Zippered side pockets allow you to focus on the exercise without worrying about your belongings. Size M is 20.1" in length. • Made from a breathable blend of nylon, cotton, and Spandex.</t>
        </is>
      </c>
      <c r="H472" s="909" t="inlineStr">
        <is>
          <t>50% nylon, 46% cotton, 4% Spandex • Care Instructions: For best results, hand wash in cold water</t>
        </is>
      </c>
      <c r="I472" s="910" t="inlineStr">
        <is>
          <t>2023 BTS Sale, 22SS 6.10, 23 May Sale, Activity_Active/Gym, Activity_Active/Outdoor, Activity_Active/Running, Category_Active, Category_Active/Outerwear, Category_Active/Tops, Fabric_Active/Cotton, hide-bis, HR-CX, LBD23, no-returns, Outerwear, Sale</t>
        </is>
      </c>
      <c r="J472" s="911" t="inlineStr">
        <is>
          <t>windy-jacket</t>
        </is>
      </c>
    </row>
    <row r="473" ht="42" customHeight="1" s="229">
      <c r="A473" s="928" t="inlineStr">
        <is>
          <t>Dreamy Loose Fit Tee</t>
        </is>
      </c>
      <c r="B473" s="929" t="inlineStr">
        <is>
          <t>Loungewear</t>
        </is>
      </c>
      <c r="C473" s="930" t="n">
        <v>39</v>
      </c>
      <c r="D473" s="930" t="n">
        <v>27.3</v>
      </c>
      <c r="E473" s="936" t="inlineStr">
        <is>
          <t>Yes</t>
        </is>
      </c>
      <c r="F473" s="931" t="inlineStr">
        <is>
          <t>The Dreamy Loose Fit Tee is made from a cooling cotton-modal blend, making it the perfect relaxed top for lounging around in comfort. This item is FINAL SALE and cannot be returned or exchanged.</t>
        </is>
      </c>
      <c r="G473" s="932" t="inlineStr">
        <is>
          <t>• Drop-shoulder minimalist style tee that puts comfort first. • Tailored from a lush, breathable blend of cotton and modal ‚Äî perfect for staying comfortable in the cooler months. • Size M is 21.1" in length.</t>
        </is>
      </c>
      <c r="H473" s="933" t="inlineStr">
        <is>
          <t>48% cotton, 47% modal, 5% Spandex • Care instructions: For best results, hand wash in cold water with like colors</t>
        </is>
      </c>
      <c r="I473" s="934" t="inlineStr">
        <is>
          <t>2023 BTS Sale, 22SS 5.13, 23 Spring Sale, Category_Lounge, Category_Lounge/Pajamas &amp; Robes, Category_Lounge/Pajamas &amp; Robes/Top, Category_Lounge/Tees&amp;Tanks, Category_Lounge/Top, Fabric_Lounge/Cotton, Fabric_Lounge/Tencel Modal, hide-bis, LBD23, no-returns, Sale, Spring Palette</t>
        </is>
      </c>
      <c r="J473" s="935" t="inlineStr">
        <is>
          <t>dreamy-loose-fit-tee</t>
        </is>
      </c>
    </row>
    <row r="474" ht="56" customHeight="1" s="229">
      <c r="A474" s="896" t="inlineStr">
        <is>
          <t>Dreamy Wide Waistband Shorts</t>
        </is>
      </c>
      <c r="B474" s="897" t="inlineStr">
        <is>
          <t>Loungewear</t>
        </is>
      </c>
      <c r="C474" s="898" t="n">
        <v>30</v>
      </c>
      <c r="D474" s="898" t="n">
        <v>21</v>
      </c>
      <c r="E474" s="957" t="inlineStr">
        <is>
          <t>Yes</t>
        </is>
      </c>
      <c r="F474" s="899" t="inlineStr">
        <is>
          <t>The Dreamy Wide Waistband Shorts are a lightweight and breezy bedtime must-have. Made from a cooling cotton-modal blend, these comfortable, contemporary-style pajama shorts are great for staying home and lounging around this summer. This item is FINAL SALE and cannot be returned or exchanged.</t>
        </is>
      </c>
      <c r="G474" s="900" t="inlineStr">
        <is>
          <t>• Short-cut, wide-waistband minimalist style shorts ‚Äî a comfort-first design. • Tailored from a lush, breathable blend of cotton and modal ‚Äî perfect for staying comfortable in the cooler months. • Pair with the matching Dreamy Loose Fit Tee for the full look.</t>
        </is>
      </c>
      <c r="H474" s="901" t="inlineStr">
        <is>
          <t>48% cotton, 47% modal, 5% Spandex • Care instructions: For best results, hand wash in cold water with like colors</t>
        </is>
      </c>
      <c r="I474" s="902" t="inlineStr">
        <is>
          <t>2023 BTS Sale, 22SS 5.13, 23 Spring Sale, Category_Lounge, Category_Lounge/Bottoms, Category_Lounge/Bottoms/Elastic, Category_Lounge/Pajamas &amp; Robes, Category_Lounge/Pajamas &amp; Robes/Bottoms, Category_Lounge/Shorts, Fabric_Lounge/Cotton, Fabric_Lounge/Tencel Modal, hide-bis, LBD23, no-returns, Sale, Spring Palette</t>
        </is>
      </c>
      <c r="J474" s="903" t="inlineStr">
        <is>
          <t>dreamy-wide-waistband-shorts</t>
        </is>
      </c>
    </row>
    <row r="475" ht="56" customHeight="1" s="229">
      <c r="A475" s="966" t="inlineStr">
        <is>
          <t>Barely Zero Fixed Cup Wavy Bra Trio</t>
        </is>
      </c>
      <c r="B475" s="967" t="inlineStr">
        <is>
          <t>Bundle3</t>
        </is>
      </c>
      <c r="C475" s="968" t="n">
        <v>49</v>
      </c>
      <c r="D475" s="968" t="n">
        <v>39.5</v>
      </c>
      <c r="E475" s="969" t="inlineStr">
        <is>
          <t>Yes</t>
        </is>
      </c>
      <c r="F475" s="970" t="inlineStr">
        <is>
          <t>This bundle includes three Barely Zero Fixed Cup Wavy Bras, which feature a delicate scalloped V-neck that wears seamlessly under any top. Featuring fixed cups and adjustable straps, this pullover style has no clasps or wires for a smooth, supportive fit.</t>
        </is>
      </c>
      <c r="G475" s="971" t="inlineStr">
        <is>
          <t>• Perfect for layering under form-fitting outfits for a smooth look, or let the scalloped edges subtly show through your clothing. • Features Flo Support‚Ñ¢: lower band lined with no-slip silicone grip for stability and support. • Features Bisous Cups‚Ñ¢: crease-resistant, non-removable laminated cups designed to hug your curves and simplify care. • Made from our highly-elastic blend of CloudFit &amp; Spandex in two sizes: XS-S and M-L, making it a great option for nursing and fluctuating sizes. Please see our size chart for detailed guidance.</t>
        </is>
      </c>
      <c r="H475" s="972" t="inlineStr">
        <is>
          <t>67% CloudFit nylon blend, 33% Spandex; cup lining: 86% polyester, 14% Spandex</t>
        </is>
      </c>
      <c r="I475" s="973" t="inlineStr">
        <is>
          <t>Bundle Collection, BZ Fixed Cup Size Bra, Canada, Category_Bras/Medium Support, Category_Bras/Plunge, Collection_Barely Zero, Collection_Barely Zero/Bras, Memorial Day Bundle Price Update, Priority Products, Sized BZ Bras</t>
        </is>
      </c>
      <c r="J475" s="974" t="inlineStr">
        <is>
          <t>barely-zero-fixed-cup-wavy-bra-trio</t>
        </is>
      </c>
    </row>
    <row r="476" ht="56" customHeight="1" s="229">
      <c r="A476" s="966" t="inlineStr">
        <is>
          <t>Barely Zero Fixed Cup Wavy Bra Bundle</t>
        </is>
      </c>
      <c r="B476" s="967" t="inlineStr">
        <is>
          <t>Bundle</t>
        </is>
      </c>
      <c r="C476" s="968" t="n">
        <v>49</v>
      </c>
      <c r="D476" s="968" t="n">
        <v>44.25</v>
      </c>
      <c r="E476" s="969" t="inlineStr">
        <is>
          <t>Yes</t>
        </is>
      </c>
      <c r="F476" s="970" t="inlineStr">
        <is>
          <t>This bundle includes two Barely Zero Fixed Cup Wavy Bras, which feature a delicate scalloped V-neck that wears seamlessly under any top. Featuring fixed cups and adjustable straps, this pullover style has no clasps or wires for a smooth, supportive fit.</t>
        </is>
      </c>
      <c r="G476" s="971" t="inlineStr">
        <is>
          <t>• Perfect for layering under form-fitting outfits for a smooth look, or let the scalloped edges subtly show through your clothing. • Features Flo Support‚Ñ¢: lower band lined with no-slip silicone grip for stability and support. • Features Bisous Cups‚Ñ¢: crease-resistant, non-removable laminated cups designed to hug your natural curves and simplify care. • Made from our highly-elastic blend of CloudFit &amp; Spandex in two sizes: XS-S for those who normally wear A-C cups, and M-L for those who wear up to a D cup.</t>
        </is>
      </c>
      <c r="H476" s="972" t="inlineStr">
        <is>
          <t>outer: 67% CloudFit nylon blend, 33% Spandex; cup lining: 86% polyester, 14% Spandex</t>
        </is>
      </c>
      <c r="I476" s="973" t="inlineStr">
        <is>
          <t>Bundle Collection, BZ Fixed Cup Size Bra, Canada, Category_Bras/Medium Support, Category_Bras/Plunge, Collection_Barely Zero, Collection_Barely Zero/Bras, Memorial Day Bundle Price Update, Priority Products, Sized BZ Bras</t>
        </is>
      </c>
      <c r="J476" s="974" t="inlineStr">
        <is>
          <t>barely-zero-fixed-cup-wavy-bra-bundle</t>
        </is>
      </c>
    </row>
    <row r="477" ht="42" customHeight="1" s="229">
      <c r="A477" s="888" t="inlineStr">
        <is>
          <t>Belle Lace Mid Waist Brief 2.0</t>
        </is>
      </c>
      <c r="B477" s="889" t="inlineStr">
        <is>
          <t>Underwear</t>
        </is>
      </c>
      <c r="C477" s="890" t="n">
        <v>35</v>
      </c>
      <c r="D477" s="890" t="n">
        <v>21</v>
      </c>
      <c r="E477" s="985" t="inlineStr">
        <is>
          <t>Yes</t>
        </is>
      </c>
      <c r="F477" s="891" t="inlineStr">
        <is>
          <t>The newly improved Belle Lace Mid-Waist Brief 2.0 revisits this classic brief design with new colors and a refreshed fabric blend. This item is FINAL SALE and cannot be returned or exchanged.</t>
        </is>
      </c>
      <c r="G477" s="892" t="inlineStr">
        <is>
          <t>• Classic elegance meets contemporary comfort in this lace brief tailored from a flexible Spandex blend and lined with 100% cotton lining. • Mid-waist cut sits comfortably on hips and provides full coverage. • Available in three easy-to-match colors ‚Äî perfect for everyday wear and special occasions!</t>
        </is>
      </c>
      <c r="H477" s="893" t="inlineStr">
        <is>
          <t>69% nylon, 31% Spandex; lining: 100% cotton • Care instructions: For best results, hand wash with like colors in cold water</t>
        </is>
      </c>
      <c r="I477" s="894" t="inlineStr">
        <is>
          <t>22SS 5.13, 25DEC 40OFF, 25DEC SALE, 25Jan Sale, Category_Underwear, Category_Underwear/Bottoms, Category_Underwear/Bottoms/Panties, Category_Underwear/Bottoms/Panties/Mid Waist, Collection_Valentine, HR-CX, LBD23, no-returns, Sale, Tariff Final Sale, XS - XL Brief</t>
        </is>
      </c>
      <c r="J477" s="895" t="inlineStr">
        <is>
          <t>belle-lace-mid-waist-brief-2-0</t>
        </is>
      </c>
    </row>
    <row r="478" ht="56" customHeight="1" s="229">
      <c r="A478" s="880" t="inlineStr">
        <is>
          <t>Lazy Day Mid Waist Brief</t>
        </is>
      </c>
      <c r="B478" s="881" t="inlineStr">
        <is>
          <t>Underwear</t>
        </is>
      </c>
      <c r="C478" s="882" t="n">
        <v>15</v>
      </c>
      <c r="D478" s="882" t="n">
        <v>10.5</v>
      </c>
      <c r="E478" s="937" t="inlineStr">
        <is>
          <t>Yes</t>
        </is>
      </c>
      <c r="F478" s="883" t="inlineStr">
        <is>
          <t>The Lazy Day Mid Waist Brief is a fun addition to any underwear drawer, adorned with an adorable kitty cat decal and offering warm-weather comfort with its blend of TENCEL ‚Ñ¢ Modal and cotton. This item is FINAL SALE and cannot be returned or exchanged.</t>
        </is>
      </c>
      <c r="G478" s="884" t="inlineStr">
        <is>
          <t>• Tailored from an ultra-comfortable and flexible blend of cotton, T ENCEL ‚Ñ¢ Modal, and Spandex complete with a 100% cotton lining. • Classic mid-waist cut for full coverage ‚Äî great under any outfit. • Available in three fun colors featuring a cute cat decal!</t>
        </is>
      </c>
      <c r="H478" s="885" t="inlineStr">
        <is>
          <t>48% cotton, 45% TENCEL ‚Ñ¢ Modal, 7% Spandex; lining: 100% cotton • Care instructions: For best results, hand wash with like colors in cold water</t>
        </is>
      </c>
      <c r="I478" s="886" t="inlineStr">
        <is>
          <t>2023 BTS Sale, 22SS 5.13, 23 Spring Sale, Category_Lingerie/Brief/Mid Waist, Category_Underwear, Category_Underwear/Bottoms, Category_Underwear/Bottoms/Panties, Category_Underwear/Bottoms/Panties/Mid Waist, Fabric_Underwear/Cotton, Fabric_Underwear/Tencel Modal, hide-bis, HR-CX, LBD23, no-returns, Sale, XS - XL Brief</t>
        </is>
      </c>
      <c r="J478" s="887" t="inlineStr">
        <is>
          <t>lazy-day-mid-waist-brief</t>
        </is>
      </c>
    </row>
    <row r="479" ht="56" customHeight="1" s="229">
      <c r="A479" s="928" t="inlineStr">
        <is>
          <t>Cotton Modal Seamless Shorts</t>
        </is>
      </c>
      <c r="B479" s="929" t="inlineStr">
        <is>
          <t>Loungewear</t>
        </is>
      </c>
      <c r="C479" s="930" t="n">
        <v>30</v>
      </c>
      <c r="D479" s="930" t="n">
        <v>30</v>
      </c>
      <c r="E479" s="929" t="inlineStr"/>
      <c r="F479" s="931" t="inlineStr">
        <is>
          <t>Get back to the basics of sleep comfort in the Cotton Modal Shorts from our 2022 Spring &amp; Summer Collection. We've refined this simple design with a premium blend of soft TENCEL‚Ñ¢ Modal and crisp cotton ‚Äî truly a set you'll want to wear every night this summer.</t>
        </is>
      </c>
      <c r="G479" s="932" t="inlineStr">
        <is>
          <t>• Light, breathable, and skin-friendly: TENCEL‚Ñ¢ Modal blended with crisp cotton and a little Spandex for extra stretch. • Timeless sleep style ‚Äî tailored for a slim fit with no uncomfortable seams. Pairs perfectly with the matching Cotton Modal Cami! • One size ‚Äî comfortably stretches and adapts to fit with a hip size range between 32.5"-38.5".</t>
        </is>
      </c>
      <c r="H479" s="933" t="inlineStr">
        <is>
          <t>body: 69% TENCEL‚Ñ¢ Modal, 22% cotton, 9% Spandex; waistband: 64% TENCEL‚Ñ¢ Modal, 27% cotton, 9% Spandex • Care instructions: For best results, hand wash with like colors in cold water. Lay flat or hang to dry. Ironing not recommended</t>
        </is>
      </c>
      <c r="I479" s="934" t="inlineStr">
        <is>
          <t>22SS 4.22, Category_Lounge, Category_Lounge/Bottoms, Category_Underwear, Fabric_Lounge/Cotton, Fabric_Lounge/Tencel Modal, Fabric_Underwear/Cotton, Fabric_Underwear/Tencel Modal</t>
        </is>
      </c>
      <c r="J479" s="935" t="inlineStr">
        <is>
          <t>cotton-modal-shorts</t>
        </is>
      </c>
    </row>
    <row r="480" ht="56" customHeight="1" s="229">
      <c r="A480" s="896" t="inlineStr">
        <is>
          <t>Cotton Modal Seamless Cami</t>
        </is>
      </c>
      <c r="B480" s="897" t="inlineStr">
        <is>
          <t>Loungewear</t>
        </is>
      </c>
      <c r="C480" s="898" t="n">
        <v>30</v>
      </c>
      <c r="D480" s="898" t="n">
        <v>21</v>
      </c>
      <c r="E480" s="957" t="inlineStr">
        <is>
          <t>Yes</t>
        </is>
      </c>
      <c r="F480" s="899" t="inlineStr">
        <is>
          <t>Get back to basics in the Cotton Modal Cami. We've refined this staple with a premium blend of soft TENCEL‚Ñ¢ Modal and crisp cotton ‚Äî a versatile layer that can be worn alone or as the perfect underpinning. This item is FINAL SALE and cannot be returned or exchanged.</t>
        </is>
      </c>
      <c r="G480" s="900" t="inlineStr">
        <is>
          <t>• Light, breathable, and skin-friendly: TENCEL‚Ñ¢ Modal blended with crisp cotton and a little Spandex for extra stretch. • Timeless style ‚Äî tailored for a slim fit with no uncomfortable seams. • One size ‚Äî stretches and adapts to fit a bust size range between 31.5"-37".</t>
        </is>
      </c>
      <c r="H480" s="901" t="inlineStr">
        <is>
          <t>body: 69% TENCEL‚Ñ¢ Modal, 22% cotton, 9% Spandex; hemline: 64% TENCEL‚Ñ¢ Modal, 27% cotton, 9% Spandex • Care instructions: For best results, hand wash with like colors in cold water. Lay flat or hang to dry. Ironing not recommended</t>
        </is>
      </c>
      <c r="I480" s="902" t="inlineStr">
        <is>
          <t>2023 BTS Sale, 22SS 4.22, 23 Spring Sale, Category_Lounge, Category_Lounge/Tees&amp;Tanks, Category_Lounge/Top, Fabric_Lounge/Cotton, Fabric_Lounge/Tencel Modal, Fabric_Underwear/Tencel Modal, Flexport Stock, hide-bis, LBD23, no-returns, Sale, Tariff Final Sale</t>
        </is>
      </c>
      <c r="J480" s="903" t="inlineStr">
        <is>
          <t>cotton-modal-seamless-cami</t>
        </is>
      </c>
    </row>
    <row r="481" ht="42" customHeight="1" s="229">
      <c r="A481" s="928" t="inlineStr">
        <is>
          <t>Silk Modal Dress</t>
        </is>
      </c>
      <c r="B481" s="929" t="inlineStr">
        <is>
          <t>Loungewear</t>
        </is>
      </c>
      <c r="C481" s="930" t="n">
        <v>69</v>
      </c>
      <c r="D481" s="930" t="n">
        <v>48.3</v>
      </c>
      <c r="E481" s="936" t="inlineStr">
        <is>
          <t>Yes</t>
        </is>
      </c>
      <c r="F481" s="931" t="inlineStr">
        <is>
          <t>This minimalist sleep dress combines two of the softest fabrics on the planet ‚Äî TENCEL‚Ñ¢ Modal and mulberry silk ‚Äî for a piece you'll love going to bed and waking up in. This item is FINAL SALE and cannot be returned or exchanged.</t>
        </is>
      </c>
      <c r="G481" s="932" t="inlineStr">
        <is>
          <t>• Minimalist nightgown with a smooth, flattering drape. Size M is 40.4" in length. • Features crew neck, drop shoulders, short sleeves, and side slits for ease of movement. • Made from a soft and breathable blend of TENCEL ‚Ñ¢ Modal, mulberry silk, and Spandex.</t>
        </is>
      </c>
      <c r="H481" s="933" t="inlineStr">
        <is>
          <t>85% TENCEL‚Ñ¢ Modal, 8% Spandex , 7% mulberry silk • Care instructions: For best results, hand wash in cold water</t>
        </is>
      </c>
      <c r="I481" s="934" t="inlineStr">
        <is>
          <t>2023 BTS Sale, 22SS 4.22, 23 May Sale, Category_Lounge, Category_Lounge/Dress&amp;Jumpsuit, Category_Lounge/Pajamas &amp; Robes, Category_Lounge/Pajamas &amp; Robes/Dress, Fabric_Lounge/Silk, Fabric_Lounge/Tencel Modal, hide-bis, LBD23, no-returns, Sale</t>
        </is>
      </c>
      <c r="J481" s="935" t="inlineStr">
        <is>
          <t>silk-modal-dress</t>
        </is>
      </c>
    </row>
    <row r="482" ht="42" customHeight="1" s="229">
      <c r="A482" s="896" t="inlineStr">
        <is>
          <t>Silk Modal Pants</t>
        </is>
      </c>
      <c r="B482" s="897" t="inlineStr">
        <is>
          <t>Loungewear</t>
        </is>
      </c>
      <c r="C482" s="898" t="n">
        <v>59</v>
      </c>
      <c r="D482" s="898" t="n">
        <v>41.3</v>
      </c>
      <c r="E482" s="957" t="inlineStr">
        <is>
          <t>Yes</t>
        </is>
      </c>
      <c r="F482" s="899" t="inlineStr">
        <is>
          <t>These minimalist lounge pants combine two of the softest fabrics on the planet ‚Äî TENCEL‚Ñ¢ Modal and mulberry silk ‚Äî for a piece you'll love going to bed and waking up in. This item is FINAL SALE and cannot be returned or exchanged.</t>
        </is>
      </c>
      <c r="G482" s="900" t="inlineStr">
        <is>
          <t>• Minimalist lounge pants with a smooth, flattering drape ‚Äî pairs perfectly with the matching Silk Modal Tee. • Features elastic waistband and side pockets. Size M is 38.2" in length. • Made from a soft and breathable blend of TENCEL ‚Ñ¢ Modal, mulberry silk, and Spandex.</t>
        </is>
      </c>
      <c r="H482" s="901" t="inlineStr">
        <is>
          <t>85% TENCEL‚Ñ¢ Modal, 8% Spandex , 7% mulberry silk • Care instructions: For best results, hand wash in cold water</t>
        </is>
      </c>
      <c r="I482" s="902" t="inlineStr">
        <is>
          <t>2023 BTS Sale, 22SS 4.22, 23 May Sale, Category_Lounge, Category_Lounge/Bottoms, Category_Lounge/Bottoms/Elastic, Category_Lounge/Pajamas &amp; Robes, Category_Lounge/Pajamas &amp; Robes/Bottoms, Category_Lounge/Pants, Fabric_Lounge/Silk, Fabric_Lounge/Tencel Modal, Flexport Stock, hide-bis, HR-CX, LBD23, no-returns, Sale, US Inventory, US Main</t>
        </is>
      </c>
      <c r="J482" s="903" t="inlineStr">
        <is>
          <t>silk-modal-pants</t>
        </is>
      </c>
    </row>
    <row r="483" ht="42" customHeight="1" s="229">
      <c r="A483" s="928" t="inlineStr">
        <is>
          <t>Silk Modal Tee</t>
        </is>
      </c>
      <c r="B483" s="929" t="inlineStr">
        <is>
          <t>Loungewear</t>
        </is>
      </c>
      <c r="C483" s="930" t="n">
        <v>49</v>
      </c>
      <c r="D483" s="930" t="n">
        <v>29.4</v>
      </c>
      <c r="E483" s="936" t="inlineStr">
        <is>
          <t>Yes</t>
        </is>
      </c>
      <c r="F483" s="931" t="inlineStr">
        <is>
          <t>This minimalist lounge tee takes combines two of the softest fabrics on the planet ‚Äî TENCEL‚Ñ¢ Modal and mulberry silk ‚Äî for a piece you'll love going to bed and waking up in. This item is FINAL SALE and cannot be returned or exchanged.</t>
        </is>
      </c>
      <c r="G483" s="932" t="inlineStr">
        <is>
          <t>• Minimalist tee with a smooth, flattering drape ‚Äî pairs perfectly with the matching Silk Modal Pants. • Features classic crew neck, drop shoulders, and short sleeves. Size M is 24" in length. • Made from a soft and breathable blend of TENCEL ‚Ñ¢ Modal, mulberry silk, and Spandex.</t>
        </is>
      </c>
      <c r="H483" s="933" t="inlineStr">
        <is>
          <t>85% TENCEL‚Ñ¢ Modal, 8% Spandex , 7% mulberry silk • Care instructions: For best results, hand wash in cold water</t>
        </is>
      </c>
      <c r="I483" s="934" t="inlineStr">
        <is>
          <t>2023 BTS Sale, 22SS 4.22, 23 May Sale, Category_Lounge, Category_Lounge/Pajamas &amp; Robes, Category_Lounge/Pajamas &amp; Robes/Top, Category_Lounge/Tops, Fabric_Lounge/Silk, Fabric_Lounge/Tencel Modal, hide-bis, HR-CX, LBD23, no-returns, Sale</t>
        </is>
      </c>
      <c r="J483" s="935" t="inlineStr">
        <is>
          <t>silk-modal-tee</t>
        </is>
      </c>
    </row>
    <row r="484" ht="42" customHeight="1" s="229">
      <c r="A484" s="888" t="inlineStr">
        <is>
          <t>Barely Zero Fixed Cup Wavy Bra</t>
        </is>
      </c>
      <c r="B484" s="889" t="inlineStr">
        <is>
          <t>Underwear</t>
        </is>
      </c>
      <c r="C484" s="890" t="n">
        <v>49</v>
      </c>
      <c r="D484" s="890" t="n">
        <v>49</v>
      </c>
      <c r="E484" s="889" t="inlineStr"/>
      <c r="F484" s="891" t="inlineStr">
        <is>
          <t>With its delicate scalloped V-neck, our popular Barely Zero Fixed Cup Wavy Bra provides seamless wear under any top. Featuring fixed cups and adjustable straps, this pullover style has no clasps or wires for a smooth, supportive fit.</t>
        </is>
      </c>
      <c r="G484" s="892" t="n"/>
      <c r="H484" s="893" t="n"/>
      <c r="I484" s="894" t="inlineStr">
        <is>
          <t>22ss 4.29, BZ Fixed Cup Size Bra, Canada, Category_Bras/Everyday, Category_Bras/Medium Support, Category_Bras/Nursing, Category_Bras/Plunge, Category_Underwear, Category_Underwear/Tops/Wireless Bra, Category_Underwear/Tops/Wireless Bra/Seamless, Collection_Barely Zero, Collection_Barely Zero/Bras, Feature_Best Seller, Flexport Stock, LBD23, NY Sample Sale Upstair, NY Underwear, Priority Products, Sized BZ Bras, US Evergreen, US Inventory, US Main</t>
        </is>
      </c>
      <c r="J484" s="895" t="inlineStr">
        <is>
          <t>barely-zero-fixed-cup-wavy-bra</t>
        </is>
      </c>
    </row>
    <row r="485" ht="42" customHeight="1" s="229">
      <c r="A485" s="896" t="inlineStr">
        <is>
          <t>Wide Leg Pants</t>
        </is>
      </c>
      <c r="B485" s="897" t="inlineStr">
        <is>
          <t>Loungewear</t>
        </is>
      </c>
      <c r="C485" s="898" t="n">
        <v>219</v>
      </c>
      <c r="D485" s="898" t="n">
        <v>219</v>
      </c>
      <c r="E485" s="897" t="inlineStr"/>
      <c r="F485" s="899" t="inlineStr">
        <is>
          <t>Featured in our recent runway show, the Wide Leg Pants merge rich mulberry silk and breathable linen for an elevated formal piece you'll want to wear to any outdoor event this summer.</t>
        </is>
      </c>
      <c r="G485" s="900" t="inlineStr">
        <is>
          <t>• Tailored in a relaxed, oversized flowing cut ‚Äî perfect for the summer heat. • Cut from a lightweight and luxurious blend of mulberry silk and linen for the perfect drape and excellent breathability. • Pair with your favorite summer top and layer on the matching Collarless Blazer for the full suit look.</t>
        </is>
      </c>
      <c r="H485" s="901" t="inlineStr">
        <is>
          <t>52% mulberry silk, 48% linen • Care instructions: Professional dry-clean only</t>
        </is>
      </c>
      <c r="I485" s="902" t="inlineStr">
        <is>
          <t>22SS 5.6, Category_Lounge, Category_Lounge/Bottoms, Category_Lounge/Pants, Collection_Faye Wong, Fabric_Linen, Fabric_Lounge/Silk</t>
        </is>
      </c>
      <c r="J485" s="903" t="inlineStr">
        <is>
          <t>wide-leg-pants</t>
        </is>
      </c>
    </row>
    <row r="486" ht="42" customHeight="1" s="229">
      <c r="A486" s="928" t="inlineStr">
        <is>
          <t>Sofa Camisole</t>
        </is>
      </c>
      <c r="B486" s="929" t="inlineStr">
        <is>
          <t>Loungewear</t>
        </is>
      </c>
      <c r="C486" s="930" t="n">
        <v>55</v>
      </c>
      <c r="D486" s="930" t="n">
        <v>33</v>
      </c>
      <c r="E486" s="936" t="inlineStr">
        <is>
          <t>Yes</t>
        </is>
      </c>
      <c r="F486" s="931" t="inlineStr">
        <is>
          <t>Refreshing, airy, and effortlessly comfortable, the Sofa Camisole is a simple design cut from 100% cotton. This item is FINAL SALE and cannot be returned or exchanged.</t>
        </is>
      </c>
      <c r="G486" s="932" t="inlineStr">
        <is>
          <t>• Light, billowy design ‚Äî plenty of airflow for staying cool. • Made from crisp and breathable 100% cotton. • Size M is 13.3" in length. Pairs perfectly with the matching Sofa Shorts.</t>
        </is>
      </c>
      <c r="H486" s="933" t="inlineStr">
        <is>
          <t>100% cotton • Care instructions: For best results, hand wash with like colors in cold water. Lay flat or hang to dry</t>
        </is>
      </c>
      <c r="I486" s="934" t="inlineStr">
        <is>
          <t>2023 BTS Sale, 22 July Sale, 22SS 5.13, 23 May Sale, Category_Lounge, Category_Lounge/Tops, Fabric_Lounge/Cotton, hide-bis, HR-CX, LBD23, no-returns, Sale, Spring Palette, Tariff Final Sale</t>
        </is>
      </c>
      <c r="J486" s="935" t="inlineStr">
        <is>
          <t>sofa-camisole</t>
        </is>
      </c>
    </row>
    <row r="487" ht="42" customHeight="1" s="229">
      <c r="A487" s="896" t="inlineStr">
        <is>
          <t>Sofa Shorts</t>
        </is>
      </c>
      <c r="B487" s="897" t="inlineStr">
        <is>
          <t>Loungewear</t>
        </is>
      </c>
      <c r="C487" s="898" t="n">
        <v>55</v>
      </c>
      <c r="D487" s="898" t="n">
        <v>33</v>
      </c>
      <c r="E487" s="957" t="inlineStr">
        <is>
          <t>Yes</t>
        </is>
      </c>
      <c r="F487" s="899" t="inlineStr">
        <is>
          <t>Refreshing, airy, and effortlessly comfortable, the Sofa Shorts are a simple design cut from 100% cotton. This item is FINAL SALE and cannot be returned or exchanged.</t>
        </is>
      </c>
      <c r="G487" s="900" t="inlineStr">
        <is>
          <t>• Light, relaxed design with elastic drawstring waistband ‚Äî plenty of airflow for staying cool. • Made from crisp and breathable 100% cotton. • Size M is 14.3" in length. Pairs perfectly with the matching Sofa Camisole.</t>
        </is>
      </c>
      <c r="H487" s="901" t="inlineStr">
        <is>
          <t>100% cotton • Care instructions: For best results, hand wash with like colors in cold water. Lay flat or hang to dry</t>
        </is>
      </c>
      <c r="I487" s="902" t="inlineStr">
        <is>
          <t>2023 BTS Sale, 22 July Sale, 22SS 5.13, 23 May Sale, Category_Lounge, Category_Lounge/Bottoms, Category_Lounge/Bottoms/Elastic, Category_Lounge/Shorts, Fabric_Lounge/Cotton, hide-bis, HR-CX, LBD23, no-returns, Sale, Spring Palette, Tariff Final Sale, US Inventory</t>
        </is>
      </c>
      <c r="J487" s="903" t="inlineStr">
        <is>
          <t>sofa-shorts</t>
        </is>
      </c>
    </row>
    <row r="488" ht="28" customHeight="1" s="229">
      <c r="A488" s="928" t="inlineStr">
        <is>
          <t>Sofa Pajama Dress</t>
        </is>
      </c>
      <c r="B488" s="929" t="inlineStr">
        <is>
          <t>Loungewear</t>
        </is>
      </c>
      <c r="C488" s="930" t="n">
        <v>79</v>
      </c>
      <c r="D488" s="930" t="n">
        <v>47.4</v>
      </c>
      <c r="E488" s="936" t="inlineStr">
        <is>
          <t>Yes</t>
        </is>
      </c>
      <c r="F488" s="931" t="inlineStr">
        <is>
          <t>Billowy, airy, and freeing, the Sofa Pajama Dress is a simple sleep dress cut from 100% cotton. This item is FINAL SALE and cannot be returned or exchanged.</t>
        </is>
      </c>
      <c r="G488" s="932" t="inlineStr">
        <is>
          <t>• Light, effortlessly comfortable design with elastic neckline ‚Äî plenty of airflow for staying cool, day and night. • Made from crisp and breathable 100% cotton. • Size M is 26.1" in length.</t>
        </is>
      </c>
      <c r="H488" s="933" t="inlineStr">
        <is>
          <t>100% cotton • Care instructions: For best results, hand wash with like colors in cold water. Lay flat or hang to dry</t>
        </is>
      </c>
      <c r="I488" s="934" t="inlineStr">
        <is>
          <t>2023 BTS Sale, 22 July Sale, 22SS 5.13, 23 May Sale, Category_Lounge, Category_Lounge/Dress&amp;Jumpsuit, Category_Lounge/Pajamas &amp; Robes, Category_Lounge/Pajamas &amp; Robes/Dress, Fabric_Lounge/Cotton, hide-bis, HR-CX, LBD23, no-returns, Sale, Spring Palette</t>
        </is>
      </c>
      <c r="J488" s="935" t="inlineStr">
        <is>
          <t>sofa-pajama-dress</t>
        </is>
      </c>
    </row>
    <row r="489" ht="56" customHeight="1" s="229">
      <c r="A489" s="896" t="inlineStr">
        <is>
          <t>Silk Sleep Pajama Pants</t>
        </is>
      </c>
      <c r="B489" s="897" t="inlineStr">
        <is>
          <t>Loungewear</t>
        </is>
      </c>
      <c r="C489" s="898" t="n">
        <v>119</v>
      </c>
      <c r="D489" s="898" t="n">
        <v>71.40000000000001</v>
      </c>
      <c r="E489" s="957" t="inlineStr">
        <is>
          <t>Yes</t>
        </is>
      </c>
      <c r="F489" s="899" t="inlineStr">
        <is>
          <t>Upgrade your sleepwear with these Silk Sleep Pajama Pants: a soft and silky classic PJ style designed to be lightweight, airy, and loose ‚Äî perfect for winding down after a long day. This item is FINAL SALE and cannot be returned or exchanged.</t>
        </is>
      </c>
      <c r="G489" s="900" t="inlineStr">
        <is>
          <t>• Loose straight-cut with functional side pockets. • Blends crisp viscose and fine, smooth silk for ultimate skin comfort. • Size M is 36.2" in length. Complete your set with the matching Silk Sleep Cami or Silk Sleep Tee.</t>
        </is>
      </c>
      <c r="H489" s="901" t="inlineStr">
        <is>
          <t>64% viscose, 36% mulberry silk • Care instructions: For best results, hand wash with like colors in cool water. Line dry in the shade. Iron on low heat. Do not dry clean</t>
        </is>
      </c>
      <c r="I489" s="902" t="inlineStr">
        <is>
          <t>2023 BTS Sale, 22SS 6.3, 23 May Sale, Category_Lounge, Category_Lounge/Bottoms, Category_Lounge/Bottoms/Elastic, Category_Lounge/Pajamas &amp; Robes, Category_Lounge/Pajamas &amp; Robes/Bottoms, Category_Lounge/Pants, Collection_Valentine, Fabric_Lounge/Silk, hide-bis, HR-CX, LBD23, no-returns, Sale, Tariff Final Sale</t>
        </is>
      </c>
      <c r="J489" s="903" t="inlineStr">
        <is>
          <t>silk-sleep-pajama-bottom</t>
        </is>
      </c>
    </row>
    <row r="490" ht="42" customHeight="1" s="229">
      <c r="A490" s="928" t="inlineStr">
        <is>
          <t>Silk Sleep Tee</t>
        </is>
      </c>
      <c r="B490" s="929" t="inlineStr">
        <is>
          <t>Loungewear</t>
        </is>
      </c>
      <c r="C490" s="930" t="n">
        <v>99</v>
      </c>
      <c r="D490" s="930" t="n">
        <v>59.4</v>
      </c>
      <c r="E490" s="936" t="inlineStr">
        <is>
          <t>Yes</t>
        </is>
      </c>
      <c r="F490" s="931" t="inlineStr">
        <is>
          <t>The Silk Sleep Tee blends minimalist style and luxurious material for a top so comfortable you'll want to wear it all summer! This item is FINAL SALE and cannot be returned or exchanged.</t>
        </is>
      </c>
      <c r="G490" s="932" t="inlineStr">
        <is>
          <t>• Loose fit, dropped-shoulder design ‚Äî absolute comfort in and out of bed. • Perfectly blends with crisp viscose &amp; fine, smooth silk. • Size M is 23.6" in length. Complete the set with our Silk Sleep Pajama Pants.</t>
        </is>
      </c>
      <c r="H490" s="933" t="inlineStr">
        <is>
          <t>64% viscose, 36% mulberry silk • Care instructions: For best results, hand wash with like colors in cool water. Line dry in the shade. Iron on low heat. Do not dry clean</t>
        </is>
      </c>
      <c r="I490" s="934" t="inlineStr">
        <is>
          <t>2023 BTS Sale, 22SS 6.3, 23 May Sale, Category_Lounge, Category_Lounge/Pajamas &amp; Robes, Category_Lounge/Pajamas &amp; Robes/Top, Category_Lounge/Tops, Collection_Valentine, Fabric_Lounge/Silk, hide-bis, HR-CX, LBD23, no-returns, Sale, Tariff Final Sale</t>
        </is>
      </c>
      <c r="J490" s="935" t="inlineStr">
        <is>
          <t>silk-sleep-t-shirt</t>
        </is>
      </c>
    </row>
    <row r="491" ht="42" customHeight="1" s="229">
      <c r="A491" s="896" t="inlineStr">
        <is>
          <t>Silk Sleep Camisole</t>
        </is>
      </c>
      <c r="B491" s="897" t="inlineStr">
        <is>
          <t>Loungewear</t>
        </is>
      </c>
      <c r="C491" s="898" t="n">
        <v>75</v>
      </c>
      <c r="D491" s="898" t="n">
        <v>45</v>
      </c>
      <c r="E491" s="957" t="inlineStr">
        <is>
          <t>Yes</t>
        </is>
      </c>
      <c r="F491" s="899" t="inlineStr">
        <is>
          <t>An essential lounge staple, our Silk Sleep Camisole is relaxed, effortlessly feminine, and versatile top that will help you stay breezy and cool. This item is FINAL SALE and cannot be returned or exchanged.</t>
        </is>
      </c>
      <c r="G491" s="900" t="inlineStr">
        <is>
          <t>• A classic V neckline with mesh lining detail for an elevated touch. • Perfectly blends with crisp viscose &amp; fine, smooth silk. Size M is 10.5" in back length (from bottom of the V). • Complete the set with our Silk Sleep Pajama Pants.</t>
        </is>
      </c>
      <c r="H491" s="901" t="inlineStr">
        <is>
          <t>64% viscose, 36% mulberry silk • Care instructions: For best results, hand wash with like colors in cool water. Line dry in the shade. Iron on low heat. Do not dry clean</t>
        </is>
      </c>
      <c r="I491" s="902" t="inlineStr">
        <is>
          <t>2023 BTS Sale, 22SS 6.3, 23 May Sale, Category_Lounge, Category_Lounge/Pajamas &amp; Robes, Category_Lounge/Pajamas &amp; Robes/Top, Category_Lounge/Tops, Collection_Valentine, Fabric_Lounge/Silk, hide-bis, HR-CX, LBD23, no-returns, Sale, Tariff Final Sale</t>
        </is>
      </c>
      <c r="J491" s="903" t="inlineStr">
        <is>
          <t>silk-sleep-camisole</t>
        </is>
      </c>
    </row>
    <row r="492" ht="42" customHeight="1" s="229">
      <c r="A492" s="928" t="inlineStr">
        <is>
          <t>Collarless Blazer</t>
        </is>
      </c>
      <c r="B492" s="929" t="inlineStr">
        <is>
          <t>Loungewear</t>
        </is>
      </c>
      <c r="C492" s="930" t="n">
        <v>379</v>
      </c>
      <c r="D492" s="930" t="n">
        <v>227.4</v>
      </c>
      <c r="E492" s="936" t="inlineStr">
        <is>
          <t>Yes</t>
        </is>
      </c>
      <c r="F492" s="931" t="inlineStr">
        <is>
          <t>The Collarless Blazer merges the flow of rich mulberry silk and breathable linen for an elevated formal piece that's versatile in the boardroom and on the boardwalk. This item is FINAL SALE and cannot be returned or exchanged.</t>
        </is>
      </c>
      <c r="G492" s="932" t="inlineStr">
        <is>
          <t>• Tailored in a relaxed, oversized flowing cut ‚Äî perfect for warmer weather. • Cut from a lightweight and luxurious blend of mulberry silk and linen: the perfect drape and excellent breathability. • Size M is 27.8" in length.</t>
        </is>
      </c>
      <c r="H492" s="933" t="inlineStr">
        <is>
          <t>52% mulberry silk, 48% linen • Care instructions: Professional dry-clean only</t>
        </is>
      </c>
      <c r="I492" s="934" t="inlineStr">
        <is>
          <t>22SS 5.6, 24.10 Sale, 25JulySale, Category_Lounge, Category_Lounge/Cardigan&amp;Jacket, Category_Lounge/Outerwear, Category_Lounge/Sweaters&amp;Outerwear, Category_Lounge/Tops, Collection_Faye Wong, Fabric_Linen, Fabric_Lounge/Silk, hide-bis, HR-CX, LBD23, no-returns, Outerwear, Tariff Final Sale</t>
        </is>
      </c>
      <c r="J492" s="935" t="inlineStr">
        <is>
          <t>collarless-blazer</t>
        </is>
      </c>
    </row>
    <row r="493" ht="56" customHeight="1" s="229">
      <c r="A493" s="912" t="inlineStr">
        <is>
          <t>Active Long Sleeve Tee</t>
        </is>
      </c>
      <c r="B493" s="913" t="inlineStr">
        <is>
          <t>Active</t>
        </is>
      </c>
      <c r="C493" s="914" t="n">
        <v>79</v>
      </c>
      <c r="D493" s="914" t="n">
        <v>47.4</v>
      </c>
      <c r="E493" s="955" t="inlineStr">
        <is>
          <t>Yes</t>
        </is>
      </c>
      <c r="F493" s="915" t="inlineStr">
        <is>
          <t>The Active Long Sleeve Tee is a must-have top. Made from a poly-Spandex blend, this top is easy to style and wear at the gym, home, or anywhere else. Fit tip: if you're in between sizes, we recommend sizing up. This item is FINAL SALE and cannot be returned or exchanged.</t>
        </is>
      </c>
      <c r="G493" s="916" t="inlineStr">
        <is>
          <t>• Cut for a close, slim fit great for both athletic and casual wear. • Features tapered sleeves with thumbhole openings. • Size M is 19.7" in length. Made from a soft, flexible blend of polyester and Spandex.</t>
        </is>
      </c>
      <c r="H493" s="917" t="inlineStr">
        <is>
          <t>Body materials: 91% polyester, 9% Spandex • Care instructions: For best results, h and wash with like colors in cold water</t>
        </is>
      </c>
      <c r="I493" s="918" t="inlineStr">
        <is>
          <t>2023 BTS Sale, 22SS 5.6, 23 May Sale, 24JuneSale, Activity_Active/Gym, Activity_Active/Outdoor, Activity_Active/Running, Category_Active, Category_Active/Tops, hide-bis, HR-CX, LBD23, no-returns, Sale, Tariff Final Sale</t>
        </is>
      </c>
      <c r="J493" s="919" t="inlineStr">
        <is>
          <t>active-long-sleeve-tee</t>
        </is>
      </c>
    </row>
    <row r="494" ht="56" customHeight="1" s="229">
      <c r="A494" s="904" t="inlineStr">
        <is>
          <t>Active Fitted Hoodie</t>
        </is>
      </c>
      <c r="B494" s="905" t="inlineStr">
        <is>
          <t>Active</t>
        </is>
      </c>
      <c r="C494" s="906" t="n">
        <v>99</v>
      </c>
      <c r="D494" s="906" t="n">
        <v>59.4</v>
      </c>
      <c r="E494" s="956" t="inlineStr">
        <is>
          <t>Yes</t>
        </is>
      </c>
      <c r="F494" s="907" t="inlineStr">
        <is>
          <t>The Active Fitted Hoodie helps you stay comfortable on cool morning runs and at the gym (or anywhere else). Made from a breathable poly-Spandex blend, this hoodie is a casual must-have. Fit tip: if you're in between sizes, we recommend sizing up. This item is FINAL SALE and cannot be returned or exchanged.</t>
        </is>
      </c>
      <c r="G494" s="908" t="inlineStr">
        <is>
          <t>• Cut for a slim fit, perfect for both athletic and casual wear. • Streamlined design with zipped side pockets, opening for easy access to your smartwatch, and reflective accents for greater safety in low-light conditions. • Made from a soft, flexible blend of polyester and Spandex.</t>
        </is>
      </c>
      <c r="H494" s="909" t="inlineStr">
        <is>
          <t>Body materials: 91% polyester, 9% Spandex • Care instructions: For best results, h and wash with like colors in cold water</t>
        </is>
      </c>
      <c r="I494" s="910" t="inlineStr">
        <is>
          <t>2023 BTS Sale, 22SS 5.6, 23 May Sale, Activity_Active/Gym, Activity_Active/Outdoor, Activity_Active/Running, Category_Active, Category_Active/Tops, hide-bis, HR-CX, LBD23, no-returns, Sale, Tariff Final Sale</t>
        </is>
      </c>
      <c r="J494" s="911" t="inlineStr">
        <is>
          <t>active-fitted-hoodie</t>
        </is>
      </c>
    </row>
    <row r="495" ht="56" customHeight="1" s="229">
      <c r="A495" s="880" t="inlineStr">
        <is>
          <t>Nude Shape Triangle Bra</t>
        </is>
      </c>
      <c r="B495" s="881" t="inlineStr">
        <is>
          <t>Underwear</t>
        </is>
      </c>
      <c r="C495" s="882" t="n">
        <v>69</v>
      </c>
      <c r="D495" s="882" t="n">
        <v>34.5</v>
      </c>
      <c r="E495" s="937" t="inlineStr">
        <is>
          <t>Yes</t>
        </is>
      </c>
      <c r="F495" s="883" t="inlineStr">
        <is>
          <t>The Nude Shape Triangle Bra is the easy choice for coverage and comfort under any outfit. A classic t-shirt bra made from a flexible fabric, this will be a staple in your wardrobe all season long. This item is FINAL SALE and cannot be returned or exchanged.</t>
        </is>
      </c>
      <c r="G495" s="884" t="inlineStr">
        <is>
          <t>• Made from a soft and flexible nylon-Spandex blend. • Adjustable spaghetti straps &amp; deep v cut for maximum breathability. • Classic fixed triangle cups for full support and coverage.</t>
        </is>
      </c>
      <c r="H495" s="885" t="inlineStr">
        <is>
          <t>71% nylon, 29% Spandex • Care instructions: For best results, hand wash in cold water with a neutral detergent</t>
        </is>
      </c>
      <c r="I495" s="886" t="inlineStr">
        <is>
          <t>2023 BTS Sale, 22ss 4.8, 23 Spring Sale, 23Oct Markdown, 25clearance, 25DEC 50OFF, 25DEC SALE, Band + Cup Bra, Category_Bras/Everyday, Category_Bras/Medium Support, Category_Bras/Plunge, Category_Underwear, Category_Underwear/Tops, Category_Underwear/Tops/Wireless Bra, Category_Underwear/Tops/Wireless Bra/Triangle, Collection_Valentine, hide-bis, HR-CX, LBD23, no-returns, pink collection, Sale, Spring Palette, Tariff Final Sale</t>
        </is>
      </c>
      <c r="J495" s="887" t="inlineStr">
        <is>
          <t>nude-shape-triangle-bra</t>
        </is>
      </c>
    </row>
    <row r="496" ht="42" customHeight="1" s="229">
      <c r="A496" s="888" t="inlineStr">
        <is>
          <t>Barely Zero Mid Waist Brief 2.0</t>
        </is>
      </c>
      <c r="B496" s="889" t="inlineStr">
        <is>
          <t>Underwear</t>
        </is>
      </c>
      <c r="C496" s="890" t="n">
        <v>19</v>
      </c>
      <c r="D496" s="890" t="n">
        <v>19</v>
      </c>
      <c r="E496" s="889" t="inlineStr"/>
      <c r="F496" s="891" t="inlineStr">
        <is>
          <t>The Barely Zero Mid Waist Brief 2.0, the latest brief in our revolutionary Barely Zero Collection, is the first to feature two sizes designed to better adapt to a wider range of body types!</t>
        </is>
      </c>
      <c r="G496" s="892" t="inlineStr">
        <is>
          <t>• Classic mid-rise cut for f ull coverage and comfort all day &amp; night. • Leg openings feature bonded edge to help keep brief in place. A vailable in two options for a wide range of sizes and body types. • Made from our famous moisture-wicking, odor-reducing CloudFit blend, complete with a 100% cotton lining.</t>
        </is>
      </c>
      <c r="H496" s="893" t="inlineStr">
        <is>
          <t>67% CloudFit nylon blend, 33% Spandex; lining: 100% cotton</t>
        </is>
      </c>
      <c r="I496" s="894" t="inlineStr">
        <is>
          <t>22SS 5.13, 22SS 6.24, BZ Sized Brief, Category_Lingerie/Brief/Mid Waist, Category_Underwear, Category_Underwear/Bottoms, Category_Underwear/Bottoms/Panties, Category_Underwear/Bottoms/Panties/Mid Waist, Collection_Barely Zero, Collection_Barely Zero/Underwear, Feature_Best Seller, Flexport Stock, HR-CX, LBD23, Priority Products, US Evergreen, US Inventory, US Main</t>
        </is>
      </c>
      <c r="J496" s="895" t="inlineStr">
        <is>
          <t>barely-zero-mid-waist-brief-2-0</t>
        </is>
      </c>
    </row>
    <row r="497" ht="28" customHeight="1" s="229">
      <c r="A497" s="912" t="inlineStr">
        <is>
          <t>Ballet Ribbed Cardigan</t>
        </is>
      </c>
      <c r="B497" s="913" t="inlineStr">
        <is>
          <t>Active</t>
        </is>
      </c>
      <c r="C497" s="914" t="n">
        <v>149</v>
      </c>
      <c r="D497" s="914" t="n">
        <v>104.3</v>
      </c>
      <c r="E497" s="955" t="inlineStr">
        <is>
          <t>Yes</t>
        </is>
      </c>
      <c r="F497" s="915" t="inlineStr">
        <is>
          <t>The Ballet Ribbed Cardigan is perfect for staying warm on the way the studio or layering up later in the day when your routine is done.</t>
        </is>
      </c>
      <c r="G497" s="916" t="inlineStr">
        <is>
          <t>• Long sleeves, knitted ribbed texture, unique waist-wrap closure. • Knit from a soft, breathable synthetic fiber blend. • Size M is 19.7" in length.</t>
        </is>
      </c>
      <c r="H497" s="917" t="inlineStr">
        <is>
          <t>76% acetate, 24% nylon • Care instructions: For best results, hand wash with like colors in cold water</t>
        </is>
      </c>
      <c r="I497" s="918" t="inlineStr">
        <is>
          <t>22ss 4.8, 25Feb Sale, Activity_Active/Ballet, Activity_Active/Ballet&amp;Dance, Activity_Active/Dance, Activity_Active/Outdoor, Category_Active, Category_Active/Ballet, Category_Active/Outerwear, Category_Active/Tops, Category_Lounge, Category_Lounge/Knitwear, Category_Lounge/Tops, HR-CX, LBD23, no-returns, Outerwear</t>
        </is>
      </c>
      <c r="J497" s="919" t="inlineStr">
        <is>
          <t>ballet-ribbed-cardigan</t>
        </is>
      </c>
    </row>
    <row r="498" ht="70" customHeight="1" s="229">
      <c r="A498" s="966" t="inlineStr">
        <is>
          <t>Cotton Barely Zero Spaghetti Strap Bra + Brief Set</t>
        </is>
      </c>
      <c r="B498" s="967" t="inlineStr">
        <is>
          <t>Bra + Brief Set</t>
        </is>
      </c>
      <c r="C498" s="968" t="n">
        <v>58</v>
      </c>
      <c r="D498" s="968" t="n">
        <v>58</v>
      </c>
      <c r="E498" s="967" t="inlineStr"/>
      <c r="F498" s="970" t="inlineStr">
        <is>
          <t>This set includes one Barely Zero Cotton Spaghetti Strap Bra &amp; Mid Waist Brief. The best-selling adaptive fit is now available in an extra skin-friendly blend of Supima¬Æ cotton, CloudFit nylon, &amp; TENCEL‚Ñ¢ Modal. Fit tip: based on customer feedback, this brief best fits customers who wear up to a size M in underwear. For a wider size range, check out the Barely Zero Mid Waist Brief 2.0 !</t>
        </is>
      </c>
      <c r="G498" s="971" t="inlineStr">
        <is>
          <t>• A close, comfortable fit that doesn't dig in or show lines. Bra features adjustable shoulder straps, removable chest padding, and pullover design. Brief features a classic full-coverage mid-waist cut and 100% Supima¬Æ cotton lining. • Made from an improved ultra-soft, ultra-elastic fabric blend for a great fit and all-day skin comfort. Now with a new anti-pilling weave!</t>
        </is>
      </c>
      <c r="H498" s="972" t="inlineStr">
        <is>
          <t>Bra: 28% TENCEL‚Ñ¢ Modal, 27 % CloudFit nylon, 26% Spandex, 19% Supima¬Æcotton. Brief: 28% TENCEL‚Ñ¢ Modal, 27% CloudFit nylon, 26% Spandex, 19% Supima¬Æ cotton; lining: 100% Supima¬Æ cotton</t>
        </is>
      </c>
      <c r="I498" s="973" t="inlineStr">
        <is>
          <t>2022 Title Update, 22SS 3.18, Bundle Collection, BZ Spaghetti Set, Category_Bras/Cotton, Category_Bras/Everyday, Category_Bras/Medium Support, Category_Underwear, Category_Underwear/Tops, Category_Underwear/Tops/Wireless Bra, Collection_Barely Zero, Collection_Barely Zero/Bras, Collection_Barely Zero/Underwear, Fabric_Underwear/Cotton, HR-CX, Memorial Day Bundle Price Update, pink collection, Priority Products</t>
        </is>
      </c>
      <c r="J498" s="974" t="inlineStr">
        <is>
          <t>barely-zero-cotton-spaghetti-strap-bra-brief-set</t>
        </is>
      </c>
    </row>
    <row r="499" ht="70" customHeight="1" s="229">
      <c r="A499" s="975" t="inlineStr">
        <is>
          <t>Cotton Barely Zero Mid Waist Brief Trio</t>
        </is>
      </c>
      <c r="B499" s="976" t="inlineStr">
        <is>
          <t>Bundle3</t>
        </is>
      </c>
      <c r="C499" s="977" t="n">
        <v>19</v>
      </c>
      <c r="D499" s="977" t="n">
        <v>15.5</v>
      </c>
      <c r="E499" s="978" t="inlineStr">
        <is>
          <t>Yes</t>
        </is>
      </c>
      <c r="F499" s="979" t="inlineStr">
        <is>
          <t>This bundle includes three Barely Zero Cotton Mid Waist Briefs. The best-selling adaptive fit is now available in an extra skin-friendly blend of Supima¬Æ cotton, CloudFit nylon, &amp; TENCEL‚Ñ¢ Modal. Fit tip: based on customer feedback, this brief best fits customers who wear up to a size M in underwear. For a wider size range, check out the Barely Zero Mid Waist Brief 2.0 !</t>
        </is>
      </c>
      <c r="G499" s="980" t="inlineStr">
        <is>
          <t>• A close, comfortable fit that doesn't dig in or show lines. Features a classic full-coverage mid-waist cut and 100% Supima¬Æ cotton lining. • Made from an improved ultra-soft, ultra-elastic fabric blend for a great fit and all-day skin comfort. Now with a new anti-pilling weave!</t>
        </is>
      </c>
      <c r="H499" s="981" t="inlineStr">
        <is>
          <t>28% TENCEL‚Ñ¢ Modal, 27 % CloudFit nylon, 26% Spandex, 19% Supima¬Æ cotton; lining: 100% Supima¬Æ cotton</t>
        </is>
      </c>
      <c r="I499" s="982" t="inlineStr">
        <is>
          <t>2022 Title Update, 22SS 3.18, Bundle Collection, BZ Brief, BZ One Size Brief, Category_Lingerie/Brief/Mid Waist, Category_Underwear, Category_Underwear/Bottoms, Category_Underwear/Bottoms/Panties, Category_Underwear/Bottoms/Panties/Mid Waist, Collection_Barely Zero, Collection_Barely Zero/Underwear, Fabric_Underwear/Cotton, Fabric_Underwear/Tencel Modal, HR-CX, Memorial Day Bundle Price Update, pink collection, Priority Products</t>
        </is>
      </c>
      <c r="J499" s="983" t="inlineStr">
        <is>
          <t>barely-zero-cotton-mid-waist-brief-trio</t>
        </is>
      </c>
    </row>
    <row r="500" ht="70" customHeight="1" s="229">
      <c r="A500" s="975" t="inlineStr">
        <is>
          <t>Cotton Barely Zero Mid Waist Brief Bundle</t>
        </is>
      </c>
      <c r="B500" s="976" t="inlineStr">
        <is>
          <t>Bundle</t>
        </is>
      </c>
      <c r="C500" s="977" t="n">
        <v>19</v>
      </c>
      <c r="D500" s="977" t="n">
        <v>17.25</v>
      </c>
      <c r="E500" s="978" t="inlineStr">
        <is>
          <t>Yes</t>
        </is>
      </c>
      <c r="F500" s="979" t="inlineStr">
        <is>
          <t>This bundle includes three Barely Zero Cotton Mid Waist Briefs. The best-selling fit is now available in an extra skin-friendly blend of Supima¬Æ cotton, CloudFit nylon, &amp; TENCEL‚Ñ¢ Modal. Fit tip: based on customer feedback, this brief best fits customers who wear up to a size M in underwear. For a wider size range, check out the Barely Zero Mid Waist Brief 2.0 !</t>
        </is>
      </c>
      <c r="G500" s="980" t="inlineStr">
        <is>
          <t>• A close, comfortable fit that doesn't dig in or show lines. Features a classic full-coverage mid-waist cut and 100% Supima¬Æ cotton lining. • Made from an improved ultra-soft, ultra-elastic fabric blend for a great fit and all-day skin comfort. Now with a new anti-pilling weave!</t>
        </is>
      </c>
      <c r="H500" s="981" t="inlineStr">
        <is>
          <t>28% TENCEL‚Ñ¢ Modal, 27 % CloudFit nylon, 26% Spandex, 19% Supima¬Æ cotton; lining: 100% Supima¬Æ cotton</t>
        </is>
      </c>
      <c r="I500" s="982" t="inlineStr">
        <is>
          <t>2022 Title Update, 22SS 3.18, Bundle Collection, BZ Brief, BZ One Size Brief, Category_Lingerie/Brief/Mid Waist, Category_Underwear, Category_Underwear/Bottoms, Category_Underwear/Bottoms/Panties, Category_Underwear/Bottoms/Panties/Mid Waist, Collection_Barely Zero, Collection_Barely Zero/Underwear, Fabric_Underwear/Cotton, Fabric_Underwear/Tencel Modal, HR-CX, Memorial Day Bundle Price Update, pink collection, Priority Products</t>
        </is>
      </c>
      <c r="J500" s="983" t="inlineStr">
        <is>
          <t>barely-zero-cotton-mid-waist-brief-bundle</t>
        </is>
      </c>
    </row>
    <row r="501" ht="42" customHeight="1" s="229">
      <c r="A501" s="966" t="inlineStr">
        <is>
          <t>Cotton Barely Zero Spaghetti Strap Bra Trio</t>
        </is>
      </c>
      <c r="B501" s="967" t="inlineStr">
        <is>
          <t>Bundle3</t>
        </is>
      </c>
      <c r="C501" s="968" t="n">
        <v>39</v>
      </c>
      <c r="D501" s="968" t="n">
        <v>31.5</v>
      </c>
      <c r="E501" s="969" t="inlineStr">
        <is>
          <t>Yes</t>
        </is>
      </c>
      <c r="F501" s="970" t="inlineStr">
        <is>
          <t>This bundle includes three Cotton Barely Zero Spaghetti Strap Bras. Our best-selling one-size bra is now available in an extra skin-friendly blend of Supima¬Æ cotton, CloudFit nylon, &amp; TENCEL‚Ñ¢ Modal.</t>
        </is>
      </c>
      <c r="G501" s="971" t="inlineStr">
        <is>
          <t>• A close, comfortable fit that doesn't dig in or show lines. Features adjustable shoulder straps, removable chest padding, and no uncomfortable back buckle. • Made from an improved ultra-soft, ultra-elastic fabric blend for a great fit and all-day skin comfort. Now with a new anti-pilling weave! • Comfortably fits a wide range of bra sizes - the ultimate bra for nursing, fluctuating sizes, and easy gifting! Please see the size guide for more detailed sizing guidance.</t>
        </is>
      </c>
      <c r="H501" s="972" t="inlineStr">
        <is>
          <t>28% TENCEL‚Ñ¢ Modal, 27 % CloudFit nylon, 26% Spandex, 19% Supima¬Æ cotton</t>
        </is>
      </c>
      <c r="I501" s="973" t="inlineStr">
        <is>
          <t>2022 Title Update, 22SS 3.18, Bundle Collection, BZ Classic Bra, Category_Bras/Cotton, Category_Bras/Everyday, Category_Bras/Medium Support, Category_Underwear, Category_Underwear/Tops, Category_Underwear/Tops/Wireless Bra, Collection_Barely Zero, Collection_Barely Zero/Bras, Fabric_Underwear/Cotton, Memorial Day Bundle Price Update, pink collection, Priority Products</t>
        </is>
      </c>
      <c r="J501" s="974" t="inlineStr">
        <is>
          <t>barely-zero-cotton-spaghetti-strap-bra-trio</t>
        </is>
      </c>
    </row>
    <row r="502" ht="56" customHeight="1" s="229">
      <c r="A502" s="966" t="inlineStr">
        <is>
          <t>Cotton Barely Zero Spaghetti Strap Bra Bundle</t>
        </is>
      </c>
      <c r="B502" s="967" t="inlineStr">
        <is>
          <t>Bundle</t>
        </is>
      </c>
      <c r="C502" s="968" t="n">
        <v>39</v>
      </c>
      <c r="D502" s="968" t="n">
        <v>35.25</v>
      </c>
      <c r="E502" s="969" t="inlineStr">
        <is>
          <t>Yes</t>
        </is>
      </c>
      <c r="F502" s="970" t="inlineStr">
        <is>
          <t>This bundle includes two Cotton Barely Zero Spaghetti Strap Bras. Our best-selling one-size bra is now available in vibrant colors and made from an extra skin-friendly blend of Supima¬Æ cotton, CloudFit nylon, &amp; TENCEL‚Ñ¢ Modal - perfect for staying cool and comfortable all day.</t>
        </is>
      </c>
      <c r="G502" s="971" t="inlineStr">
        <is>
          <t>• A close, comfortable fit that doesn't dig in or show lines. Features adjustable shoulder straps, removable chest padding, and no uncomfortable back buckle. • Made from an ultra-soft, ultra-elastic fabric blend for a great fit and all-day skin comfort. Now with a new anti-pilling weave! • Comfortably fits a wide range of bra sizes - the ultimate bra for nursing, fluctuating sizes, and easy gifting! Please see the size guide for more detailed sizing guidance.</t>
        </is>
      </c>
      <c r="H502" s="972" t="inlineStr">
        <is>
          <t>28% TENCEL‚Ñ¢ Modal, 27 % CloudFit nylon, 26% Spandex, 19% Supima¬Æ cotton; ships in easy-to-reuse environmentally-friendly packaging made from 100% post-consumer materials</t>
        </is>
      </c>
      <c r="I502" s="973" t="inlineStr">
        <is>
          <t>2022 Title Update, 22SS 3.18, Bundle Collection, BZ Classic Bra, Category_Bras/Cotton, Category_Bras/Everyday, Category_Bras/Medium Support, Category_Underwear, Category_Underwear/Tops, Category_Underwear/Tops/Wireless Bra, Collection_Barely Zero, Collection_Barely Zero/Bras, Fabric_Underwear/Cotton, Memorial Day Bundle Price Update, pink collection, Priority Products</t>
        </is>
      </c>
      <c r="J502" s="974" t="inlineStr">
        <is>
          <t>barely-zero-cotton-spaghetti-strap-bra-bundle</t>
        </is>
      </c>
    </row>
    <row r="503" ht="56" customHeight="1" s="229">
      <c r="A503" s="896" t="inlineStr">
        <is>
          <t>Essential Padded Camisole</t>
        </is>
      </c>
      <c r="B503" s="897" t="inlineStr">
        <is>
          <t>Loungewear</t>
        </is>
      </c>
      <c r="C503" s="898" t="n">
        <v>69</v>
      </c>
      <c r="D503" s="898" t="n">
        <v>48.3</v>
      </c>
      <c r="E503" s="957" t="inlineStr">
        <is>
          <t>Yes</t>
        </is>
      </c>
      <c r="F503" s="899" t="inlineStr">
        <is>
          <t>A light and feminine design, Essential Padded Camisole is a must-have in your summer wardrobe. Simple yet enchanting, this versatile piece is perfect as a lounge top, part of an outfit you'd wear out, or any number of pairings with different bottoms! This item is FINAL SALE and cannot be returned or exchanged.</t>
        </is>
      </c>
      <c r="G503" s="900" t="inlineStr">
        <is>
          <t>• Elegant V-neckline, center-line detail, slim fit. • Adjustable straps, and built-in shelf bra. • Made from premium blend of crisp cotton and breathable mulberry silk.</t>
        </is>
      </c>
      <c r="H503" s="901" t="inlineStr">
        <is>
          <t>body: 91% cotton, 9% Spandex; hemline: 84% TENCEL‚Ñ¢ Modal, 10% mulberry silk, 6% Spandex. • Care instructions: For best results, hand wash with like colors in cold water. Lay flat or hang to dry. Ironing not recommended</t>
        </is>
      </c>
      <c r="I503" s="902" t="inlineStr">
        <is>
          <t>2023 BTS Sale, 22SS 6.10, 23 May Sale, Category_Lounge, Category_Lounge/Tees&amp;Tanks, Category_Lounge/Top, Category_Underwear/Tops, Fabric_Lounge/Cotton, Fabric_Lounge/Silk, Fabric_Lounge/Tencel Modal, Flexport Stock, hide-bis, LBD23, no-returns, pink collection, Sale, Spring Palette, US Inventory, US Main</t>
        </is>
      </c>
      <c r="J503" s="903" t="inlineStr">
        <is>
          <t>essential-padded-camisole</t>
        </is>
      </c>
    </row>
    <row r="504" ht="56" customHeight="1" s="229">
      <c r="A504" s="880" t="inlineStr">
        <is>
          <t>Tempting Low Waist Brief</t>
        </is>
      </c>
      <c r="B504" s="881" t="inlineStr">
        <is>
          <t>Underwear</t>
        </is>
      </c>
      <c r="C504" s="882" t="n">
        <v>45</v>
      </c>
      <c r="D504" s="882" t="n">
        <v>27</v>
      </c>
      <c r="E504" s="937" t="inlineStr">
        <is>
          <t>Yes</t>
        </is>
      </c>
      <c r="F504" s="883" t="inlineStr">
        <is>
          <t>The Tempting Low Waist Brief is the embodiment of elegance and allure. Made from imported Italian lace, this brief is ideal for inspiring confidence and lighting up your most intimate evenings. This item is FINAL SALE and cannot be returned or exchanged.</t>
        </is>
      </c>
      <c r="G504" s="884" t="inlineStr">
        <is>
          <t>• Classic low-waist cut with elastic sides for a comfortable fit. • Made from an imported Italian-blend lace with a 100% cotton lining. • Pairs perfectly with the matching Tempting Deep V Bra.</t>
        </is>
      </c>
      <c r="H504" s="885" t="inlineStr">
        <is>
          <t>79% nylon, 21% Spandex; straps: 81% nylon, 19% Spandex; lining: 100% cotton. • Care instructions: For best results, hand wash in cold water with a light detergent. Lay flat to dry. Do not iron</t>
        </is>
      </c>
      <c r="I504" s="886" t="inlineStr">
        <is>
          <t>2023 BTS Sale, 22ss 4.8, 23 Spring Sale, Category_Underwear, Category_Underwear/Bottoms, Category_Underwear/Bottoms/Panties, Category_Underwear/Bottoms/Panties/Low Waist, Collection_Valentine, hide-bis, HR-CX, LBD23, no-returns, Sale, Tariff Final Sale, XS - XL Brief</t>
        </is>
      </c>
      <c r="J504" s="887" t="inlineStr">
        <is>
          <t>tempting-low-waist-brief</t>
        </is>
      </c>
    </row>
    <row r="505" ht="56" customHeight="1" s="229">
      <c r="A505" s="928" t="inlineStr">
        <is>
          <t>Hang Out Summer Shirt</t>
        </is>
      </c>
      <c r="B505" s="929" t="inlineStr">
        <is>
          <t>Loungewear</t>
        </is>
      </c>
      <c r="C505" s="930" t="n">
        <v>109</v>
      </c>
      <c r="D505" s="930" t="n">
        <v>65.40000000000001</v>
      </c>
      <c r="E505" s="936" t="inlineStr">
        <is>
          <t>Yes</t>
        </is>
      </c>
      <c r="F505" s="931" t="inlineStr">
        <is>
          <t>The Hang Out Summer Shirt is a loose-fitting Cuban style shirt made from an effortlessly breathable blend of silk and cotton - perfect for staying cool, comfortable, and casually stylish all summer long. This item is FINAL SALE and cannot be returned or exchanged.</t>
        </is>
      </c>
      <c r="G505" s="932" t="inlineStr">
        <is>
          <t>• Loose, o versized fit for maximum airflow. • Button-up Cuban style shirt with front pockets and side slits. • Size M is 27.6" in length. Pair with the Hang Out Casual Shorts for a chic look fit for boardwalk, beach, cabana, or anywhere else you go this summer.</t>
        </is>
      </c>
      <c r="H505" s="933" t="inlineStr">
        <is>
          <t>71% cotton, 29% mulberry silk • Care instructions: For best results, hand wash in cold water with a light detergent. Line dry in the shade. Ironing not recommended</t>
        </is>
      </c>
      <c r="I505" s="934" t="inlineStr">
        <is>
          <t>2023 BTS Sale, 22SS 4.15, 23 May Sale, 23 Spring Sale, Category_Lounge, Category_Lounge/Tees&amp;Tanks, Category_Lounge/Tops, Fabric_Lounge/Cotton, Fabric_Lounge/Silk, hide-bis, HR-CX, LBD23, no-returns, pink collection, Sale, Spring Palette, Tariff Final Sale</t>
        </is>
      </c>
      <c r="J505" s="935" t="inlineStr">
        <is>
          <t>hang-out-summer-shirt</t>
        </is>
      </c>
    </row>
    <row r="506" ht="42" customHeight="1" s="229">
      <c r="A506" s="896" t="inlineStr">
        <is>
          <t>Hang Out Casual Pants</t>
        </is>
      </c>
      <c r="B506" s="897" t="inlineStr">
        <is>
          <t>Loungewear</t>
        </is>
      </c>
      <c r="C506" s="898" t="n">
        <v>109</v>
      </c>
      <c r="D506" s="898" t="n">
        <v>65.40000000000001</v>
      </c>
      <c r="E506" s="957" t="inlineStr">
        <is>
          <t>Yes</t>
        </is>
      </c>
      <c r="F506" s="899" t="inlineStr">
        <is>
          <t>The Hang Out Casual Pants are a great option for elevating any summer outfit with a touch of elegance. This item is FINAL SALE and cannot be returned or exchanged.</t>
        </is>
      </c>
      <c r="G506" s="900" t="inlineStr">
        <is>
          <t>• Semi-high waist fit with adjustable waistband, straight legs, and pockets. • 100% cotton ‚Äî effortlessly breathable, even in the summer heat. • Size M is 39.4" in length. Pair with the Hang Out Summer Shirt or Crochet Camisole for a chic look fit for boardwalk, beach, cabana, or anywhere else you go this summer.</t>
        </is>
      </c>
      <c r="H506" s="901" t="inlineStr">
        <is>
          <t>100% cotton • Care instructions: For best results, hand wash in cold water with a light detergent. Line dry in the shade. Ironing not recommended</t>
        </is>
      </c>
      <c r="I506" s="902" t="inlineStr">
        <is>
          <t>2023 BTS Sale, 22SS 4.15, 23 May Sale, 23 Spring Sale, Category_Lounge, Category_Lounge/Bottoms, Category_Lounge/Bottoms/Non-Elastic, Category_Lounge/Pants, Fabric_Lounge/Cotton, Flexport Stock, hide-bis, HR-CX, LBD23, no-returns, Non-Elastic Lounge Bottoms, Sale, Tariff Final Sale, US Inventory</t>
        </is>
      </c>
      <c r="J506" s="903" t="inlineStr">
        <is>
          <t>hang-out-casual-pants</t>
        </is>
      </c>
    </row>
    <row r="507" ht="28" customHeight="1" s="229">
      <c r="A507" s="928" t="inlineStr">
        <is>
          <t>Hang Out Cotton Casual Shorts</t>
        </is>
      </c>
      <c r="B507" s="929" t="inlineStr">
        <is>
          <t>Loungewear</t>
        </is>
      </c>
      <c r="C507" s="930" t="n">
        <v>79</v>
      </c>
      <c r="D507" s="930" t="n">
        <v>47.4</v>
      </c>
      <c r="E507" s="936" t="inlineStr">
        <is>
          <t>Yes</t>
        </is>
      </c>
      <c r="F507" s="931" t="inlineStr">
        <is>
          <t>The Hang Out Casual Shorts are great for staying cool &amp; stylish in any summer weather. This item is FINAL SALE and cannot be returned or exchanged.</t>
        </is>
      </c>
      <c r="G507" s="932" t="inlineStr">
        <is>
          <t>• Semi-high waist shorts with adjustable waistband and pockets. • 100% cotton ‚Äî effortlessly breathable, even in the summer heat. • Size M is 16.9" in length. Pair with the Hang Out Summer Shirt or Crochet Camisole for a chic look fit for boardwalk, beach, cabana, or anywhere else you go this summer.</t>
        </is>
      </c>
      <c r="H507" s="933" t="inlineStr">
        <is>
          <t>100% cotton • Care instructions: For best results, hand wash in cold water with a light detergent. Line dry in the shade. Ironing not recommended</t>
        </is>
      </c>
      <c r="I507" s="934" t="inlineStr">
        <is>
          <t>2023 BTS Sale, 22SS 4.15, 23 May Sale, 23 Spring Sale, Category_Lounge, Category_Lounge/Bottoms, Category_Lounge/Bottoms/Non-Elastic, Category_Lounge/Shorts, Fabric_Lounge/Cotton, hide-bis, HR-CX, LBD23, no-returns, Non-Elastic Lounge Bottoms, Sale, Tariff Final Sale, US Inventory</t>
        </is>
      </c>
      <c r="J507" s="935" t="inlineStr">
        <is>
          <t>hang-out-cotton-casual-shorts</t>
        </is>
      </c>
    </row>
    <row r="508" ht="70" customHeight="1" s="229">
      <c r="A508" s="904" t="inlineStr">
        <is>
          <t>Active Cropped Jogging Pants</t>
        </is>
      </c>
      <c r="B508" s="905" t="inlineStr">
        <is>
          <t>Active</t>
        </is>
      </c>
      <c r="C508" s="906" t="n">
        <v>119</v>
      </c>
      <c r="D508" s="906" t="n">
        <v>83.3</v>
      </c>
      <c r="E508" s="956" t="inlineStr">
        <is>
          <t>Yes</t>
        </is>
      </c>
      <c r="F508" s="907" t="inlineStr">
        <is>
          <t>The Active Cropped Jogging Pants are the perfect alternative to shorts for your workouts this season. Made from a flexible, breathable Spandex-nylon blend, these joggers are comfortable, stylish, and easy to move in. Fit tip: if you're in between sizes, we recommend sizing up. This item is FINAL SALE and cannot be returned or exchanged.</t>
        </is>
      </c>
      <c r="G508" s="908" t="inlineStr">
        <is>
          <t>• A great alternative to shorts when running in the sun, offering UPF 50+ sun protection. Size M is 38" in length. • Streamlined design with elastic drawstring waistband, side pockets, and reflective accents for greater safety in low-light conditions. • Made from a flexible, breathable blend of nylon and Spandex.</t>
        </is>
      </c>
      <c r="H508" s="909" t="inlineStr">
        <is>
          <t>Body materials: 73% nylon, 27% Spandex • Care instructions: For best results, h and wash with like colors in cold water</t>
        </is>
      </c>
      <c r="I508" s="910" t="inlineStr">
        <is>
          <t>2023 BTS Sale, 22SS 5.6, 23 May Sale, Activity_Active/Outdoor, Activity_Active/Running, Category_Active, Category_Active/Joggers, hide-bis, LBD23, no-returns, Sale</t>
        </is>
      </c>
      <c r="J508" s="911" t="inlineStr">
        <is>
          <t>active-cropped-jogging-pants</t>
        </is>
      </c>
    </row>
    <row r="509" ht="42" customHeight="1" s="229">
      <c r="A509" s="912" t="inlineStr">
        <is>
          <t>Active Ballet Stirrup Drawstring Leggings</t>
        </is>
      </c>
      <c r="B509" s="913" t="inlineStr">
        <is>
          <t>Active</t>
        </is>
      </c>
      <c r="C509" s="914" t="n">
        <v>109</v>
      </c>
      <c r="D509" s="914" t="n">
        <v>65.40000000000001</v>
      </c>
      <c r="E509" s="955" t="inlineStr">
        <is>
          <t>Yes</t>
        </is>
      </c>
      <c r="F509" s="915" t="inlineStr">
        <is>
          <t>The Active Ballet Stirrup Drawstring Leggings are a great choice for getting back into your dance or exercise routine! Fit tip: if you're in between sizes, we recommend sizing up.</t>
        </is>
      </c>
      <c r="G509" s="916" t="inlineStr">
        <is>
          <t>• Features an adjustable wrap-around drawstring waistband. • Tailored from a moisture-wicking, skin-friendly Spandex blend. • Stirrup design is intended to cover the heel. • Inseam is 30" for Size M.</t>
        </is>
      </c>
      <c r="H509" s="917" t="inlineStr">
        <is>
          <t>69% nylon, 31% Spandex • Care instructions: For best results, hand wash with like colors in cold water</t>
        </is>
      </c>
      <c r="I509" s="918" t="inlineStr">
        <is>
          <t>2023 BTS Sale, 22SS 3.18, 25Feb Sale, 25JulySale, Activity_Active/Ballet, Activity_Active/Ballet&amp;Dance, Activity_Active/Dance, Activity_Active/Outdoor, Category_Active, Category_Active/Leggings, HR-CX, LBD23, no-returns, Tariff Final Sale, US Inventory</t>
        </is>
      </c>
      <c r="J509" s="919" t="inlineStr">
        <is>
          <t>active-ballet-stirrup-drawstring-leggings</t>
        </is>
      </c>
    </row>
    <row r="510" ht="28" customHeight="1" s="229">
      <c r="A510" s="888" t="inlineStr">
        <is>
          <t>Essential Bandeau Bra</t>
        </is>
      </c>
      <c r="B510" s="889" t="inlineStr">
        <is>
          <t>Underwear</t>
        </is>
      </c>
      <c r="C510" s="890" t="n">
        <v>39</v>
      </c>
      <c r="D510" s="890" t="n">
        <v>39</v>
      </c>
      <c r="E510" s="889" t="inlineStr"/>
      <c r="F510" s="891" t="inlineStr">
        <is>
          <t>The Essential Bandeau Bra converts to a strapless option, making it a must-have underlayer for your favorite styles this season.</t>
        </is>
      </c>
      <c r="G510" s="892" t="inlineStr">
        <is>
          <t>• Completely wireless with removable straps; easy support you can hide under any top or dress! • Made from a flexible, breathable poly-Spandex blend - perfect for skin comfort. • Back clasp closure and front mesh panel for breathability and stability.</t>
        </is>
      </c>
      <c r="H510" s="893" t="inlineStr">
        <is>
          <t>shell (1): 68% polyamide, 32% Spandex; shell (2): 69% Spandex, 31% polyamide; mesh: 79% polyamide, 21% Spandex; lining (1): 100% polyester; lining (2) 100% cotton • Care instructions: For best results, hand wash in cold water. Line dry in the shade. Do not iron. Do not tumble dry</t>
        </is>
      </c>
      <c r="I510" s="894" t="inlineStr">
        <is>
          <t>22SS 3.11, 23SS A3 Size Bra, Category_Bras/Medium Support, Category_Bras/Strapless, Category_Lingerie/Wireless Bra/Strapless, Category_Underwear, Category_Underwear/Tops, Category_Underwear/Tops/Wireless Bra, Category_Underwear/Tops/Wireless Bra/Bandeau, Feature_Best Seller, Flexport Stock, Tariff Final Sale, US Inventory</t>
        </is>
      </c>
      <c r="J510" s="895" t="inlineStr">
        <is>
          <t>essential-bandeau-bra</t>
        </is>
      </c>
    </row>
    <row r="511" ht="56" customHeight="1" s="229">
      <c r="A511" s="896" t="inlineStr">
        <is>
          <t>Stroll Pajama Shorts</t>
        </is>
      </c>
      <c r="B511" s="897" t="inlineStr">
        <is>
          <t>Loungewear</t>
        </is>
      </c>
      <c r="C511" s="898" t="n">
        <v>55</v>
      </c>
      <c r="D511" s="898" t="n">
        <v>33</v>
      </c>
      <c r="E511" s="957" t="inlineStr">
        <is>
          <t>Yes</t>
        </is>
      </c>
      <c r="F511" s="899" t="inlineStr">
        <is>
          <t>Finally, a lounge set you won't mind going out in. Our Stroll Pajama Shorts (which pair perfectly two matching tops) are perfect for staying cool, comfy, and stylish at home and beyond. This item is FINAL SALE and cannot be returned or exchanged.</t>
        </is>
      </c>
      <c r="G511" s="900" t="inlineStr">
        <is>
          <t>• Elastic waistband with functional side pockets. • Size M is 16.3" in length. Perfect for staying comfy &amp; cool in any heat. • Made from crisp, breathable 100% cotton.</t>
        </is>
      </c>
      <c r="H511" s="901" t="inlineStr">
        <is>
          <t>100% cotton • Care instructions: For best results, machine wash on a gentle cycle in cold water</t>
        </is>
      </c>
      <c r="I511" s="902" t="inlineStr">
        <is>
          <t>2023 BTS Sale, 22 July Sale, 22SS 3.11, 23 May Sale, Category_Lounge, Category_Lounge/Bottoms, Category_Lounge/Bottoms/Elastic, Category_Lounge/Pajamas &amp; Robes, Category_Lounge/Pajamas &amp; Robes/Bottoms, Category_Lounge/Pants, Category_Lounge/Shorts, Fabric_Lounge/Cotton, hide-bis, HR-CX, LBD23, no-returns, Sale, Spring Palette, Tariff Final Sale</t>
        </is>
      </c>
      <c r="J511" s="903" t="inlineStr">
        <is>
          <t>stroll-pajama-shorts</t>
        </is>
      </c>
    </row>
    <row r="512" ht="70" customHeight="1" s="229">
      <c r="A512" s="928" t="inlineStr">
        <is>
          <t>Straight Leg Pajama Pants</t>
        </is>
      </c>
      <c r="B512" s="929" t="inlineStr">
        <is>
          <t>Loungewear</t>
        </is>
      </c>
      <c r="C512" s="930" t="n">
        <v>55</v>
      </c>
      <c r="D512" s="930" t="n">
        <v>33</v>
      </c>
      <c r="E512" s="936" t="inlineStr">
        <is>
          <t>Yes</t>
        </is>
      </c>
      <c r="F512" s="931" t="inlineStr">
        <is>
          <t>Stylish &amp; comfy, these Straight Leg Pajama Pants come in 100% cotton and are the perfect loungewear for different scenarios: reading in bed, having friends over, or even going out for an evening walk. Available in your choice of solid color or vibrant stripes. This item is FINAL SALE and cannot be returned or exchanged.</t>
        </is>
      </c>
      <c r="G512" s="932" t="inlineStr">
        <is>
          <t>• Straight leg design with adjustable elastic waistband ‚Äî a perfect mix of comfort &amp; style. • Made from crisp and breathable 100% cotton. • Size M is 39.5" in length. Pairs with the matching Box Fit Pajama Top. ‚Äã</t>
        </is>
      </c>
      <c r="H512" s="933" t="inlineStr">
        <is>
          <t>100% cotton • Care instructions: For best results, hand wash with like colors in cold water. Lay flat or hang to dry</t>
        </is>
      </c>
      <c r="I512" s="934" t="inlineStr">
        <is>
          <t>2023 BTS Sale, 22SS 6.17, 23 Spring Sale, Category_Lounge, Category_Lounge/Bottoms, Category_Lounge/Bottoms/Elastic, Category_Lounge/Pajamas &amp; Robes, Category_Lounge/Pajamas &amp; Robes/Bottoms, Category_Lounge/Pants, Fabric_Lounge/Cotton, hide-bis, HR-CX, LBD23, no-returns, Sale, Tariff Final Sale, US Inventory</t>
        </is>
      </c>
      <c r="J512" s="935" t="inlineStr">
        <is>
          <t>straight-leg-pajama-pants</t>
        </is>
      </c>
    </row>
    <row r="513" ht="42" customHeight="1" s="229">
      <c r="A513" s="896" t="inlineStr">
        <is>
          <t>Hang Out Maxi Dress</t>
        </is>
      </c>
      <c r="B513" s="897" t="inlineStr">
        <is>
          <t>Loungewear</t>
        </is>
      </c>
      <c r="C513" s="898" t="n">
        <v>165</v>
      </c>
      <c r="D513" s="898" t="n">
        <v>99</v>
      </c>
      <c r="E513" s="957" t="inlineStr">
        <is>
          <t>Yes</t>
        </is>
      </c>
      <c r="F513" s="899" t="inlineStr">
        <is>
          <t>Summertime comfort should be easy &amp; breezy. The Hang Out Maxi Dress is a cute, chic summer style that never goes out of fashion! This item is FINAL SALE and cannot be returned or exchanged.</t>
        </is>
      </c>
      <c r="G513" s="900" t="inlineStr">
        <is>
          <t>• Classic maxi dress cut with semi-elastic waist for a flattering silhouette. • Features adjustable-tie shoulder straps and functional side pockets. • Size M is 36.7" in length. Made from a breathable blend of cotton &amp; Spandex.</t>
        </is>
      </c>
      <c r="H513" s="901" t="inlineStr">
        <is>
          <t>o uter: 95% cotton, 5% Spandex; lining: 100% cotton • Care instructions: For best results, hand wash with like colors in cold water</t>
        </is>
      </c>
      <c r="I513" s="902" t="inlineStr">
        <is>
          <t>2023 BTS Sale, 22 July Sale, 22SS 3.11, 23 May Sale, Category_Lounge, Category_Lounge/Dress&amp;Jumpsuit, Fabric_Lounge/Cotton, hide-bis, HR-CX, LBD23, no-returns, Over $83, pink collection, Sale, Spring Palette, Tariff Final Sale</t>
        </is>
      </c>
      <c r="J513" s="903" t="inlineStr">
        <is>
          <t>hang-out-maxi-dress</t>
        </is>
      </c>
    </row>
    <row r="514" ht="28" customHeight="1" s="229">
      <c r="A514" s="928" t="inlineStr">
        <is>
          <t>Hang Out 2-Way Dress</t>
        </is>
      </c>
      <c r="B514" s="929" t="inlineStr">
        <is>
          <t>Loungewear</t>
        </is>
      </c>
      <c r="C514" s="930" t="n">
        <v>135</v>
      </c>
      <c r="D514" s="930" t="n">
        <v>81</v>
      </c>
      <c r="E514" s="936" t="inlineStr">
        <is>
          <t>Yes</t>
        </is>
      </c>
      <c r="F514" s="931" t="inlineStr">
        <is>
          <t>The Hang Out 2-Way Dress can be worn both as a dress or a skirt, making it a versatile must-have! This item is FINAL SALE and cannot be returned or exchanged.</t>
        </is>
      </c>
      <c r="G514" s="932" t="inlineStr">
        <is>
          <t>• Two easy ways to wear, with elastic upper and removable straps. • Flowing pleated skirt for absolute freedom &amp; airflow. • Size M is 31.7" in length. Made from a breathable blend of cotton &amp; Spandex.</t>
        </is>
      </c>
      <c r="H514" s="933" t="inlineStr">
        <is>
          <t>o uter: 95% cotton, 5% Spandex; lining: 100% cotton • Care instructions: For best results, hand wash with like colors in cold water</t>
        </is>
      </c>
      <c r="I514" s="934" t="inlineStr">
        <is>
          <t>2023 BTS Sale, 22 July Sale, 22SS 3.11, 23 May Sale, Category_Lounge, Category_Lounge/Dress&amp;Jumpsuit, Fabric_Lounge/Cotton, hide-bis, HR-CX, LBD23, no-returns, Sale, Spring Palette, Tariff Final Sale</t>
        </is>
      </c>
      <c r="J514" s="935" t="inlineStr">
        <is>
          <t>hang-out-2-way-dress</t>
        </is>
      </c>
    </row>
    <row r="515" ht="70" customHeight="1" s="229">
      <c r="A515" s="896" t="inlineStr">
        <is>
          <t>Stroll Short Sleeve Pajama Top</t>
        </is>
      </c>
      <c r="B515" s="897" t="inlineStr">
        <is>
          <t>Loungewear</t>
        </is>
      </c>
      <c r="C515" s="898" t="n">
        <v>65</v>
      </c>
      <c r="D515" s="898" t="n">
        <v>39</v>
      </c>
      <c r="E515" s="957" t="inlineStr">
        <is>
          <t>Yes</t>
        </is>
      </c>
      <c r="F515" s="899" t="inlineStr">
        <is>
          <t>Finally, a lounge set you won't mind going out in. Our Stroll Short Sleeve Pajama Top (which pairs perfectly with the matching shorts) is the perfect mix of stylish &amp; comfy you need whether you're home on the sofa, out walking the dog, or relaxing on the patio! This item is FINAL SALE and cannot be returned or exchanged.</t>
        </is>
      </c>
      <c r="G515" s="900" t="inlineStr">
        <is>
          <t>• V-neck collar with an adjustable back tie to customize your fit. • Cropped length with short semi-elastic sleeves - perfect for staying cool on warm days. • Made from crisp, breathable 100% cotton.</t>
        </is>
      </c>
      <c r="H515" s="901" t="inlineStr">
        <is>
          <t>100% cotton • Care instructions: For best results, machine wash on a gentle cycle in cold water</t>
        </is>
      </c>
      <c r="I515" s="902" t="inlineStr">
        <is>
          <t>2023 BTS Sale, 22 July Sale, 22SS 3.11, 23 May Sale, Category_Lounge, Category_Lounge/Pajamas &amp; Robes, Category_Lounge/Pajamas &amp; Robes/Top, Category_Lounge/Tops, Fabric_Lounge/Cotton, hide-bis, HR-CX, LBD23, no-returns, Sale, Spring Palette, Tariff Final Sale, US Inventory</t>
        </is>
      </c>
      <c r="J515" s="903" t="inlineStr">
        <is>
          <t>stroll-short-sleeve-pajama-top</t>
        </is>
      </c>
    </row>
    <row r="516" ht="70" customHeight="1" s="229">
      <c r="A516" s="928" t="inlineStr">
        <is>
          <t>Stroll Long Sleeve Pajama Top</t>
        </is>
      </c>
      <c r="B516" s="929" t="inlineStr">
        <is>
          <t>Loungewear</t>
        </is>
      </c>
      <c r="C516" s="930" t="n">
        <v>69</v>
      </c>
      <c r="D516" s="930" t="n">
        <v>41.4</v>
      </c>
      <c r="E516" s="936" t="inlineStr">
        <is>
          <t>Yes</t>
        </is>
      </c>
      <c r="F516" s="931" t="inlineStr">
        <is>
          <t>Finally, a lounge set you won't mind going out in. Our Stroll Long Sleeve Pajama Top (which pairs perfectly with the matching shorts) is the perfect mix of stylish &amp; comfy you need whether you're headed to bed or taking a relaxing stroll to reflect and collect your thoughts. This item is FINAL SALE and cannot be returned or exchanged.</t>
        </is>
      </c>
      <c r="G516" s="932" t="inlineStr">
        <is>
          <t>• V-neck collar with an adjustable back tie to customize your fit. • Cropped length with long semi-elastic sleeves - perfect for staying comfy on cool days. • Made from crisp, breathable 100% cotton.</t>
        </is>
      </c>
      <c r="H516" s="933" t="inlineStr">
        <is>
          <t>100% cotton • Care instructions: For best results, machine wash on a gentle cycle in cold water</t>
        </is>
      </c>
      <c r="I516" s="934" t="inlineStr">
        <is>
          <t>2023 BTS Sale, 22 July Sale, 22SS 3.11, 23 May Sale, Category_Lounge, Category_Lounge/Pajamas &amp; Robes, Category_Lounge/Pajamas &amp; Robes/Top, Category_Lounge/Tops, Fabric_Lounge/Cotton, hide-bis, HR-CX, LBD23, no-returns, Sale, Spring Palette, Tariff Final Sale</t>
        </is>
      </c>
      <c r="J516" s="935" t="inlineStr">
        <is>
          <t>stroll-long-sleeve-pajama-tops</t>
        </is>
      </c>
    </row>
    <row r="517" ht="56" customHeight="1" s="229">
      <c r="A517" s="896" t="inlineStr">
        <is>
          <t>Box Fit Pajama Top</t>
        </is>
      </c>
      <c r="B517" s="897" t="inlineStr">
        <is>
          <t>Loungewear</t>
        </is>
      </c>
      <c r="C517" s="898" t="n">
        <v>69</v>
      </c>
      <c r="D517" s="898" t="n">
        <v>41.4</v>
      </c>
      <c r="E517" s="957" t="inlineStr">
        <is>
          <t>Yes</t>
        </is>
      </c>
      <c r="F517" s="899" t="inlineStr">
        <is>
          <t>The Box Fit Pajama Top is made from 100% cotton, with a crisp and cool finish that makes it the perfect warm-weather loungewear. Available in your choice of solid color or vibrant stripes. This item is FINAL SALE and cannot be returned or exchanged.</t>
        </is>
      </c>
      <c r="G517" s="900" t="inlineStr">
        <is>
          <t>• V-neck and short-sleeve design ‚Äî a perfect mix of comfort &amp; style. • Made from crisp and breathable 100% cotton. • Size M is 25.1" in length. Pairs with the matching Straight Leg Pajama Pants.</t>
        </is>
      </c>
      <c r="H517" s="901" t="inlineStr">
        <is>
          <t>100% cotton • Care instructions: For best results, hand wash with like colors in cold water. Lay flat or hang to dry</t>
        </is>
      </c>
      <c r="I517" s="902" t="inlineStr">
        <is>
          <t>2023 BTS Sale, 22SS 6.17, 23 Spring Sale, Category_Lounge, Category_Lounge/Pajamas &amp; Robes, Category_Lounge/Pajamas &amp; Robes/Top, Category_Lounge/Tops, Fabric_Lounge/Cotton, hide-bis, HR-CX, LBD23, no-returns, Sale</t>
        </is>
      </c>
      <c r="J517" s="903" t="inlineStr">
        <is>
          <t>box-fit-pajama-top</t>
        </is>
      </c>
    </row>
    <row r="518" ht="56" customHeight="1" s="229">
      <c r="A518" s="904" t="inlineStr">
        <is>
          <t>Core Low-Intensity Seamless Leggings</t>
        </is>
      </c>
      <c r="B518" s="905" t="inlineStr">
        <is>
          <t>Active</t>
        </is>
      </c>
      <c r="C518" s="906" t="n">
        <v>69</v>
      </c>
      <c r="D518" s="906" t="n">
        <v>41.4</v>
      </c>
      <c r="E518" s="956" t="inlineStr">
        <is>
          <t>Yes</t>
        </is>
      </c>
      <c r="F518" s="907" t="inlineStr">
        <is>
          <t>The Core Low-Intensity Seamless Leggings are tailored from an ultra-stretchy Spandex blend to provide the perfect sculpt and breathability for your summer workouts. Fit tip: if you're in between sizes, we recommend sizing up. This item is FINAL SALE and cannot be returned or exchanged.</t>
        </is>
      </c>
      <c r="G518" s="908" t="inlineStr">
        <is>
          <t>• Made from a seamless and breathable Spandex blend. • Ankle-length with slight ribbing for a flattering silhouette. • Perfect for light activities like yoga, dance, and even everyday casual wear. • Inseam is 30" for Size M.</t>
        </is>
      </c>
      <c r="H518" s="909" t="inlineStr">
        <is>
          <t>89 % nylon, 11% Spandex; band: 84% nylon, 16% Spandex • Care instructions: For best results, hand wash with like colors in cold water</t>
        </is>
      </c>
      <c r="I518" s="910" t="inlineStr">
        <is>
          <t>2023 BTS Sale, 22ss 4.8, 23 Spring Sale, Activity_Active/Gym, Activity_Active/Jogging, Activity_Active/Outdoor, Activity_Active/Pilates, Activity_Active/Running, Activity_Active/Yoga, Category_Active, Category_Active/Core, Category_Active/Leggings, Flexport Stock, hide-bis, HR-CX, LBD23, no-returns, Sale, US Inventory, US Main</t>
        </is>
      </c>
      <c r="J518" s="911" t="inlineStr">
        <is>
          <t>core-low-intensity-seamless-leggings</t>
        </is>
      </c>
    </row>
    <row r="519" ht="56" customHeight="1" s="229">
      <c r="A519" s="912" t="inlineStr">
        <is>
          <t>Core Low-Intensity Seamless Sports Bra</t>
        </is>
      </c>
      <c r="B519" s="913" t="inlineStr">
        <is>
          <t>Active</t>
        </is>
      </c>
      <c r="C519" s="914" t="n">
        <v>49</v>
      </c>
      <c r="D519" s="914" t="n">
        <v>34.3</v>
      </c>
      <c r="E519" s="955" t="inlineStr">
        <is>
          <t>Yes</t>
        </is>
      </c>
      <c r="F519" s="915" t="inlineStr">
        <is>
          <t>The Core Low-Intensity Seamless Sports Bra is the lightweight, performance-focused top you need for your summer workouts. Fit tip: if you're in between sizes, we recommend sizing up. This item is FINAL SALE and cannot be returned or exchanged.</t>
        </is>
      </c>
      <c r="G519" s="916" t="inlineStr">
        <is>
          <t>• Durable Spandex blend with moisture-wicking, antibacterial fibers. • Light padding and cross-straps for a supportive fit and full range of motion. • Perfect for light activities like yoga, dance, hiking, and more.</t>
        </is>
      </c>
      <c r="H519" s="917" t="inlineStr">
        <is>
          <t>outer : 96% nylon, 4% Spandex; band: 91% nylon, 9% Spandex • Care instructions: For best results, hand wash with like colors in cold water</t>
        </is>
      </c>
      <c r="I519" s="918" t="inlineStr">
        <is>
          <t>2023 BTS Sale, 22ss 4.8, 23 Spring Sale, Activity_Active/Dance, Activity_Active/Gym, Activity_Active/Jogging, Activity_Active/Outdoor, Activity_Active/Pilates, Activity_Active/Running, Activity_Active/Yoga, Category_Active, Category_Active/Core, Category_Active/Sports Bra, D Sports Bra, Flexport Stock, hide-bis, LBD23, no-returns, Sale, Tariff Final Sale</t>
        </is>
      </c>
      <c r="J519" s="919" t="inlineStr">
        <is>
          <t>core-low-intensity-seamless-sports-bra</t>
        </is>
      </c>
    </row>
    <row r="520" ht="70" customHeight="1" s="229">
      <c r="A520" s="880" t="inlineStr">
        <is>
          <t>Cotton Barely Zero Mid Waist Brief</t>
        </is>
      </c>
      <c r="B520" s="881" t="inlineStr">
        <is>
          <t>Underwear</t>
        </is>
      </c>
      <c r="C520" s="882" t="n">
        <v>19</v>
      </c>
      <c r="D520" s="882" t="n">
        <v>19</v>
      </c>
      <c r="E520" s="881" t="inlineStr"/>
      <c r="F520" s="883" t="inlineStr">
        <is>
          <t>The close, adaptive fit you know and love is now available in vibrant colors and made from an extra skin-friendly blend of Supima¬Æ cotton, CloudFit nylon, &amp; TENCEL‚Ñ¢ Modal. Fit tip: based on customer feedback, this brief best fits customers who wear up to a size M in underwear. For a wider size range, check out the Barely Zero Mid Waist Brief 2.0 !</t>
        </is>
      </c>
      <c r="G520" s="884" t="inlineStr">
        <is>
          <t>• A close, comfortable fit that doesn't dig in or show lines. Features a classic full-coverage mid-waist cut and 100% Supima¬Æ cotton lining. • Made from an improved ultra-soft, ultra-elastic fabric blend for a great fit and all-day skin comfort. Now with a new anti-pilling weave!</t>
        </is>
      </c>
      <c r="H520" s="885" t="inlineStr">
        <is>
          <t>28% TENCEL‚Ñ¢ Modal, 27 % CloudFit nylon, 26% Spandex, 19% Supima¬Æ cotton; lining: 100% Supima¬Æ cotton</t>
        </is>
      </c>
      <c r="I520" s="886" t="inlineStr">
        <is>
          <t>2022 Title Update, 22SS 3.18, BZ Brief, BZ One Size Brief, Category_Lingerie/Brief/Mid Waist, Category_Underwear, Category_Underwear/Bottoms, Category_Underwear/Bottoms/Panties, Category_Underwear/Bottoms/Panties/Mid Waist, Collection_Barely Zero, Collection_Barely Zero/Underwear, Fabric_Underwear/Cotton, Fabric_Underwear/Tencel Modal, Feature_Best Seller, HR-CX, LBD23, pink collection, Priority Products, Spring Palette, Tariff Final Sale</t>
        </is>
      </c>
      <c r="J520" s="887" t="inlineStr">
        <is>
          <t>barely-zero-cotton-mid-waist-brief</t>
        </is>
      </c>
    </row>
    <row r="521" ht="42" customHeight="1" s="229">
      <c r="A521" s="888" t="inlineStr">
        <is>
          <t>Cotton Barely Zero Spaghetti Strap Bra</t>
        </is>
      </c>
      <c r="B521" s="889" t="inlineStr">
        <is>
          <t>Underwear</t>
        </is>
      </c>
      <c r="C521" s="890" t="n">
        <v>39</v>
      </c>
      <c r="D521" s="890" t="n">
        <v>39</v>
      </c>
      <c r="E521" s="889" t="inlineStr"/>
      <c r="F521" s="891" t="inlineStr">
        <is>
          <t>Our best-selling one-size bra is now available in bright colors and made from an extra skin-friendly blend of Supima¬Æ cotton, CloudFit nylon, &amp; TENCEL‚Ñ¢ Modal - perfect for staying cool and comfortable no matter where you go.</t>
        </is>
      </c>
      <c r="G521" s="892" t="inlineStr">
        <is>
          <t>• A close, comfortable fit that doesn't dig in or show lines. Features adjustable shoulder straps, removable chest padding, and no uncomfortable back buckle. • Made from an ultra-soft, ultra-elastic fabric blend for a great fit and all-day skin comfort. Now with a new anti-pilling weave! • Comfortably fits a wide range of bra sizes - the ultimate bra for nursing, fluctuating sizes, and easy gifting! Please see the size guide for more detailed sizing guidance.</t>
        </is>
      </c>
      <c r="H521" s="893" t="inlineStr">
        <is>
          <t>28% TENCEL‚Ñ¢ Modal, 27 % CloudFit nylon, 26% Spandex, 19% Supima¬Æ cotton; ships in easy-to-reuse environmentally-friendly packaging made from 100% post-consumer materials</t>
        </is>
      </c>
      <c r="I521" s="894" t="inlineStr">
        <is>
          <t>2022 Title Update, 22SS 3.18, BZ Classic Bra, Category_Bras/Cotton, Category_Bras/Everyday, Category_Bras/Medium Support, Category_Underwear, Category_Underwear/Tops, Category_Underwear/Tops/Wireless Bra, Collection_Barely Zero, Collection_Barely Zero/Bras, Fabric_Underwear/Cotton, Feature_Best Seller, Flexport Stock, LBD23, pink collection, Priority Products, Spring Palette, US Inventory</t>
        </is>
      </c>
      <c r="J521" s="895" t="inlineStr">
        <is>
          <t>barely-zero-cotton-spaghetti-strap-bra</t>
        </is>
      </c>
    </row>
    <row r="522" ht="42" customHeight="1" s="229">
      <c r="A522" s="880" t="inlineStr">
        <is>
          <t>Nude Shape Low Waist Brief</t>
        </is>
      </c>
      <c r="B522" s="881" t="inlineStr">
        <is>
          <t>Underwear</t>
        </is>
      </c>
      <c r="C522" s="882" t="n">
        <v>25</v>
      </c>
      <c r="D522" s="882" t="n">
        <v>12.5</v>
      </c>
      <c r="E522" s="937" t="inlineStr">
        <is>
          <t>Yes</t>
        </is>
      </c>
      <c r="F522" s="883" t="inlineStr">
        <is>
          <t>The Nude Shape Low Waist Brief is the comfy no-show underwear you'll want to wear under all your favorite warm-weather fits this year. This item is FINAL SALE and cannot be returned or exchanged.</t>
        </is>
      </c>
      <c r="G522" s="884" t="inlineStr">
        <is>
          <t>• Neutral color matches many skin tones and doesn't show through clothing. • Classic low-waist cut, sits just below hips for moderate coverage. • Made from a soft &amp; flexible poly-Spandex blend with a 100% cotton lining.</t>
        </is>
      </c>
      <c r="H522" s="885" t="inlineStr">
        <is>
          <t>outer: 79% polyamide, 21% Spandex; lining: 100% cotton. • Care instructions: For best results, hand wash with like colors in cold water. Line dry in the shade. No not iron. Do not tumble dry</t>
        </is>
      </c>
      <c r="I522" s="886" t="inlineStr">
        <is>
          <t>2023 BTS Sale, 22SS 3.11, 23 Spring Sale, 23Oct Markdown, 25clearance, 25DEC 50OFF, 25DEC SALE, Category_Lingerie/Brief/Low Waist, Category_Underwear, Category_Underwear/Bottoms, Category_Underwear/Bottoms/Panties, Category_Underwear/Bottoms/Panties/Low Waist, Collection_Valentine, hide-bis, HR-CX, LBD23, no-returns, pink collection, Sale, Spring Palette, Tariff Final Sale, XS - XL Brief</t>
        </is>
      </c>
      <c r="J522" s="887" t="inlineStr">
        <is>
          <t>nude-shape-low-waist-brief</t>
        </is>
      </c>
    </row>
    <row r="523" ht="42" customHeight="1" s="229">
      <c r="A523" s="975" t="inlineStr">
        <is>
          <t>Barely Zero Curve Extra Support Bra Trio</t>
        </is>
      </c>
      <c r="B523" s="976" t="inlineStr">
        <is>
          <t>Bundle3</t>
        </is>
      </c>
      <c r="C523" s="977" t="n">
        <v>49</v>
      </c>
      <c r="D523" s="977" t="n">
        <v>39.5</v>
      </c>
      <c r="E523" s="978" t="inlineStr">
        <is>
          <t>Yes</t>
        </is>
      </c>
      <c r="F523" s="979" t="inlineStr">
        <is>
          <t>The Barely Zero Curve Extra Support Bra brings an extended band &amp; cup size range to the Barely Zero bra family, featuring adjustable straps and a secure back clasp.</t>
        </is>
      </c>
      <c r="G523" s="980" t="inlineStr">
        <is>
          <t>• Online bra shopping is easier than ever: comfortably fits anyone who wears a band size between 37.5"-43.5" and an A-DDD cup! • C lose, comfortable fit - no digging in or show-through lines. Features removable padding, adjustable wide spaghetti straps, and back buckle closure. • Made from CloudFit: soft, ultra-elastic, &amp; moisture-wicking for all-day skin comfort and odor reduction.</t>
        </is>
      </c>
      <c r="H523" s="981" t="inlineStr">
        <is>
          <t>outer: 66% CloudFit nylon blend, 34% Spandex; lining: 86% modal, 14% Spandex • To preserve and lengthen its wear-life, we strongly recommend handwashing your Barely Zero. Dissolve a gentle detergent in cold water (86 °F /30 °C max ) and fully immerse the underwear. Gently press/knead it, then rinse (soak no longer than 5 minutes)</t>
        </is>
      </c>
      <c r="I523" s="982" t="inlineStr">
        <is>
          <t>2022 Title Update, 22SS 2.25, Bundle Collection, BZ Curve Bra, Category_Bras/Everyday, Category_Bras/High Support, Category_Underwear, Category_Underwear/Tops, Category_Underwear/Tops/Wireless Bra, Collection_2021 Barely Zero, Collection_2021BarelyZero, Collection_Barely Zero, Collection_Barely Zero/Bras, Memorial Day Bundle Price Update, Priority Products</t>
        </is>
      </c>
      <c r="J523" s="983" t="inlineStr">
        <is>
          <t>barely-zero-curve-extra-support-bra-trio</t>
        </is>
      </c>
    </row>
    <row r="524" ht="42" customHeight="1" s="229">
      <c r="A524" s="975" t="inlineStr">
        <is>
          <t>Barely Zero Curve Extra Support Bra Bundle</t>
        </is>
      </c>
      <c r="B524" s="976" t="inlineStr">
        <is>
          <t>Bundle</t>
        </is>
      </c>
      <c r="C524" s="977" t="n">
        <v>49</v>
      </c>
      <c r="D524" s="977" t="n">
        <v>44.25</v>
      </c>
      <c r="E524" s="978" t="inlineStr">
        <is>
          <t>Yes</t>
        </is>
      </c>
      <c r="F524" s="979" t="inlineStr">
        <is>
          <t>The Barely Zero Curve Extra Support Bra brings an extended band &amp; cup size range to the Barely Zero bra family, featuring adjustable straps and a secure back clasp.</t>
        </is>
      </c>
      <c r="G524" s="980" t="inlineStr">
        <is>
          <t>• Online bra shopping is easier than ever: comfortably fits anyone who wears a band size between 37.5"-43.5" and an A-DDD cup! • C lose, comfortable fit - no digging in or show-through lines. Features removable padding, adjustable wide spaghetti straps, and back buckle closure. • Made from CloudFit: soft, ultra-elastic, &amp; moisture-wicking for all-day skin comfort and odor reduction.</t>
        </is>
      </c>
      <c r="H524" s="981" t="inlineStr">
        <is>
          <t>outer: 66% CloudFit nylon blend, 34% Spandex; lining: 86% modal, 14% Spandex • To preserve and lengthen its wear-life, we strongly recommend handwashing your Barely Zero. Dissolve a gentle detergent in cold water (86 °F /30 °C max ) and fully immerse the underwear. Gently press/knead it, then rinse (soak no longer than 5 minutes)</t>
        </is>
      </c>
      <c r="I524" s="982" t="inlineStr">
        <is>
          <t>2022 Title Update, 22SS 2.25, Bundle Collection, BZ Curve Bra, Category_Bras/Everyday, Category_Bras/High Support, Category_Underwear, Category_Underwear/Tops, Category_Underwear/Tops/Wireless Bra, Collection_2021 Barely Zero, Collection_2021BarelyZero, Collection_Barely Zero, Collection_Barely Zero/Bras, Memorial Day Bundle Price Update, Priority Products</t>
        </is>
      </c>
      <c r="J524" s="983" t="inlineStr">
        <is>
          <t>barely-zero-curve-extra-support-bra-bundle</t>
        </is>
      </c>
    </row>
    <row r="525" ht="42" customHeight="1" s="229">
      <c r="A525" s="928" t="inlineStr">
        <is>
          <t>Cozy V-Neck Dress</t>
        </is>
      </c>
      <c r="B525" s="929" t="inlineStr">
        <is>
          <t>Loungewear</t>
        </is>
      </c>
      <c r="C525" s="930" t="n">
        <v>69</v>
      </c>
      <c r="D525" s="930" t="n">
        <v>48.3</v>
      </c>
      <c r="E525" s="936" t="inlineStr">
        <is>
          <t>Yes</t>
        </is>
      </c>
      <c r="F525" s="931" t="inlineStr">
        <is>
          <t>This Cozy V-Neck Dress is perfect for relaxed, carefree comfort on cool evenings spent at home or getting much-needed rest on weekends. This item is final sale and cannot be returned or exchanged.</t>
        </is>
      </c>
      <c r="G525" s="932" t="inlineStr">
        <is>
          <t>• Carefree, cozy summer house dress inspired by styles of the '60s &amp; '70s. • Loose fit with wide v-neck and drop shoulders. Includes functional side pockets! • Made from a crisp, breezy blend of cotton with a hint of Spandex for flexibility.</t>
        </is>
      </c>
      <c r="H525" s="933" t="inlineStr">
        <is>
          <t>97% cotton, 3% Spandex • Care instructions: For best results, hand wash in cold water with like colors</t>
        </is>
      </c>
      <c r="I525" s="934" t="inlineStr">
        <is>
          <t>2023 BTS Sale, 22 July Sale, 22SS 3.11, Category_Lounge, Category_Lounge/Dress&amp;Jumpsuit, Category_Lounge/Pajamas &amp; Robes, Fabric_Lounge/Cotton, hide-bis, no-returns, Sale, Spring Palette</t>
        </is>
      </c>
      <c r="J525" s="935" t="inlineStr">
        <is>
          <t>cozy-v-neck-dress</t>
        </is>
      </c>
    </row>
    <row r="526" ht="42" customHeight="1" s="229">
      <c r="A526" s="896" t="inlineStr">
        <is>
          <t>Cozy Lounge Pants</t>
        </is>
      </c>
      <c r="B526" s="897" t="inlineStr">
        <is>
          <t>Loungewear</t>
        </is>
      </c>
      <c r="C526" s="898" t="n">
        <v>69</v>
      </c>
      <c r="D526" s="898" t="n">
        <v>48.3</v>
      </c>
      <c r="E526" s="957" t="inlineStr">
        <is>
          <t>Yes</t>
        </is>
      </c>
      <c r="F526" s="899" t="inlineStr">
        <is>
          <t>These Cozy Lounge Pants (which pair perfectly with the matching top) are just what you need for relaxing carefree comfort around the house as we enter the cooler seasons. This item is FINAL SALE and cannot be returned or exchanged.</t>
        </is>
      </c>
      <c r="G526" s="900" t="inlineStr">
        <is>
          <t>• Carefree, coziness inspired by styles of the '60s &amp; '70s. • Slightly flared legs with elastic waistband and functional side pockets. Size M is 39.1" in length. • Made from a crisp, breezy blend of cotton with a hint of Spandex for flexibility.</t>
        </is>
      </c>
      <c r="H526" s="901" t="inlineStr">
        <is>
          <t>97% cotton, 3% Spandex • Care instructions: For best results, hand wash in cold water with like colors</t>
        </is>
      </c>
      <c r="I526" s="902" t="inlineStr">
        <is>
          <t>2023 BTS Sale, 22 July Sale, 22SS 3.11, Category_Lounge, Category_Lounge/Bottoms, Category_Lounge/Bottoms/Elastic, Category_Lounge/Pajamas &amp; Robes, Category_Lounge/Pants, Fabric_Lounge/Cotton, hide-bis, LBD23, no-returns, Sale, Spring Palette</t>
        </is>
      </c>
      <c r="J526" s="903" t="inlineStr">
        <is>
          <t>cozy-pants</t>
        </is>
      </c>
    </row>
    <row r="527" ht="42" customHeight="1" s="229">
      <c r="A527" s="928" t="inlineStr">
        <is>
          <t>Cozy V-Neck Top</t>
        </is>
      </c>
      <c r="B527" s="929" t="inlineStr">
        <is>
          <t>Loungewear</t>
        </is>
      </c>
      <c r="C527" s="930" t="n">
        <v>59</v>
      </c>
      <c r="D527" s="930" t="n">
        <v>35.4</v>
      </c>
      <c r="E527" s="936" t="inlineStr">
        <is>
          <t>Yes</t>
        </is>
      </c>
      <c r="F527" s="931" t="inlineStr">
        <is>
          <t>This Cozy V-Neck Top (which pairs perfectly with the matching pants) is just what you need for relaxing carefree comfort around the house as we enter the cooler seasons. This item is final sale and cannot be returned or exchanged.</t>
        </is>
      </c>
      <c r="G527" s="932" t="inlineStr">
        <is>
          <t>• Carefree, coziness inspired by styles of the '60s &amp; '70s. • Loose open v-neck and drop shoulders with long, rollable sleeves. Size M is 23.6" in length. • Made from a crisp, breezy blend of cotton with a hint of Spandex for flexibility.</t>
        </is>
      </c>
      <c r="H527" s="933" t="inlineStr">
        <is>
          <t>97% cotton, 3% Spandex • Care instructions: For best results, hand wash in cold water with like colors</t>
        </is>
      </c>
      <c r="I527" s="934" t="inlineStr">
        <is>
          <t>2023 BTS Sale, 22 July Sale, 22SS 3.11, Category_Lounge, Category_Lounge/Pajamas &amp; Robes, Category_Lounge/Tops, Fabric_Lounge/Cotton, hide-bis, HR-CX, LBD23, no-returns, Sale, Spring Palette, Tariff Final Sale</t>
        </is>
      </c>
      <c r="J527" s="935" t="inlineStr">
        <is>
          <t>cozy-v-neck-tops</t>
        </is>
      </c>
    </row>
    <row r="528" ht="56" customHeight="1" s="229">
      <c r="A528" s="904" t="inlineStr">
        <is>
          <t>Ballet V-Neck Wool Tee</t>
        </is>
      </c>
      <c r="B528" s="905" t="inlineStr">
        <is>
          <t>Active</t>
        </is>
      </c>
      <c r="C528" s="906" t="n">
        <v>79</v>
      </c>
      <c r="D528" s="906" t="n">
        <v>47.4</v>
      </c>
      <c r="E528" s="956" t="inlineStr">
        <is>
          <t>Yes</t>
        </is>
      </c>
      <c r="F528" s="907" t="inlineStr">
        <is>
          <t>The Ballet V-Neck Wool Tee is designed to move with the body's rhythms. Knit from a breathable wool blend, this cropped top is perfect both as part of a casual outfit and as a piece in your dance studio closet. This item is FINAL SALE and cannot be returned or exchanged.</t>
        </is>
      </c>
      <c r="G528" s="908" t="inlineStr">
        <is>
          <t>• Wide v-neck collar provides a flattering frame for your collarbone &amp; jawline. • Knit from a breathable wool blend, with Spandex for added flexibility. • Size M is 15.6" in length. Suitable both for light exercise and daily life.</t>
        </is>
      </c>
      <c r="H528" s="909" t="inlineStr">
        <is>
          <t>72% wool, 19% polyester, 9% Spandex • Care instructions: For best results, hand wash with a light detergent in cold water</t>
        </is>
      </c>
      <c r="I528" s="910" t="inlineStr">
        <is>
          <t>2023 BTS Sale, 22SS 3.4, 23 Spring Sale, Activity_Active/Ballet, Activity_Active/Ballet&amp;Dance, Activity_Active/Dance, Activity_Active/Pilates, Category_Active, Category_Active/Tops, Fabric_Active/Cashmere &amp; Wool, hide-bis, HR-CX, LBD23, no-returns, Sale, Tariff Final Sale</t>
        </is>
      </c>
      <c r="J528" s="911" t="inlineStr">
        <is>
          <t>ballet-v-neck-wool-tee</t>
        </is>
      </c>
    </row>
    <row r="529" ht="56" customHeight="1" s="229">
      <c r="A529" s="896" t="inlineStr">
        <is>
          <t>Hang Out Crochet Camisole</t>
        </is>
      </c>
      <c r="B529" s="897" t="inlineStr">
        <is>
          <t>Loungewear</t>
        </is>
      </c>
      <c r="C529" s="898" t="n">
        <v>69</v>
      </c>
      <c r="D529" s="898" t="n">
        <v>41.4</v>
      </c>
      <c r="E529" s="957" t="inlineStr">
        <is>
          <t>Yes</t>
        </is>
      </c>
      <c r="F529" s="899" t="inlineStr">
        <is>
          <t>The new Hang Out Crochet Camisole is the light and airy top you'll love to wear on any warm day this year! Simple yet elegant, this patterned piece is the perfect addition to any spring and summer wardrobe. This item is FINAL SALE and cannot be returned or exchanged.</t>
        </is>
      </c>
      <c r="G529" s="900" t="inlineStr">
        <is>
          <t>• Cute &amp; chic with a fun crochet pattern. • 100% cotton - light, fresh, and breathable. • Perfect on its own in warmer weather or layered on cooler days.</t>
        </is>
      </c>
      <c r="H529" s="901" t="inlineStr">
        <is>
          <t>100% cotton • Care instructions: For best results, hand wash with a light detergent in cold water</t>
        </is>
      </c>
      <c r="I529" s="902" t="inlineStr">
        <is>
          <t>2023 BTS Sale, 22 July Sale, 22SS 3.4, Category_Lounge, Category_Lounge/Tees&amp;Tanks, Category_Lounge/Tops, Fabric_Lounge/Cotton, hide-bis, HR-CX, LBD23, no-returns, Sale, Spring Palette, Tariff Final Sale</t>
        </is>
      </c>
      <c r="J529" s="903" t="inlineStr">
        <is>
          <t>hang-out-crochet-camisole</t>
        </is>
      </c>
    </row>
    <row r="530" ht="42" customHeight="1" s="229">
      <c r="A530" s="928" t="inlineStr">
        <is>
          <t>Easy Knit Knitted Shorts</t>
        </is>
      </c>
      <c r="B530" s="929" t="inlineStr">
        <is>
          <t>Loungewear</t>
        </is>
      </c>
      <c r="C530" s="930" t="n">
        <v>109</v>
      </c>
      <c r="D530" s="930" t="n">
        <v>65.40000000000001</v>
      </c>
      <c r="E530" s="936" t="inlineStr">
        <is>
          <t>Yes</t>
        </is>
      </c>
      <c r="F530" s="931" t="inlineStr">
        <is>
          <t>Inspired by style icons of the '60s &amp; '70s, our Easy Knit Knitted Shorts are the perfect bottoms you need for staying chic, cool, and comfortable when the weather changes. This item is FINAL SALE and cannot be returned or exchanged.</t>
        </is>
      </c>
      <c r="G530" s="932" t="inlineStr">
        <is>
          <t>• Comfortable wide elastic band with two decorative darts. • Easy Knit, easy to care for. Take care of these shorts and they'll last for decades. • Functional side pockets &amp; one rear pocket. Size M is 19.3" in length.</t>
        </is>
      </c>
      <c r="H530" s="933" t="inlineStr">
        <is>
          <t>82% viscose, 19% nylon • Care instructions: For best results, hand wash with a light detergent in cold water</t>
        </is>
      </c>
      <c r="I530" s="934" t="inlineStr">
        <is>
          <t>2023 BTS Sale, 22SS 3.4, 23 Spring Sale, 24JuneSale, Category_Lounge, Category_Lounge/Bottoms, Category_Lounge/Bottoms/Elastic, Category_Lounge/Shorts, hide-bis, HR-CX, LBD23, no-returns, Sale, Tariff Final Sale</t>
        </is>
      </c>
      <c r="J530" s="935" t="inlineStr">
        <is>
          <t>easy-knit-knitted-shorts</t>
        </is>
      </c>
    </row>
    <row r="531" ht="56" customHeight="1" s="229">
      <c r="A531" s="888" t="inlineStr">
        <is>
          <t>Tempting Deep V Bra</t>
        </is>
      </c>
      <c r="B531" s="889" t="inlineStr">
        <is>
          <t>Underwear</t>
        </is>
      </c>
      <c r="C531" s="890" t="n">
        <v>99</v>
      </c>
      <c r="D531" s="890" t="n">
        <v>59.4</v>
      </c>
      <c r="E531" s="985" t="inlineStr">
        <is>
          <t>Yes</t>
        </is>
      </c>
      <c r="F531" s="891" t="inlineStr">
        <is>
          <t>The Tempting Deep V Bra is equal parts elegance and allure. Made from an imported Italian lace, this wireless bra is ideal for inspiring confidence and lighting up your most intimate evenings. This item is FINAL SALE and cannot be returned or exchanged.</t>
        </is>
      </c>
      <c r="G531" s="892" t="inlineStr">
        <is>
          <t>• Unpadded bra for delicate support • Fully adjustable elastic straps, back clasp closure. • Made from an imported Italian-blend lace.</t>
        </is>
      </c>
      <c r="H531" s="893" t="inlineStr">
        <is>
          <t>outer: 79% nylon, 21% Spandex; 81% nylon, 19% Spandex • Care instructions: For best results, hand wash in cold water with a light detergent. Lay flat to dry. Do not iron</t>
        </is>
      </c>
      <c r="I531" s="894" t="inlineStr">
        <is>
          <t>2023 BTS Sale, 22SS 3.4, 23 Spring Sale, 23SS A3 Size Bra, Category_Bras/Bralettes, Category_Bras/Light Support, Category_Bras/Plunge, Category_Underwear, Category_Underwear/Tops, Category_Underwear/Tops/Wireless Bra, Category_Underwear/Tops/Wireless Bra/Soft-Cup, Category_Underwear/Tops/Wireless Bra/Triangle, Collection_Valentine, hide-bis, HR-CX, LBD23, no-returns, Sale, Tariff Final Sale</t>
        </is>
      </c>
      <c r="J531" s="895" t="inlineStr">
        <is>
          <t>tempting-deep-v-bra</t>
        </is>
      </c>
    </row>
    <row r="532" ht="56" customHeight="1" s="229">
      <c r="A532" s="896" t="inlineStr">
        <is>
          <t>Laid Back Padded Pajama Dress</t>
        </is>
      </c>
      <c r="B532" s="897" t="inlineStr">
        <is>
          <t>Loungewear</t>
        </is>
      </c>
      <c r="C532" s="898" t="n">
        <v>69</v>
      </c>
      <c r="D532" s="898" t="n">
        <v>48.3</v>
      </c>
      <c r="E532" s="957" t="inlineStr">
        <is>
          <t>Yes</t>
        </is>
      </c>
      <c r="F532" s="899" t="inlineStr">
        <is>
          <t>An homage to nightgowns and sleep dresses from the '60s &amp; '70s, the newly redesigned Laid Back Padded Pajama Dress has been restyled to be the perfect combination of comfort and sleep style. This item is FINAL SALE and cannot be returned or exchanged.</t>
        </is>
      </c>
      <c r="G532" s="900" t="inlineStr">
        <is>
          <t>• Tailored fit with light chest padding and adjustable straps. • Made from a lightweight, ribbed blend of cotton, modal, &amp; Spandex - perfect for staying comfortable at home through spring and summer. • Size M is 26.3" in length. Complete the look by layering it with our Laid Back Ribbed Cardigan!</t>
        </is>
      </c>
      <c r="H532" s="901" t="inlineStr">
        <is>
          <t>58% cotton, 37% m odal, 5% Spandex • Care instructions: For best results, hand wash in cold water</t>
        </is>
      </c>
      <c r="I532" s="902" t="inlineStr">
        <is>
          <t>2022 Title Update, 2023 BTS Sale, 22SS 2.25, 23 Spring Sale, Category_Lounge, Category_Lounge/Dress&amp;Jumpsuit, Category_Lounge/Pajamas &amp; Robes, Category_Lounge/Pajamas &amp; Robes/Dress, Collection_Laid Back, Fabric_Lounge/Cotton, hide-bis, LBD23, no-returns, Sale, Spring Palette</t>
        </is>
      </c>
      <c r="J532" s="903" t="inlineStr">
        <is>
          <t>laid-back-padded-pajama-dress</t>
        </is>
      </c>
    </row>
    <row r="533" ht="56" customHeight="1" s="229">
      <c r="A533" s="912" t="inlineStr">
        <is>
          <t>Core Long Sleeve Training Top</t>
        </is>
      </c>
      <c r="B533" s="913" t="inlineStr">
        <is>
          <t>Active</t>
        </is>
      </c>
      <c r="C533" s="914" t="n">
        <v>79</v>
      </c>
      <c r="D533" s="914" t="n">
        <v>47.4</v>
      </c>
      <c r="E533" s="955" t="inlineStr">
        <is>
          <t>Yes</t>
        </is>
      </c>
      <c r="F533" s="915" t="inlineStr">
        <is>
          <t>The Core Long Sleeve Training Top is lightweight, elastic, and performance-focused - perfect for your spring workout routine. Fit tip: if you're in between sizes, we recommend sizing up. This item is FINAL SALE and cannot be returned or exchanged.</t>
        </is>
      </c>
      <c r="G533" s="916" t="inlineStr">
        <is>
          <t>• Slim fit, long-sleeved active crop top with convenient thumb holes to keep sleeves in place. • Made from a durable, anti-pilling blend of nylon and Spandex. • Size M is 14.6" in length. Perfect for light to medium intensity workouts.</t>
        </is>
      </c>
      <c r="H533" s="917" t="inlineStr">
        <is>
          <t>68% nylon, 32% Spandex • Care instructions: For best results, hand wash with a light detergent in cold water</t>
        </is>
      </c>
      <c r="I533" s="918" t="inlineStr">
        <is>
          <t>2023 BTS Sale, 22SS 2.25, 23 May Sale, Activity_Active/Gym, Activity_Active/Jogging, Activity_Active/Outdoor, Activity_Active/Running, Category_Active, Category_Active/Core, Category_Active/Tops, hide-bis, HR-CX, LBD23, no-returns, Sale, Tariff Final Sale</t>
        </is>
      </c>
      <c r="J533" s="919" t="inlineStr">
        <is>
          <t>core-long-sleeve-training-top</t>
        </is>
      </c>
    </row>
    <row r="534" ht="28" customHeight="1" s="229">
      <c r="A534" s="947" t="inlineStr">
        <is>
          <t>Abstract Pattern Cotton Socks</t>
        </is>
      </c>
      <c r="B534" s="948" t="inlineStr">
        <is>
          <t>Accessories</t>
        </is>
      </c>
      <c r="C534" s="949" t="n">
        <v>12</v>
      </c>
      <c r="D534" s="949" t="n">
        <v>8.4</v>
      </c>
      <c r="E534" s="986" t="inlineStr">
        <is>
          <t>Yes</t>
        </is>
      </c>
      <c r="F534" s="950" t="inlineStr">
        <is>
          <t>These Abstract Pattern Cotton Socks are a great way to add an interesting flair or accent to any outfit.</t>
        </is>
      </c>
      <c r="G534" s="951" t="inlineStr">
        <is>
          <t>• Soft, crew-length socks made from a breathable cotton blend. • Available in eight abstract patterns inspired by the scenes of spring &amp; summer. • Add a fun flair to any outfit!</t>
        </is>
      </c>
      <c r="H534" s="952" t="inlineStr">
        <is>
          <t>73% cotton, 24% nylon, 3% Spandex • Care Instructions: For best results, hand wash in cold water</t>
        </is>
      </c>
      <c r="I534" s="953" t="inlineStr">
        <is>
          <t>22SS 2.25, 25JulySale, Category_Lounge, Category_Lounge/Accessories, Fabric_Lounge/Cotton, LBD23, no-returns, Tariff Final Sale, Womens Socks</t>
        </is>
      </c>
      <c r="J534" s="954" t="inlineStr">
        <is>
          <t>abstract-pattern-cotton-socks</t>
        </is>
      </c>
    </row>
    <row r="535" ht="42" customHeight="1" s="229">
      <c r="A535" s="928" t="inlineStr">
        <is>
          <t>Lyocell Camisole</t>
        </is>
      </c>
      <c r="B535" s="929" t="inlineStr">
        <is>
          <t>Loungewear</t>
        </is>
      </c>
      <c r="C535" s="930" t="n">
        <v>49</v>
      </c>
      <c r="D535" s="930" t="n">
        <v>29.4</v>
      </c>
      <c r="E535" s="936" t="inlineStr">
        <is>
          <t>Yes</t>
        </is>
      </c>
      <c r="F535" s="931" t="inlineStr">
        <is>
          <t>The Lyocell Camisole is one of the lightest pajama tops in our entire loungewear selection and an excellent choice for cool comfort. This item is FINAL SALE and cannot be returned or exchanged.</t>
        </is>
      </c>
      <c r="G535" s="932" t="inlineStr">
        <is>
          <t>• Made from a lush, silky-smooth TENCEL‚Ñ¢ Lyocell blend. • Comfortably loose fit with spaghetti straps &amp; side slits for ease of movement. • Size M is 16.5" in length. Complete the set with our Lyocell Pajama Robe and Straight Leg Pants.</t>
        </is>
      </c>
      <c r="H535" s="933" t="inlineStr">
        <is>
          <t>57% TENCEL‚Ñ¢ Lyocell, 43% cotton • Care instructions: For best results, hand wash with like colors in cool water. Line dry in the shade. Iron on low heat. Do not dry clean</t>
        </is>
      </c>
      <c r="I535" s="934" t="inlineStr">
        <is>
          <t>2023 BTS Sale, 22SS 2.18, 23 May Sale, 23 Spring Sale, Category_Lounge, Category_Lounge/Pajamas &amp; Robes, Category_Lounge/Pajamas &amp; Robes/Top, Category_Lounge/Tees&amp;Tanks, Category_Lounge/Tops, Collection_Faye Wong, Collection_Valentine, Fabric_Lounge/Cotton, hide-bis, HR-CX, LBD23, no-returns, pink collection, Sale, Spring Palette, Tariff Final Sale</t>
        </is>
      </c>
      <c r="J535" s="935" t="inlineStr">
        <is>
          <t>lyocell-camisole</t>
        </is>
      </c>
    </row>
    <row r="536" ht="28" customHeight="1" s="229">
      <c r="A536" s="896" t="inlineStr">
        <is>
          <t>Lyocell Long Pajama Robe</t>
        </is>
      </c>
      <c r="B536" s="897" t="inlineStr">
        <is>
          <t>Loungewear</t>
        </is>
      </c>
      <c r="C536" s="898" t="n">
        <v>159</v>
      </c>
      <c r="D536" s="898" t="n">
        <v>95.40000000000001</v>
      </c>
      <c r="E536" s="957" t="inlineStr">
        <is>
          <t>Yes</t>
        </is>
      </c>
      <c r="F536" s="899" t="inlineStr">
        <is>
          <t>This Lyocell Long Pajama Robe is the ultimate in luxurious comfort and feminine lounge fashion. This item is FINAL SALE and cannot be returned or exchanged.</t>
        </is>
      </c>
      <c r="G536" s="900" t="inlineStr">
        <is>
          <t>• Made from a lush TENCEL‚Ñ¢ Lyocell blend with a drape &amp; texture like silk. • Flowing kimono-style sleeves for freedom of movement and a sense of personal elegance. • Size M is 44.1" in length. Loose cut comfortably fits many body types, with an easily adjustable belt for a flattering silhouette.</t>
        </is>
      </c>
      <c r="H536" s="901" t="inlineStr">
        <is>
          <t>57% TENCEL‚Ñ¢ Lyocell, 43% cotton • Care instructions: For best results, hand wash with like colors in cool water. Line dry in the shade. Iron on low heat. Do not dry clean</t>
        </is>
      </c>
      <c r="I536" s="902" t="inlineStr">
        <is>
          <t>2023 BTS Sale, 22SS 2.18, 23 May Sale, 23 Spring Sale, Category_Lounge, Category_Lounge/Pajamas &amp; Robes, Category_Lounge/Tops, Collection_Faye Wong, Collection_Valentine, Fabric_Lounge/Cotton, hide-bis, HR-CX, LBD23, no-returns, pink collection, Sale, Spring Palette, Tariff Final Sale</t>
        </is>
      </c>
      <c r="J536" s="903" t="inlineStr">
        <is>
          <t>lyocell-long-pajama-robe</t>
        </is>
      </c>
    </row>
    <row r="537" ht="28" customHeight="1" s="229">
      <c r="A537" s="928" t="inlineStr">
        <is>
          <t>Lyocell Straight Leg Pants</t>
        </is>
      </c>
      <c r="B537" s="929" t="inlineStr">
        <is>
          <t>Loungewear</t>
        </is>
      </c>
      <c r="C537" s="930" t="n">
        <v>89</v>
      </c>
      <c r="D537" s="930" t="n">
        <v>53.4</v>
      </c>
      <c r="E537" s="936" t="inlineStr">
        <is>
          <t>Yes</t>
        </is>
      </c>
      <c r="F537" s="931" t="inlineStr">
        <is>
          <t>These Lyocell Straight Leg Pants are the perfect choice for sleek and luxurious comfort. This item is FINAL SALE and cannot be returned or exchanged.</t>
        </is>
      </c>
      <c r="G537" s="932" t="inlineStr">
        <is>
          <t>• Made from a lush TENCEL‚Ñ¢ Lyocell blend with a drape &amp; texture like silk. • Loose straight-cut pajama pants designed for cozier evenings and better sleep. • Features elastic waistband and functional side pockets.</t>
        </is>
      </c>
      <c r="H537" s="933" t="inlineStr">
        <is>
          <t>57% TENCEL‚Ñ¢ Lyocell, 43% cotton • Care instructions: For best results, hand wash with like colors in cool water. Line dry in the shade. Iron on low heat. Do not dry clean</t>
        </is>
      </c>
      <c r="I537" s="934" t="inlineStr">
        <is>
          <t>2023 BTS Sale, 22SS 2.18, 23 May Sale, 23 Spring Sale, Category_Lounge, Category_Lounge/Bottoms, Category_Lounge/Bottoms/Elastic, Category_Lounge/Pajamas &amp; Robes, Category_Lounge/Pajamas &amp; Robes/Bottoms, Category_Lounge/Pants, Collection_Faye Wong, Collection_Valentine, Fabric_Lounge/Cotton, Flexport Stock, hide-bis, HR-CX, LBD23, no-returns, pink collection, Sale, Spring Palette, Tariff Final Sale, US Inventory</t>
        </is>
      </c>
      <c r="J537" s="935" t="inlineStr">
        <is>
          <t>lyocell-straight-leg-pants</t>
        </is>
      </c>
    </row>
    <row r="538" ht="56" customHeight="1" s="229">
      <c r="A538" s="896" t="inlineStr">
        <is>
          <t>Laid Back U-Neck Padded Camisole</t>
        </is>
      </c>
      <c r="B538" s="897" t="inlineStr">
        <is>
          <t>Loungewear</t>
        </is>
      </c>
      <c r="C538" s="898" t="n">
        <v>49</v>
      </c>
      <c r="D538" s="898" t="n">
        <v>29.4</v>
      </c>
      <c r="E538" s="957" t="inlineStr">
        <is>
          <t>Yes</t>
        </is>
      </c>
      <c r="F538" s="899" t="inlineStr">
        <is>
          <t>The newest Laid Back Cami has been recut with a stylish U-Neck inspired by lounge styles of the '60s &amp; '70s and lined with a light, modest padding; one of our best picks for carefree comfort at home. This item is FINAL SALE and cannot be returned or exchanged.</t>
        </is>
      </c>
      <c r="G538" s="900" t="inlineStr">
        <is>
          <t>• U-shaped neckline with spaghetti straps and light padding. • Tailored from a blend of cotton, modal, &amp; Spandex with a subtle ribbed texture. • Layers perfectly with our Laid Back Ribbed Cardigan on cooler nights!</t>
        </is>
      </c>
      <c r="H538" s="901" t="inlineStr">
        <is>
          <t>58% cotton, 37% m odal, 5% Spandex • Care instructions: For best results, hand wash in cold water</t>
        </is>
      </c>
      <c r="I538" s="902" t="inlineStr">
        <is>
          <t>2022 Title Update, 2023 BTS Sale, 22SS 2.18, 23 Spring Sale, Category_Lounge, Category_Lounge/Pajamas &amp; Robes, Category_Lounge/Pajamas &amp; Robes/Top, Category_Lounge/Tees&amp;Tanks, Category_Lounge/Tops, Collection_Laid Back, Fabric_Lounge/Cotton, Fabric_Lounge/Tencel Modal, hide-bis, HR-CX, LBD23, Need Sample, no-returns, Sale, Spring Palette, US Inventory, US Main</t>
        </is>
      </c>
      <c r="J538" s="903" t="inlineStr">
        <is>
          <t>laid-back-bra-camisole</t>
        </is>
      </c>
    </row>
    <row r="539" ht="56" customHeight="1" s="229">
      <c r="A539" s="928" t="inlineStr">
        <is>
          <t>Laid Back Ribbed Cardigan 2.0</t>
        </is>
      </c>
      <c r="B539" s="929" t="inlineStr">
        <is>
          <t>Loungewear</t>
        </is>
      </c>
      <c r="C539" s="930" t="n">
        <v>79</v>
      </c>
      <c r="D539" s="930" t="n">
        <v>47.4</v>
      </c>
      <c r="E539" s="936" t="inlineStr">
        <is>
          <t>Yes</t>
        </is>
      </c>
      <c r="F539" s="931" t="inlineStr">
        <is>
          <t>The revitalized Laid Back Ribbed Cardigan: restyled and inspired by relaxed, casual housecoat styles of the '60s &amp; '70s, this is the perfect cardigan for relaxed comfort around your home this spring. This item is FINAL SALE and cannot be returned or exchanged.</t>
        </is>
      </c>
      <c r="G539" s="932" t="inlineStr">
        <is>
          <t>• Generously loose fit with optional tie-belt. • Lightweight, breathable blend of cotton, modal, &amp; Spandex with a subtle ribbed texture. • Size M is 32.1" in length. Complete the look with our Laid Back Padded Camisole &amp; Ribbed Pajama Pants!</t>
        </is>
      </c>
      <c r="H539" s="933" t="inlineStr">
        <is>
          <t>58% cotton, 37% m odal, 5% Spandex • Care instructions: For best results, hand wash in cold water</t>
        </is>
      </c>
      <c r="I539" s="934" t="inlineStr">
        <is>
          <t>2022 Title Update, 2023 BTS Sale, 22SS 2.18, 23 Spring Sale, Category_Lounge, Category_Lounge/Pajamas &amp; Robes, Category_Lounge/Tops, Collection_Laid Back, Fabric_Lounge/Cotton, Fabric_Lounge/Tencel Modal, hide-bis, HR-CX, LBD23, Need Sample, no-returns, Sale, Spring Palette, Tariff Final Sale, US Inventory</t>
        </is>
      </c>
      <c r="J539" s="935" t="inlineStr">
        <is>
          <t>laid-back-ribbed-cardigan-v2</t>
        </is>
      </c>
    </row>
    <row r="540" ht="56" customHeight="1" s="229">
      <c r="A540" s="880" t="inlineStr">
        <is>
          <t>Cotton Barely Zero Bodysuit</t>
        </is>
      </c>
      <c r="B540" s="881" t="inlineStr">
        <is>
          <t>Underwear</t>
        </is>
      </c>
      <c r="C540" s="882" t="n">
        <v>79</v>
      </c>
      <c r="D540" s="882" t="n">
        <v>79</v>
      </c>
      <c r="E540" s="881" t="inlineStr"/>
      <c r="F540" s="883" t="inlineStr">
        <is>
          <t>The ultimate in full-body comfort: the Barely Zero Cotton Bodysuit. The close, adaptive fit you know and love is now available in this one-piece option! Made from a cotton blend, you'll love wearing this bodysuit as a base layer or light top.</t>
        </is>
      </c>
      <c r="G540" s="884" t="inlineStr">
        <is>
          <t>• A close, comfortable fit that doesn't dig in or show lines. Discretely fastens between the legs for easy bathroom breaks, with removable chest padding and adjustable shoulder straps. • Made from a soft, elastic blend of TENCEL‚Ñ¢ Modal , CloudFit, Spandex, and Supima ¬Æ cotton for a great fit and all-day skin comfort. • Comfortably fits anyone in the following ranges: 31.5"-35.5" bust, 24"-31" waist, and 32.5"-38.5" hip.</t>
        </is>
      </c>
      <c r="H540" s="885" t="inlineStr">
        <is>
          <t>28% TENCEL‚Ñ¢ Modal, 27 % CloudFit nylon, 26% Spandex, 19% Supima¬Æ cotton</t>
        </is>
      </c>
      <c r="I540" s="886" t="inlineStr">
        <is>
          <t>2022 Title Update, 22SS 2.25, BZ Bodysuit, Category_Lounge, Category_Lounge/Bodysuits, Category_Underwear/Tops/Bodysuits, Collection_2021 Barely Zero, Collection_Barely Zero, Fabric_Underwear/Cotton, Feature_Best Seller, LBD23, Tariff Final Sale</t>
        </is>
      </c>
      <c r="J540" s="887" t="inlineStr">
        <is>
          <t>barely-zero-cotton-bodysuit</t>
        </is>
      </c>
    </row>
    <row r="541" ht="56" customHeight="1" s="229">
      <c r="A541" s="888" t="inlineStr">
        <is>
          <t>Self Silk Twill Triangle Bra</t>
        </is>
      </c>
      <c r="B541" s="889" t="inlineStr">
        <is>
          <t>Underwear</t>
        </is>
      </c>
      <c r="C541" s="890" t="n">
        <v>49</v>
      </c>
      <c r="D541" s="890" t="n">
        <v>34.3</v>
      </c>
      <c r="E541" s="985" t="inlineStr">
        <is>
          <t>Yes</t>
        </is>
      </c>
      <c r="F541" s="891" t="inlineStr">
        <is>
          <t>The Self Silk Twill Triangle Bra is where luxurious comfort meets everyday functionality: a breathable silk blend tailored into a timeless style you'll want to wear all summer long! This item is FINAL SALE and cannot be returned or exchanged.</t>
        </is>
      </c>
      <c r="G541" s="892" t="inlineStr">
        <is>
          <t>• Classic wireless triangle style with chic twill texture and fine fringe accents. • Fully adjustable straps for a better fit. Standard hook clasp fastens at the back. • Made from a soft &amp; breathable blend of silk and cotton, with just a little Spandex for flexibility.</t>
        </is>
      </c>
      <c r="H541" s="893" t="inlineStr">
        <is>
          <t>front: 48% silk, 47% cotton, 5% Spandex; back: 90% silk, 10% Spandex; lining: 100% cotton. • Care instructions: Hand wash only. Line dry in the shade. Do not iron</t>
        </is>
      </c>
      <c r="I541" s="894" t="inlineStr">
        <is>
          <t>2023 BTS Sale, 22SS 2.11, 23 May Sale, 23SS A3 Size Bra, Category_Bras/Bralettes, Category_Bras/Everyday, Category_Bras/Light Support, Category_Bras/Plunge, Category_Underwear, Category_Underwear/Tops, Category_Underwear/Tops/Wireless Bra/Triangle, Collection_Valentine, hide-bis, HR-CX, LBD23, no-returns, Sale, US Main</t>
        </is>
      </c>
      <c r="J541" s="895" t="inlineStr">
        <is>
          <t>self-silk-twill-triangle-bra</t>
        </is>
      </c>
    </row>
    <row r="542" ht="56" customHeight="1" s="229">
      <c r="A542" s="904" t="inlineStr">
        <is>
          <t>Ballet Pleated Bustier</t>
        </is>
      </c>
      <c r="B542" s="905" t="inlineStr">
        <is>
          <t>Active</t>
        </is>
      </c>
      <c r="C542" s="906" t="n">
        <v>89</v>
      </c>
      <c r="D542" s="906" t="n">
        <v>53.4</v>
      </c>
      <c r="E542" s="956" t="inlineStr">
        <is>
          <t>Yes</t>
        </is>
      </c>
      <c r="F542" s="907" t="inlineStr">
        <is>
          <t>The Ballet Pleated Bustier is equal parts elegance and functionality. Designed for chest support and full freedom of motion, this light sports bra is perfect for bringing a stylish flair to your gym or studio routine. Fit tip: if you're in between sizes, we recommend sizing up.</t>
        </is>
      </c>
      <c r="G542" s="908" t="inlineStr">
        <is>
          <t>• Chic pleated V-neck design with elastic straps and light padding. • Made from a quick-drying, flexible poly-Spandex blend. • Designed for style and support in ballet, yoga, or light sports.</t>
        </is>
      </c>
      <c r="H542" s="909" t="inlineStr">
        <is>
          <t>Shell: 74% polyamide, 26% Spandex • Lining: 76% polyamide, 24% Spandex • Care instructions: For best results, hand wash with like colors in cold water</t>
        </is>
      </c>
      <c r="I542" s="910" t="inlineStr">
        <is>
          <t>2023 BTS Sale, 22SS 2.18, 25Feb Sale, 25JulySale, Activity_Active/Ballet, Activity_Active/Ballet&amp;Dance, Activity_Active/Dance, B1 Sports Bra, Category_Active, Category_Active/Sports Bra, feedonomics_exclude, HR-CX, LBD23, no-returns, Tariff Final Sale</t>
        </is>
      </c>
      <c r="J542" s="911" t="inlineStr">
        <is>
          <t>ballet-pleated-bustier</t>
        </is>
      </c>
    </row>
    <row r="543" ht="42" customHeight="1" s="229">
      <c r="A543" s="880" t="inlineStr">
        <is>
          <t>Self Silk Mid Waist Brief</t>
        </is>
      </c>
      <c r="B543" s="881" t="inlineStr">
        <is>
          <t>Underwear</t>
        </is>
      </c>
      <c r="C543" s="882" t="n">
        <v>29</v>
      </c>
      <c r="D543" s="882" t="n">
        <v>17.4</v>
      </c>
      <c r="E543" s="937" t="inlineStr">
        <is>
          <t>Yes</t>
        </is>
      </c>
      <c r="F543" s="883" t="inlineStr">
        <is>
          <t>The Self Silk Mid Waist Brief is tailored from a breathable silk blend for luxurious comfort you can enjoy any day of the week. This item is FINAL SALE and cannot be returned or exchanged.</t>
        </is>
      </c>
      <c r="G543" s="884" t="inlineStr">
        <is>
          <t>• Classic mid-waist cut with chic twill texture and fine fringe accents. Sits comfortably on the hips for moderate coverage. • Made from a smooth blend of silk, cotton, and a little Spandex for flexibility. 100% cotton lining. • Pairs perfectly with the matching Self Silk Twill Triangle Bra!</t>
        </is>
      </c>
      <c r="H543" s="885" t="inlineStr">
        <is>
          <t>shell 1: 48% silk, 47% cotton, 5% Spandex; shell 2/lining: 90% silk, 10% Spandex. • Care instructions: Hand wash only. Line dry in the shade. Do not iron</t>
        </is>
      </c>
      <c r="I543" s="886" t="inlineStr">
        <is>
          <t>2023 BTS Sale, 22SS 2.11, 23 May Sale, 24JuneSale, Category_Underwear, Category_Underwear/Bottoms, Category_Underwear/Bottoms/Panties, Category_Underwear/Bottoms/Panties/Mid Waist, Collection_Valentine, Fabric_Underwear/Cotton, Fabric_Underwear/Silk, hide-bis, HR-CX, LBD23, no-returns, Sale, Tariff Final Sale, XS - XL Brief</t>
        </is>
      </c>
      <c r="J543" s="887" t="inlineStr">
        <is>
          <t>self-silk-mid-waist-brief</t>
        </is>
      </c>
    </row>
    <row r="544" ht="42" customHeight="1" s="229">
      <c r="A544" s="896" t="inlineStr">
        <is>
          <t>Laid Back Ribbed Pajama Pants</t>
        </is>
      </c>
      <c r="B544" s="897" t="inlineStr">
        <is>
          <t>Loungewear</t>
        </is>
      </c>
      <c r="C544" s="898" t="n">
        <v>59</v>
      </c>
      <c r="D544" s="898" t="n">
        <v>35.4</v>
      </c>
      <c r="E544" s="957" t="inlineStr">
        <is>
          <t>Yes</t>
        </is>
      </c>
      <c r="F544" s="899" t="inlineStr">
        <is>
          <t>Inspired by the relaxed, casual styles of the '60s and '70s, these new Laid Back Ribbed Pajama Pants are perfect for staying relaxed and comfortable as the seasons change. This item is FINAL SALE and cannot be returned or exchanged.</t>
        </is>
      </c>
      <c r="G544" s="900" t="inlineStr">
        <is>
          <t>• Elastic waistband, side pockets, and slightly flared legs. • Made from a lightweight &amp; breathable blend of cotton, modal, &amp; Spandex. • Size M is 38.8" in length. Complete the look with our Laid Back Ribbed Pajama Top!</t>
        </is>
      </c>
      <c r="H544" s="901" t="inlineStr">
        <is>
          <t>58% cotton, 37% m odal, 5% Spandex • Care instructions: For best results, hand wash in cold water</t>
        </is>
      </c>
      <c r="I544" s="902" t="inlineStr">
        <is>
          <t>2022 Title Update, 2023 BTS Sale, 22SS 2.18, 23 Spring Sale, Category_Lounge/Bottoms, Category_Lounge/Bottoms/Elastic, Category_Lounge/Pajamas &amp; Robes, Category_Lounge/Pajamas &amp; Robes/Bottoms, Category_Lounge/Pants, Collection_Laid Back, Fabric_Lounge/Cotton, Fabric_Lounge/Tencel Modal, hide-bis, HR-CX, LBD23, Need Sample, no-returns, Sale, Spring Palette, Tariff Final Sale, US Inventory</t>
        </is>
      </c>
      <c r="J544" s="903" t="inlineStr">
        <is>
          <t>laid-back-ribbed-pajama-pants</t>
        </is>
      </c>
    </row>
    <row r="545" ht="42" customHeight="1" s="229">
      <c r="A545" s="928" t="inlineStr">
        <is>
          <t>Hang Out Tapered Pants</t>
        </is>
      </c>
      <c r="B545" s="929" t="inlineStr">
        <is>
          <t>Loungewear</t>
        </is>
      </c>
      <c r="C545" s="930" t="n">
        <v>89</v>
      </c>
      <c r="D545" s="930" t="n">
        <v>53.4</v>
      </c>
      <c r="E545" s="936" t="inlineStr">
        <is>
          <t>Yes</t>
        </is>
      </c>
      <c r="F545" s="931" t="inlineStr">
        <is>
          <t>The Hang Out Collection's Tapered Pants are here to bring an understated elegance to all your spring outfits. This item is FINAL SALE and cannot be returned or exchanged.</t>
        </is>
      </c>
      <c r="G545" s="932" t="inlineStr">
        <is>
          <t>• High-waisted elastic waistband, sits comfortably just above the hips. Size M is 39.2" in length. • Slim tapered legs for a flattering silhouette. Also features functional pockets! • Made from a cotton-poly blend, perfect for staying fresh in warmer weather.</t>
        </is>
      </c>
      <c r="H545" s="933" t="inlineStr">
        <is>
          <t>73% cotton, 22% polyester, 5% Spandex • Care instructions: For best results, hand wash in cold water with a light detergent. Line dry in the shade. Do not iron</t>
        </is>
      </c>
      <c r="I545" s="934" t="inlineStr">
        <is>
          <t>2023 BTS Sale, 22SS 2.11, 23 Spring Sale, Category_Lounge, Category_Lounge/Bottoms, Category_Lounge/Bottoms/Elastic, Category_Lounge/Pants, Fabric_Lounge/Cotton, hide-bis, HR-CX, LBD23, no-returns, Non-Elastic Lounge Bottoms, Sale, Spring Palette</t>
        </is>
      </c>
      <c r="J545" s="935" t="inlineStr">
        <is>
          <t>tapered-pants</t>
        </is>
      </c>
    </row>
    <row r="546" ht="56" customHeight="1" s="229">
      <c r="A546" s="896" t="inlineStr">
        <is>
          <t>Hang Out Long Sleeve Polo Shirt</t>
        </is>
      </c>
      <c r="B546" s="897" t="inlineStr">
        <is>
          <t>Loungewear</t>
        </is>
      </c>
      <c r="C546" s="898" t="n">
        <v>89</v>
      </c>
      <c r="D546" s="898" t="n">
        <v>53.4</v>
      </c>
      <c r="E546" s="957" t="inlineStr">
        <is>
          <t>Yes</t>
        </is>
      </c>
      <c r="F546" s="899" t="inlineStr">
        <is>
          <t>The Hang Out Collection's Long Sleeve Polo Shirt brings a chic, laid-back elegance to your spring wardrobe. Inspired by classic styles and tailored with a modern flair, you're sure to be the best dressed at your next hang out in this top! This item is FINAL SALE and cannot be returned or exchanged.</t>
        </is>
      </c>
      <c r="G546" s="900" t="inlineStr">
        <is>
          <t>• Oversized V-neck polo collar - frames &amp; flatters your jawline! • Cropped style with drop shoulders and buttoned cuffs. Size M is 20.5" in length. • Made from a cotton-poly blend.</t>
        </is>
      </c>
      <c r="H546" s="901" t="inlineStr">
        <is>
          <t>73% cotton, 22% polyester, 5% Spandex • Care instructions: For best results, hand wash in cold water with a light detergent. Line dry in the shade. Do not iron</t>
        </is>
      </c>
      <c r="I546" s="902" t="inlineStr">
        <is>
          <t>2023 BTS Sale, 22SS 2.11, 23 Spring Sale, Category_Lounge, Category_Lounge/Sweatshirts, Category_Lounge/Tees&amp;Tanks, Category_Lounge/Tops, Fabric_Lounge/Cotton, hide-bis, HR-CX, LBD23, no-returns, Sale, Spring Palette, Tariff Final Sale</t>
        </is>
      </c>
      <c r="J546" s="903" t="inlineStr">
        <is>
          <t>long-sleeve-polo-shirt</t>
        </is>
      </c>
    </row>
    <row r="547" ht="42" customHeight="1" s="229">
      <c r="A547" s="928" t="inlineStr">
        <is>
          <t>Barely Zero Leggings</t>
        </is>
      </c>
      <c r="B547" s="929" t="inlineStr">
        <is>
          <t>Loungewear</t>
        </is>
      </c>
      <c r="C547" s="930" t="n">
        <v>39</v>
      </c>
      <c r="D547" s="930" t="n">
        <v>39</v>
      </c>
      <c r="E547" s="929" t="inlineStr"/>
      <c r="F547" s="931" t="inlineStr">
        <is>
          <t>The adaptive fit you know and love isn't just for underwear anymore! The Barely Zero Leggings are the perfect lightweight legging for a flattering fit and all-day comfort.</t>
        </is>
      </c>
      <c r="G547" s="932" t="inlineStr">
        <is>
          <t>• Made from a breathable and ultra-elastic Barely Zero fabric blend for a great fit and all-day skin comfort. • Ankle-length with double-layered high-waisted waistband and no side stitching. Easily layers under pants and dresses. • Comfortably adapts to fit anyone in the following ranges: 24.5"- 34.5" waist and 31.5"- 39.5" hips. Flat garment inseam length: 23" (however, this garment stretches to accommodate a longer length).</t>
        </is>
      </c>
      <c r="H547" s="933" t="inlineStr">
        <is>
          <t>86% CloudFit nylon, 14% Spandex • Care instructions: Gently hand wash with like colors in cold water. Use a light detergent and do not scrub or allow to soak for longer than 10 minutes</t>
        </is>
      </c>
      <c r="I547" s="934" t="inlineStr">
        <is>
          <t>22ss 4.8, BZ Leggings, Category_Lounge, Category_Lounge/Bottoms, Category_Lounge/Pants, Collection_Barely Zero, Feature_Best Seller, Flexport Stock, LBD23, US Evergreen, US Inventory</t>
        </is>
      </c>
      <c r="J547" s="935" t="inlineStr">
        <is>
          <t>barely-zero-high-waist-leggings</t>
        </is>
      </c>
    </row>
    <row r="548" ht="42" customHeight="1" s="229">
      <c r="A548" s="896" t="inlineStr">
        <is>
          <t>Barely Zero Biker Shorts</t>
        </is>
      </c>
      <c r="B548" s="897" t="inlineStr">
        <is>
          <t>Loungewear</t>
        </is>
      </c>
      <c r="C548" s="898" t="n">
        <v>35</v>
      </c>
      <c r="D548" s="898" t="n">
        <v>35</v>
      </c>
      <c r="E548" s="897" t="inlineStr"/>
      <c r="F548" s="899" t="inlineStr">
        <is>
          <t>The adaptive fit you know and love isn't just for underwear anymore! The Barely Zero Biker Shorts are the perfect lightweight style for a flattering fit all season long.</t>
        </is>
      </c>
      <c r="G548" s="900" t="inlineStr">
        <is>
          <t>• Made from a breathable and ultra-elastic Barely Zero fabric blend for a great fit and all-day skin comfort. • Features double-layered high-waisted waistband with no side stitching. Easily layers under pants and dresses. • Comfortably adapts to fit anyone in the following ranges: 24.5"- 34.5" waist and 31"- 40" hips. Flat garment inseam length: 8.5" (however, this garment stretches to accommodate a longer length).</t>
        </is>
      </c>
      <c r="H548" s="901" t="inlineStr">
        <is>
          <t>86% CloudFit nylon , 14% Spandex • Care instructions: Gently hand wash with like colors in cold water. Use a light detergent and do not scrub or allow to soak for longer than 10 minutes</t>
        </is>
      </c>
      <c r="I548" s="902" t="inlineStr">
        <is>
          <t>22ss 4.8, BZ Leggings, Category_Lounge, Category_Lounge/Bottoms, Category_Lounge/Pants, Category_Lounge/Shorts, Collection_Barely Zero, Feature_Best Seller, Flexport Stock, LBD23, US Evergreen, US Inventory, US Main</t>
        </is>
      </c>
      <c r="J548" s="903" t="inlineStr">
        <is>
          <t>barely-zero-high-waist-biker-short</t>
        </is>
      </c>
    </row>
    <row r="549" ht="56" customHeight="1" s="229">
      <c r="A549" s="928" t="inlineStr">
        <is>
          <t>Daywear Silk Linen Tee</t>
        </is>
      </c>
      <c r="B549" s="929" t="inlineStr">
        <is>
          <t>Loungewear</t>
        </is>
      </c>
      <c r="C549" s="930" t="n">
        <v>129</v>
      </c>
      <c r="D549" s="930" t="n">
        <v>90.3</v>
      </c>
      <c r="E549" s="936" t="inlineStr">
        <is>
          <t>Yes</t>
        </is>
      </c>
      <c r="F549" s="931" t="inlineStr">
        <is>
          <t>Inspired by subtler styles of the '60s &amp; '70s, our Daywear Silk Linen Tee is tailored from a light, luxurious silk-linen blend and designed to add a subtle elegance to your everyday wardrobe at home and beyond. This item is FINAL SALE and cannot be returned or exchanged.</t>
        </is>
      </c>
      <c r="G549" s="932" t="inlineStr">
        <is>
          <t>• Wide b oatneck collar with a chic asymmetrical design. • Knit from a blend of silk &amp; linen, in two versatile colors. • Semi-elastic hemline ends comfortably just below the waist.</t>
        </is>
      </c>
      <c r="H549" s="933" t="inlineStr">
        <is>
          <t>56% silk, 44% linen • Care instructions: For best results, hand wash with like colors in cold water</t>
        </is>
      </c>
      <c r="I549" s="934" t="inlineStr">
        <is>
          <t>22SS 2.18, 23 Spring Sale, Category_Lounge, Category_Lounge/Knitwear, Category_Lounge/Tees&amp;Tanks, Category_Lounge/Top, Fabric_Lounge/Silk, hide-bis, no-returns, Sale</t>
        </is>
      </c>
      <c r="J549" s="935" t="inlineStr">
        <is>
          <t>daywear-silk-linen-tee</t>
        </is>
      </c>
    </row>
    <row r="550" ht="56" customHeight="1" s="229">
      <c r="A550" s="888" t="inlineStr">
        <is>
          <t>Nude Tulle Triangle Bra</t>
        </is>
      </c>
      <c r="B550" s="889" t="inlineStr">
        <is>
          <t>Underwear</t>
        </is>
      </c>
      <c r="C550" s="890" t="n">
        <v>68</v>
      </c>
      <c r="D550" s="890" t="n">
        <v>47.6</v>
      </c>
      <c r="E550" s="985" t="inlineStr">
        <is>
          <t>Yes</t>
        </is>
      </c>
      <c r="F550" s="891" t="inlineStr">
        <is>
          <t>This classic t-shirt bra is an easy choice for any warm-weather outfit. Made from a soft poly blend flanked with a breathable tulle mesh, this bra offers light, airy comfort and a classic style you'll love all summer long. This item is FINAL SALE and cannot be returned or exchanged.</t>
        </is>
      </c>
      <c r="G550" s="892" t="inlineStr">
        <is>
          <t>• Light, flexible, &amp; breathable - perfect for spring and summer! • Adjustable spaghetti straps &amp; key-hole for maximum airflow &amp; ventilation. • Removable padding - customize your level of support.</t>
        </is>
      </c>
      <c r="H550" s="893" t="inlineStr">
        <is>
          <t>outer: 67% polyamide, 33% Spandex; 76% polyamide, 24% Spandex; lining: 76% polyamide, 24% Spandex; 82% polyamide, 18% Spandex • Care instructions: For best results, hand wash in cold water with a neutral detergent</t>
        </is>
      </c>
      <c r="I550" s="894" t="inlineStr">
        <is>
          <t>22SS 1.28, 23SS A3 Size Bra, 25Jan Sale, Category_Bras/Everyday, Category_Bras/Medium Support, Category_Bras/Plunge, Category_Lingerie/Wireless Bra, Category_Lingerie/Wireless Bra/Triangle, Category_Underwear, Category_Underwear/Tops, Category_Underwear/Tops/Wireless Bra, Category_Underwear/Tops/Wireless Bra/Soft-Cup, Category_Underwear/Tops/Wireless Bra/Triangle, Flexport Stock, HR-CX, LBD23, no-returns, Sale, Tariff Final Sale, US Inventory</t>
        </is>
      </c>
      <c r="J550" s="895" t="inlineStr">
        <is>
          <t>nude-triangle-bra</t>
        </is>
      </c>
    </row>
    <row r="551" ht="28" customHeight="1" s="229">
      <c r="A551" s="880" t="inlineStr">
        <is>
          <t>Nude Tulle Thick Strap Bra</t>
        </is>
      </c>
      <c r="B551" s="881" t="inlineStr">
        <is>
          <t>Underwear</t>
        </is>
      </c>
      <c r="C551" s="882" t="n">
        <v>68</v>
      </c>
      <c r="D551" s="882" t="n">
        <v>40.8</v>
      </c>
      <c r="E551" s="937" t="inlineStr">
        <is>
          <t>Yes</t>
        </is>
      </c>
      <c r="F551" s="883" t="inlineStr">
        <is>
          <t>Made from light tulle for a lace-like texture and an airy feel, this classic thick-strap bra is the perfect foundation for any look.</t>
        </is>
      </c>
      <c r="G551" s="884" t="inlineStr">
        <is>
          <t>• Light, flexible, &amp; breathable. • Thick adjustable straps for extra support &amp; key-hole for ventilation. • U-shaped back. Removable padding.</t>
        </is>
      </c>
      <c r="H551" s="885" t="inlineStr">
        <is>
          <t>outer: 67% polyamide, 33% Spandex; 76% polyamide, 24% Spandex; lining: 76% polyamide, 24% Spandex • Care instructions: For best results, hand wash in cold water with a neutral detergent</t>
        </is>
      </c>
      <c r="I551" s="886" t="inlineStr">
        <is>
          <t>22SS 1.28, 23SS A3 Size Bra, 24JuneSale, 25JulySale, Category_Bras/Everyday, Category_Bras/Medium Support, Category_Bras/Plunge, Category_Lingerie/Wireless Bra, Category_Underwear, Category_Underwear/Tops, Category_Underwear/Tops/Wireless Bra, Category_Underwear/Tops/Wireless Bra/Soft-Cup, HR-CX, LBD23, no-returns, Tariff Final Sale, US Inventory</t>
        </is>
      </c>
      <c r="J551" s="887" t="inlineStr">
        <is>
          <t>nude-narrow-shoulder-bra</t>
        </is>
      </c>
    </row>
    <row r="552" ht="56" customHeight="1" s="229">
      <c r="A552" s="896" t="inlineStr">
        <is>
          <t>Easy Knit V-Neck Tee</t>
        </is>
      </c>
      <c r="B552" s="897" t="inlineStr">
        <is>
          <t>Loungewear</t>
        </is>
      </c>
      <c r="C552" s="898" t="n">
        <v>119</v>
      </c>
      <c r="D552" s="898" t="n">
        <v>71.40000000000001</v>
      </c>
      <c r="E552" s="957" t="inlineStr">
        <is>
          <t>Yes</t>
        </is>
      </c>
      <c r="F552" s="899" t="inlineStr">
        <is>
          <t>Inspired by styles worn by icons of the '60s &amp; '70s, our Easy Knit V-Neck Tee is at the crossroads of classic chic and modern elegance. Available in two light colors, this stylish top will be a staple in your spring &amp; summer wardrobe this year! This item is FINAL SALE and cannot be returned or exchanged.</t>
        </is>
      </c>
      <c r="G552" s="900" t="inlineStr">
        <is>
          <t>• Classic V-neck collar. Inspired by tops worn by Jane Birkin &amp; Yoko Ono. • Easy Knit, easy to care for. Take care of this top and it will last for decades. • Size M is 23.6" in length. Curved hemline easily lays flat and accentuates the waist.</t>
        </is>
      </c>
      <c r="H552" s="901" t="inlineStr">
        <is>
          <t>81% viscose, 19% polyamide • Care instructions: For best results, hand wash with a light detergent in cold water</t>
        </is>
      </c>
      <c r="I552" s="902" t="inlineStr">
        <is>
          <t>2023 BTS Sale, 22SS 1.28, 23 Spring Sale, 24JuneSale, Category_Lounge, Category_Lounge/Knitwear, Category_Lounge/Sweaters&amp;Outerwear, Category_Lounge/Tees&amp;Tanks, Category_Lounge/Tops, hide-bis, HR-CX, LBD23, no-returns, Outerwear, pink collection, Sale, Spring Palette, Tariff Final Sale</t>
        </is>
      </c>
      <c r="J552" s="903" t="inlineStr">
        <is>
          <t>easy-knit-v-neck-tee</t>
        </is>
      </c>
    </row>
    <row r="553" ht="42" customHeight="1" s="229">
      <c r="A553" s="888" t="inlineStr">
        <is>
          <t>Pliss√© Deep V Bra</t>
        </is>
      </c>
      <c r="B553" s="889" t="inlineStr">
        <is>
          <t>Underwear</t>
        </is>
      </c>
      <c r="C553" s="890" t="n">
        <v>89</v>
      </c>
      <c r="D553" s="890" t="n">
        <v>53.4</v>
      </c>
      <c r="E553" s="985" t="inlineStr">
        <is>
          <t>Yes</t>
        </is>
      </c>
      <c r="F553" s="891" t="inlineStr">
        <is>
          <t>This triangle cup bra is a cute style you can wear any day, and designed for carefree comfort &amp; support. This item is FINAL SALE and cannot be returned or exchanged.</t>
        </is>
      </c>
      <c r="G553" s="892" t="inlineStr">
        <is>
          <t>• Completely wireless, with subtle pliss√© pleat accents. • Made from a flexible, imported Italian fabric blend. • Fully adjustable straps. Back clasp closure.</t>
        </is>
      </c>
      <c r="H553" s="893" t="inlineStr">
        <is>
          <t>outer: 90% polyester, 10% Spandex; elastic: 75% polyester, 25% Spandex; cup lining: 100% polyester • Care instructions: For best results, hand wash in cold water. Lay flat to dry. Do not iron</t>
        </is>
      </c>
      <c r="I553" s="894" t="inlineStr">
        <is>
          <t>2023 BTS Sale, 22SS 1.28, 23 Spring Sale, 24JuneSale, Band + Cup Bra, Category_Bras/Light Support, Category_Bras/Plunge, Category_Lingerie/Wireless Bra, Category_Lingerie/Wireless Bra/Triangle, Category_Underwear, Category_Underwear/Tops, Category_Underwear/Tops/Wireless Bra, Category_Underwear/Tops/Wireless Bra/Triangle, Collection_Valentine, hide-bis, HR-CX, LBD23, no-returns, pink collection, Sale, Spring Palette, Tariff Final Sale</t>
        </is>
      </c>
      <c r="J553" s="895" t="inlineStr">
        <is>
          <t>plisse-deep-v-bra</t>
        </is>
      </c>
    </row>
    <row r="554" ht="28" customHeight="1" s="229">
      <c r="A554" s="880" t="inlineStr">
        <is>
          <t>Pliss√© Low Waist Brief</t>
        </is>
      </c>
      <c r="B554" s="881" t="inlineStr">
        <is>
          <t>Underwear</t>
        </is>
      </c>
      <c r="C554" s="882" t="n">
        <v>39</v>
      </c>
      <c r="D554" s="882" t="n">
        <v>23.4</v>
      </c>
      <c r="E554" s="937" t="inlineStr">
        <is>
          <t>Yes</t>
        </is>
      </c>
      <c r="F554" s="883" t="inlineStr">
        <is>
          <t>These low-rise briefs are a cute, comfortable option for carefree comfort any day of the week. This item is FINAL SALE and cannot be returned or exchanged.</t>
        </is>
      </c>
      <c r="G554" s="884" t="inlineStr">
        <is>
          <t>• Features subtle pliss√© pleat accents to accentuate the waist. • Made from a flexible, imported Italian fabric blend. 100% cotton lining. • Comfortable low-waist cut, offers moderate coverage front &amp; back.</t>
        </is>
      </c>
      <c r="H554" s="885" t="inlineStr">
        <is>
          <t>surface: 75% polyester, 25% Spandex; elastic: 90% polyester, 10% Spandex; lining: 100% cotton • Care instructions: For best results, hand wash in cold water. Lay flat to dry. Do not iron</t>
        </is>
      </c>
      <c r="I554" s="886" t="inlineStr">
        <is>
          <t>2023 BTS Sale, 22SS 1.28, 23 Spring Sale, 24JuneSale, Category_Lingerie/Brief, Category_Lingerie/Brief/Low Waist, Category_Underwear, Category_Underwear/Bottoms, Category_Underwear/Bottoms/Panties, Category_Underwear/Bottoms/Panties/Low Waist, Collection_Valentine, hide-bis, HR-CX, LBD23, no-returns, pink collection, Sale, Spring Palette, Tariff Final Sale, XS - XL Brief</t>
        </is>
      </c>
      <c r="J554" s="887" t="inlineStr">
        <is>
          <t>plisse-low-waist-brief</t>
        </is>
      </c>
    </row>
    <row r="555" ht="42" customHeight="1" s="229">
      <c r="A555" s="888" t="inlineStr">
        <is>
          <t>Nude Tulle Mid Waist Brief</t>
        </is>
      </c>
      <c r="B555" s="889" t="inlineStr">
        <is>
          <t>Underwear</t>
        </is>
      </c>
      <c r="C555" s="890" t="n">
        <v>25</v>
      </c>
      <c r="D555" s="890" t="n">
        <v>15</v>
      </c>
      <c r="E555" s="985" t="inlineStr">
        <is>
          <t>Yes</t>
        </is>
      </c>
      <c r="F555" s="891" t="inlineStr">
        <is>
          <t>Mid-waist briefs made from semi-transparent tulle for extra breathability &amp; a lace-like texture. Perfect for any warm-weather outfit, these are the briefs you'll turn to for light, airy comfort and classic style you'll love all summer long.</t>
        </is>
      </c>
      <c r="G555" s="892" t="inlineStr">
        <is>
          <t>• Light, flexible, &amp; breathable - perfect for spring and summer! • Mid-waist cut for full coverage. 100% cotton front lining for comfort. • Pairs perfectly with the two Nude Tulle bras from the same collection!</t>
        </is>
      </c>
      <c r="H555" s="893" t="inlineStr">
        <is>
          <t>front: 76% polyamide, 24% Spandex; back: 67% polyamide, 33% Spandex; 82% polyamide, 18% Spandex; lining: 100% cotton • Care instructions: For best results, hand wash in cold water with a neutral detergent</t>
        </is>
      </c>
      <c r="I555" s="894" t="inlineStr">
        <is>
          <t>22SS 1.28, 24JuneSale, 25JulySale, Category_Lingerie/Brief, Category_Lingerie/Brief/Mid Waist, Category_Underwear, Category_Underwear/Bottoms, Category_Underwear/Bottoms/Panties, Category_Underwear/Bottoms/Panties/Mid Waist, HR-CX, LBD23, no-returns, Tariff Final Sale, XS - XL Brief</t>
        </is>
      </c>
      <c r="J555" s="895" t="inlineStr">
        <is>
          <t>nude-mid-waist-brief</t>
        </is>
      </c>
    </row>
    <row r="556" ht="70" customHeight="1" s="229">
      <c r="A556" s="928" t="inlineStr">
        <is>
          <t>Knitted Spring Cardigan</t>
        </is>
      </c>
      <c r="B556" s="929" t="inlineStr">
        <is>
          <t>Loungewear</t>
        </is>
      </c>
      <c r="C556" s="930" t="n">
        <v>179</v>
      </c>
      <c r="D556" s="930" t="n">
        <v>107.4</v>
      </c>
      <c r="E556" s="936" t="inlineStr">
        <is>
          <t>Yes</t>
        </is>
      </c>
      <c r="F556" s="931" t="inlineStr">
        <is>
          <t>Made from a breathable cotton blend, our Knitted Spring Cardigan is a versatile addition to your spring wardrobe. Designed to bring you effortless style &amp; comfort in warmer temperatures, you'll love to layer it on cooler days and wear it on its own as summer approaches! This item is FINAL SALE and cannot be returned or exchanged.</t>
        </is>
      </c>
      <c r="G556" s="932" t="inlineStr">
        <is>
          <t>• Waist-length, with classic v-neck and full button closure. • A cozy blend of cotton, wool, and synthetic fiber for warmth &amp; breathability. • Wear it anywhere - a versatile spring style that's chic and comfortable at home and beyond.</t>
        </is>
      </c>
      <c r="H556" s="933" t="inlineStr">
        <is>
          <t>51% cotton, 38% nylon, 11% wool • Care instructions: For best results, hand wash in cold water using a light detergent</t>
        </is>
      </c>
      <c r="I556" s="934" t="inlineStr">
        <is>
          <t>2023 BTS Sale, 22SS 1.21, 23 May Sale, 23 Spring Sale, Category_Lounge, Category_Lounge/Cardigan, Category_Lounge/Knitwear, Category_Lounge/Outerwear, Category_Lounge/Sweaters&amp;Outerwear, Category_Lounge/Tops, Collection_Knitted, Fabric_Lounge/Cashmere &amp; Wool, hide-bis, HR-CX, LBD23, no-returns, Outerwear, Sale, Tariff Final Sale</t>
        </is>
      </c>
      <c r="J556" s="935" t="inlineStr">
        <is>
          <t>knitted-spring-cardigan</t>
        </is>
      </c>
    </row>
    <row r="557" ht="56" customHeight="1" s="229">
      <c r="A557" s="896" t="inlineStr">
        <is>
          <t>Essential Classic Tee</t>
        </is>
      </c>
      <c r="B557" s="897" t="inlineStr">
        <is>
          <t>Loungewear</t>
        </is>
      </c>
      <c r="C557" s="898" t="n">
        <v>49</v>
      </c>
      <c r="D557" s="898" t="n">
        <v>34.3</v>
      </c>
      <c r="E557" s="957" t="inlineStr">
        <is>
          <t>Yes</t>
        </is>
      </c>
      <c r="F557" s="899" t="inlineStr">
        <is>
          <t>Breathe sheer comfort into your daily essentials with our Essential Classic Tee. O ur take on this timeless staple is made from 100% top-quality cotton and will be your next wardrobe hero. This item is FINAL SALE and cannot be returned or exchanged.</t>
        </is>
      </c>
      <c r="G557" s="900" t="inlineStr">
        <is>
          <t>• Made from 100% cotton - lightweight, soft, and breathable. • Finely woven for smooth texture and form durability, wear after wear. • Size M is 23.6" in length. A casual style perfect on its own or layered year-round.</t>
        </is>
      </c>
      <c r="H557" s="901" t="inlineStr">
        <is>
          <t>100% cotton • Care instructions: For best results, hand wash in cold water</t>
        </is>
      </c>
      <c r="I557" s="902" t="inlineStr">
        <is>
          <t>2023 BTS Sale, 22SS 1.21, 23 Spring Sale, Category_Lounge, Category_Lounge/Tees&amp;Tanks, Category_Lounge/Tops, Collection_Essential, Collection_Essential/Lounge, Fabric_Lounge/Cotton, hide-bis, HR-CX, LBD23, no-returns, pink collection, Sale, Tariff Final Sale, US Inventory</t>
        </is>
      </c>
      <c r="J557" s="903" t="inlineStr">
        <is>
          <t>essential-classic-tee</t>
        </is>
      </c>
    </row>
    <row r="558" ht="56" customHeight="1" s="229">
      <c r="A558" s="880" t="inlineStr">
        <is>
          <t>Essential Classic Camisole</t>
        </is>
      </c>
      <c r="B558" s="881" t="inlineStr">
        <is>
          <t>Underwear</t>
        </is>
      </c>
      <c r="C558" s="882" t="n">
        <v>39</v>
      </c>
      <c r="D558" s="882" t="n">
        <v>27.3</v>
      </c>
      <c r="E558" s="937" t="inlineStr">
        <is>
          <t>Yes</t>
        </is>
      </c>
      <c r="F558" s="883" t="inlineStr">
        <is>
          <t>Made from an incredibly soft blend of cotton and Spandex, our Essential Classic Camisole is both a necessary home lounge top and a comfortable foundation layer to your everyday outfits. This item is FINAL SALE and cannot be returned or exchanged.</t>
        </is>
      </c>
      <c r="G558" s="884" t="inlineStr">
        <is>
          <t>• Made from refreshingly crisp cotton blended with Spandex for added stretch. • Fine weave texture - delicately soft and skin-friendly to the touch. • Relaxed, lightweight fit. Easy to layer or wear on its own at home!</t>
        </is>
      </c>
      <c r="H558" s="885" t="inlineStr">
        <is>
          <t>90% cotton, 10% Spandex • Care instructions: For best results, hand wash in cold water</t>
        </is>
      </c>
      <c r="I558" s="886" t="inlineStr">
        <is>
          <t>2023 BTS Sale, 22SS 1.21, 23 Spring Sale, Category_Lingerie, Category_Lingerie/BRApparel/Cami, Category_Lounge, Category_Underwear, Collection_Essential, Collection_Essential/Lingerie, Collection_Essential/Lounge, Function_Lounge/Essential/Cami, hide-bis, no-returns, Sale</t>
        </is>
      </c>
      <c r="J558" s="887" t="inlineStr">
        <is>
          <t>essential-classic-camisole</t>
        </is>
      </c>
    </row>
    <row r="559" ht="56" customHeight="1" s="229">
      <c r="A559" s="912" t="inlineStr">
        <is>
          <t>Urban Sport Casual Wool Coat</t>
        </is>
      </c>
      <c r="B559" s="913" t="inlineStr">
        <is>
          <t>Active</t>
        </is>
      </c>
      <c r="C559" s="914" t="n">
        <v>315</v>
      </c>
      <c r="D559" s="914" t="n">
        <v>189</v>
      </c>
      <c r="E559" s="955" t="inlineStr">
        <is>
          <t>Yes</t>
        </is>
      </c>
      <c r="F559" s="915" t="inlineStr">
        <is>
          <t>Both fashionable and functional, the Urban Sport Casual Wool Coat is marvelously comfortable with knitted sleeves, a chic high collar, and warm sherpa fleece shell - a perfect outer layer for staying cozy from home to the gym and everywhere in between. This item is final sale and cannot be returned or exchanged.</t>
        </is>
      </c>
      <c r="G559" s="916" t="inlineStr">
        <is>
          <t>• Cinched drawstring waist for a flattering, form-fitting silhouette. • Warm blend of genuine wool lined in cotton for additional comfort. • Size M is 29.1" in length. Features convenient zipper closure &amp; multiple pockets!</t>
        </is>
      </c>
      <c r="H559" s="917" t="inlineStr">
        <is>
          <t>outer: 73% wool, 27% polyester; lining: 100% cotton; sleeves: 100% wool • Care instructions: For best results, hand wash with a wool-safe detergent</t>
        </is>
      </c>
      <c r="I559" s="918" t="inlineStr">
        <is>
          <t>2023 BTS Sale, 22FW 30OFF, 23 Spring Sale, 25clearance, Activity_Active/Outdoor, Category_Active, Category_Active/Outerwear, Category_Active/Sport Bra &amp; Top, Category_Active/Tops, Category_Lounge, Category_Lounge/Jacket, Category_Lounge/Outerwear, Category_Lounge/Sweaters&amp;Outerwear, Collection_Urban Sport, Fabric_Active/Cashmere &amp; Wool, hide-bis, LBD23, no-returns, Outerwear, Sale</t>
        </is>
      </c>
      <c r="J559" s="919" t="inlineStr">
        <is>
          <t>urban-sport-casual-wool-coat</t>
        </is>
      </c>
    </row>
    <row r="560" ht="42" customHeight="1" s="229">
      <c r="A560" s="888" t="inlineStr">
        <is>
          <t>Barely Zero Curve Extra Support Bra</t>
        </is>
      </c>
      <c r="B560" s="889" t="inlineStr">
        <is>
          <t>Underwear</t>
        </is>
      </c>
      <c r="C560" s="890" t="n">
        <v>49</v>
      </c>
      <c r="D560" s="890" t="n">
        <v>49</v>
      </c>
      <c r="E560" s="889" t="inlineStr"/>
      <c r="F560" s="891" t="inlineStr">
        <is>
          <t>The one-size Barely Zero Curve Extra Support Bra brings an extended band &amp; cup size range to the Barely Zero bra family, featuring adjustable straps and a secure back clasp.</t>
        </is>
      </c>
      <c r="G560" s="892" t="inlineStr">
        <is>
          <t>• Comfortably fits anyone whose full bust measurement is between 37.5"-43.5" and an A-DDD cup - the ultimate bra for nursing, fluctuating sizes, and easy gifting! Please visit the size chart for more details. • C lose, comfortable fit - no digging in or show-through lines. Features removable padding, adjustable wide spaghetti straps, and back buckle closure. • Made from CloudFit: soft, ultra-elastic, &amp; moisture-wicking for all-day skin comfort and odor reduction.</t>
        </is>
      </c>
      <c r="H560" s="893" t="inlineStr">
        <is>
          <t>outer: 66% CloudFit nylon blend, 34% Spandex; lining: 86% modal, 14% Spandex • To preserve and lengthen its wear-life, we strongly recommend handwashing your Barely Zero. Dissolve a gentle detergent in cold water (86 °F /30 °C max ) and fully immerse the underwear. Gently press/knead it, then rinse (soak no longer than 5 minutes)</t>
        </is>
      </c>
      <c r="I560" s="894" t="inlineStr">
        <is>
          <t>2022 Title Update, 22SS 2.25, BZ Curve Bra, Category_Bras/Everyday, Category_Bras/High Support, Category_Bras/Nursing, Category_Bras/Plunge, Category_Underwear, Category_Underwear/Tops, Category_Underwear/Tops/Wireless Bra, Category_Underwear/Tops/Wireless Bra/Seamless, Collection_2021 Barely Zero, Collection_2021BarelyZero, Collection_Barely Zero, Collection_Barely Zero/Bras, Feature_Best Seller, LBD23, Tariff Final Sale</t>
        </is>
      </c>
      <c r="J560" s="895" t="inlineStr">
        <is>
          <t>barely-zero-curve-extra-support-bra</t>
        </is>
      </c>
    </row>
    <row r="561" ht="42" customHeight="1" s="229">
      <c r="A561" s="920" t="inlineStr">
        <is>
          <t>Women's Tiger Socks</t>
        </is>
      </c>
      <c r="B561" s="921" t="inlineStr">
        <is>
          <t>Accessories</t>
        </is>
      </c>
      <c r="C561" s="922" t="n">
        <v>12</v>
      </c>
      <c r="D561" s="922" t="n">
        <v>8.4</v>
      </c>
      <c r="E561" s="987" t="inlineStr">
        <is>
          <t>Yes</t>
        </is>
      </c>
      <c r="F561" s="923" t="inlineStr">
        <is>
          <t>Celebrate the coming of the Year of the Tiger in these Women's Tiger Socks! Festive and functional, these are a fun way to celebrate the holiday. Also a great gift! This item is final sale and cannot be returned or exchanged.</t>
        </is>
      </c>
      <c r="G561" s="924" t="inlineStr">
        <is>
          <t>• Festive crew-length socks available in two ferocious colors. • Made from a comfortable blend of cotton, polyester, &amp; Spandex. • Match your partner - available in men's &amp; women's sizes!</t>
        </is>
      </c>
      <c r="H561" s="925" t="inlineStr">
        <is>
          <t>67% cotton, 30% polyester, 3% Spandex • Care Instructions: For best results, hand wash in cold water</t>
        </is>
      </c>
      <c r="I561" s="926" t="inlineStr">
        <is>
          <t>22 Spring Sale, Category_Active/Accessories, Category_Lounge, Category_Lounge/Accessories, Collection_Holiday Red, hide-bis, HR-CX, no-returns, Sale</t>
        </is>
      </c>
      <c r="J561" s="927" t="inlineStr">
        <is>
          <t>womens-socks</t>
        </is>
      </c>
    </row>
    <row r="562" ht="42" customHeight="1" s="229">
      <c r="A562" s="958" t="inlineStr">
        <is>
          <t>Men's Tiger Socks</t>
        </is>
      </c>
      <c r="B562" s="959" t="inlineStr">
        <is>
          <t>Men</t>
        </is>
      </c>
      <c r="C562" s="960" t="n">
        <v>12</v>
      </c>
      <c r="D562" s="960" t="n">
        <v>6</v>
      </c>
      <c r="E562" s="984" t="inlineStr">
        <is>
          <t>Yes</t>
        </is>
      </c>
      <c r="F562" s="961" t="inlineStr">
        <is>
          <t>Celebrate the coming of the Year of the Tiger in these Men's Tiger Socks! Festive and functional, these are a fun way to celebrate the holiday. Also a great gift! This item is final sale and cannot be returned or exchanged.</t>
        </is>
      </c>
      <c r="G562" s="962" t="inlineStr">
        <is>
          <t>• Festive crew-length socks available in two ferocious colors. • Made from a comfortable blend of cotton, polyester, &amp; Spandex. • Match your partner - available in men's &amp; women's sizes!</t>
        </is>
      </c>
      <c r="H562" s="963" t="inlineStr">
        <is>
          <t>67% cotton, 30% polyester, 3% Spandex • Care Instructions: For best results, hand wash in cold water</t>
        </is>
      </c>
      <c r="I562" s="964" t="inlineStr">
        <is>
          <t>22 Spring Sale, 22FW 50OFF, Category_Lounge, Category_Lounge/Accessories, Category_Men, Category_Men/Accessories, Category_Men/Socks, Collection_Holiday Red, hide-bis, HR-CX, no-returns, Sale</t>
        </is>
      </c>
      <c r="J562" s="965" t="inlineStr">
        <is>
          <t>mens-socks</t>
        </is>
      </c>
    </row>
    <row r="563" ht="42" customHeight="1" s="229">
      <c r="A563" s="880" t="inlineStr">
        <is>
          <t>Velvet Cami Top</t>
        </is>
      </c>
      <c r="B563" s="881" t="inlineStr">
        <is>
          <t>Underwear</t>
        </is>
      </c>
      <c r="C563" s="882" t="n">
        <v>108</v>
      </c>
      <c r="D563" s="882" t="n">
        <v>54</v>
      </c>
      <c r="E563" s="937" t="inlineStr">
        <is>
          <t>Yes</t>
        </is>
      </c>
      <c r="F563" s="883" t="inlineStr">
        <is>
          <t>This Velvet Cami Top is a holiday style inspired by retro corsets and tailored for a slim yet comfortable fit - perfect for layering and building an elegant look or worn alone! This item is final sale and cannot be returned or exchanged.</t>
        </is>
      </c>
      <c r="G563" s="884" t="inlineStr">
        <is>
          <t>• Features built-in bra with light padding. Best fit for A-C cups. • A confidence-boosting fit cut in a lusciously soft velvet texture. • Complete the set with the matching Velvet Low Waist Brief!</t>
        </is>
      </c>
      <c r="H563" s="885" t="inlineStr">
        <is>
          <t>fabric 1: 71% triacetate fiber, 29% polyester; fabric 2: 75% polyester, 25% Spandex; lining: 74% polyester, 26% Spandex • Care instructions: For best results, hand wash in cold water with like colors</t>
        </is>
      </c>
      <c r="I563" s="886" t="inlineStr">
        <is>
          <t>2023 BTS Sale, 21FW 12.17, 22FW 30OFF, 23 May Sale, 23Oct Markdown, Category_Lingerie, Category_Lingerie/BRApparel, Category_Lounge, Category_Lounge/Top, Category_Underwear, Category_Underwear/Tops, Collection_Holiday Red, Fabric_Underwear/Velvet, hide-bis, LBD23, no-returns, Sale</t>
        </is>
      </c>
      <c r="J563" s="887" t="inlineStr">
        <is>
          <t>velvet-tank</t>
        </is>
      </c>
    </row>
    <row r="564" ht="42" customHeight="1" s="229">
      <c r="A564" s="888" t="inlineStr">
        <is>
          <t>Velvet Low-Waist Brief</t>
        </is>
      </c>
      <c r="B564" s="889" t="inlineStr">
        <is>
          <t>Underwear</t>
        </is>
      </c>
      <c r="C564" s="890" t="n">
        <v>25</v>
      </c>
      <c r="D564" s="890" t="n">
        <v>12.5</v>
      </c>
      <c r="E564" s="985" t="inlineStr">
        <is>
          <t>Yes</t>
        </is>
      </c>
      <c r="F564" s="891" t="inlineStr">
        <is>
          <t>The Velvet Low-Waist Brief is a holiday style inspired by the warmth and romance of the season - pairs perfectly with the matching Velvet Tank for a complete set. This item is final sale and cannot be returned or exchanged.</t>
        </is>
      </c>
      <c r="G564" s="892" t="inlineStr">
        <is>
          <t>• A confidence-boosting style in a lusciously soft velvet texture. • Low-waist cut for moderate coverage &amp; unhindered comfort. • Features 100% cotton lining for added comfort.</t>
        </is>
      </c>
      <c r="H564" s="893" t="inlineStr">
        <is>
          <t>fabric 1: 71% triacetate fiber, 29% polyester; fabric 2: 75% polyester, 25% Spandex; lining: 100% cotton. • Care instructions: For best results, hand wash in cold water with like colors</t>
        </is>
      </c>
      <c r="I564" s="894" t="inlineStr">
        <is>
          <t>2023 BTS Sale, 21FW 12.17, 22FW 30OFF, 23 May Sale, 23Oct Markdown, 25clearance, Category_Lingerie, Category_Lingerie/Brief, Category_Lingerie/Brief/Low Waist, Category_Underwear, Category_Underwear/Bottoms, Category_Underwear/Bottoms/Panties, Category_Underwear/Bottoms/Panties/Low Waist, Collection_Holiday Red, Collection_Valentine, Fabric_Underwear/Velvet, hide-bis, HR-CX, LBD23, no-returns, Sale, Tariff Final Sale, XS - XL Brief</t>
        </is>
      </c>
      <c r="J564" s="895" t="inlineStr">
        <is>
          <t>velvet-low-waist-brief</t>
        </is>
      </c>
    </row>
    <row r="565" ht="42" customHeight="1" s="229">
      <c r="A565" s="904" t="inlineStr">
        <is>
          <t>Urban Sport Casual Pants</t>
        </is>
      </c>
      <c r="B565" s="905" t="inlineStr">
        <is>
          <t>Active</t>
        </is>
      </c>
      <c r="C565" s="906" t="n">
        <v>155</v>
      </c>
      <c r="D565" s="906" t="n">
        <v>77.5</v>
      </c>
      <c r="E565" s="956" t="inlineStr">
        <is>
          <t>Yes</t>
        </is>
      </c>
      <c r="F565" s="907" t="inlineStr">
        <is>
          <t>Our Urban Sport Casual Pants are the perfect casual style to wear on the way to the gym, out on a run, or anywhere else! Made from a cozy cotton blend for all-day comfort. This item is FINAL SALE and cannot be returned or exchanged.</t>
        </is>
      </c>
      <c r="G565" s="908" t="inlineStr">
        <is>
          <t>• A comfortable fit with side pockets &amp; drawstring waistband. • Made from a soft blend of cotton with wool added for texture. • Pairs perfectly with the matching Urban Sport Casual Top!</t>
        </is>
      </c>
      <c r="H565" s="909" t="inlineStr">
        <is>
          <t>95% cotton, 5% wool; elastic: 95% cotton, 5% Spandex • Care instructions: For best results, hand wash with like colors in cold water</t>
        </is>
      </c>
      <c r="I565" s="910" t="inlineStr">
        <is>
          <t>2023 BTS Sale, 21FW 12.10, 22 July Sale, 22FW 40OFF, 23Oct Markdown, 25clearance, Activity_Active/Gym, Activity_Active/Jogging, Activity_Active/Outdoor, Activity_Active/Running, Category_Active, Category_Active/Leggings &amp; Skirt, Category_Daywear, Category_Daywear/Pants, Category_Lounge, Category_Lounge/Bottoms, Category_Lounge/Bottoms/Elastic, Category_Lounge/Pants, Collection_Urban Sport, Fabric_Active/Cotton, hide-bis, HR-CX, LBD23, no-returns, Sale, Tariff Final Sale</t>
        </is>
      </c>
      <c r="J565" s="911" t="inlineStr">
        <is>
          <t>urban-sport-casual-pants</t>
        </is>
      </c>
    </row>
    <row r="566" ht="42" customHeight="1" s="229">
      <c r="A566" s="912" t="inlineStr">
        <is>
          <t>Urban Sport Casual Top</t>
        </is>
      </c>
      <c r="B566" s="913" t="inlineStr">
        <is>
          <t>Active</t>
        </is>
      </c>
      <c r="C566" s="914" t="n">
        <v>135</v>
      </c>
      <c r="D566" s="914" t="n">
        <v>67.5</v>
      </c>
      <c r="E566" s="955" t="inlineStr">
        <is>
          <t>Yes</t>
        </is>
      </c>
      <c r="F566" s="915" t="inlineStr">
        <is>
          <t>Our Urban Sport Casual Top is perfect for casual comfort &amp; style on the way to the gym, studio, out on a run, or anywhere else! This item is FINAL SALE and cannot be returned or exchanged.</t>
        </is>
      </c>
      <c r="G566" s="916" t="inlineStr">
        <is>
          <t>• Comfortably loose fit with a front boat neckline and back wide v-neckline. • Made from a blend of cotton with wool added for warmth and texture. • Pairs perfectly with your favorite leggings or other workout gear!</t>
        </is>
      </c>
      <c r="H566" s="917" t="inlineStr">
        <is>
          <t>95% cotton, 5% wool; elastic: 95% cotton, 5% Spandex • Care instructions: For best results, hand wash with like colors in cold water</t>
        </is>
      </c>
      <c r="I566" s="918" t="inlineStr">
        <is>
          <t>2023 BTS Sale, 21FW 12.10, 22 July Sale, 22FW 40OFF, 23Oct Markdown, 25clearance, Activity_Active/Gym, Activity_Active/Jogging, Activity_Active/Outdoor, Activity_Active/Running, Category_Active, Category_Active/Sport Bra &amp; Top, Category_Active/Sweatshirts, Category_Active/Tops, Category_Daywear, Category_Daywear/Top, Category_Lounge, Category_Lounge/Sweatshirts, Category_Lounge/Tops, Collection_Urban Sport, Fabric_Active/Cotton, hide-bis, HR-CX, LBD23, no-returns, Sale, Tariff Final Sale</t>
        </is>
      </c>
      <c r="J566" s="919" t="inlineStr">
        <is>
          <t>urban-sport-casual-top</t>
        </is>
      </c>
    </row>
    <row r="567" ht="56" customHeight="1" s="229">
      <c r="A567" s="928" t="inlineStr">
        <is>
          <t>Essential Cashmere U-Neck Thermal Underwear Top</t>
        </is>
      </c>
      <c r="B567" s="929" t="inlineStr">
        <is>
          <t>Loungewear</t>
        </is>
      </c>
      <c r="C567" s="930" t="n">
        <v>98</v>
      </c>
      <c r="D567" s="930" t="n">
        <v>49</v>
      </c>
      <c r="E567" s="936" t="inlineStr">
        <is>
          <t>Yes</t>
        </is>
      </c>
      <c r="F567" s="931" t="inlineStr">
        <is>
          <t>Our light &amp; breathable Essential Cashmere U-Neck Thermal Underwear Top is made from a blend of TENCEL‚Ñ¢ Modal interwoven with cashmere &amp; cotton - its signature low U-neckline and 3/4 sleeves make it easy to conceal under lower cut tops! This item is final sale and cannot be returned or exchanged.</t>
        </is>
      </c>
      <c r="G567" s="932" t="inlineStr">
        <is>
          <t>• A luxuriously soft blend of TENCEL‚Ñ¢ Modal, cotton, and cashmere. • An elegant, elastic fit that comfortably layers under any other garment. • Size M is 19.8" in length. Perfect for staying cozy at home or out &amp; about in the cooler months!</t>
        </is>
      </c>
      <c r="H567" s="933" t="inlineStr">
        <is>
          <t>56% TENCEL‚Ñ¢ Modal, 28% cotton, 11% cashmere, 5% Spandex • Care instructions: For best results, hand wash with like colors in cold water</t>
        </is>
      </c>
      <c r="I567" s="934" t="inlineStr">
        <is>
          <t>2023 BTS Sale, 21FW 12.10, 22 Spring Sale, 22FW 40OFF, 23 Spring Sale, Category_Lounge/Thermal, Category_Lounge/Tops, Category_Underwear/Tops, Category_Underwear/Tops/Thermal, Collection_Essential, Collection_Essential/Lounge, Fabric_Lounge/Thermal, Fabric_Underwear/Thermal, hide-bis, HR-CX, LBD23, no-returns, Sale, Tariff Final Sale</t>
        </is>
      </c>
      <c r="J567" s="935" t="inlineStr">
        <is>
          <t>essential-cashmere-v-neck-thermal-underwear-top</t>
        </is>
      </c>
    </row>
    <row r="568" ht="56" customHeight="1" s="229">
      <c r="A568" s="880" t="inlineStr">
        <is>
          <t>Cherry Twin Cross High-Waist Brief</t>
        </is>
      </c>
      <c r="B568" s="881" t="inlineStr">
        <is>
          <t>Underwear</t>
        </is>
      </c>
      <c r="C568" s="882" t="n">
        <v>29</v>
      </c>
      <c r="D568" s="882" t="n">
        <v>17.4</v>
      </c>
      <c r="E568" s="937" t="inlineStr">
        <is>
          <t>Yes</t>
        </is>
      </c>
      <c r="F568" s="883" t="inlineStr">
        <is>
          <t>Just in time for the holidays, the Twin Cross High-Waist Brief brings a cherry-red pop to this collection's chic cross designs - a festive color &amp; comfortable brief you'll wear this season and year-round! This item is final sale and cannot be returned or exchanged.</t>
        </is>
      </c>
      <c r="G568" s="884" t="inlineStr">
        <is>
          <t>• Feminine &amp; stylish high-waist fit for maximum coverage. • Made using imported Italian fabrics - all-day flexibility &amp; comfort. • Finished with a 100% cotton lining.</t>
        </is>
      </c>
      <c r="H568" s="885" t="inlineStr">
        <is>
          <t>78% nylon, 22% Spandex • Lining: 69% nylon, 31% Spandex • 100% cotton gusset • Care instructions: Hand wash or machine wash on gentle cycle; lay flat to dry</t>
        </is>
      </c>
      <c r="I568" s="886" t="inlineStr">
        <is>
          <t>2023 BTS Sale, 21FW 12.10, 22FW 30OFF, 23 May Sale, Categeory_Underwear, Category_Lingerie, Category_Lingerie/Brief, Category_Lingerie/Brief/High Waist, Category_Underwear, Category_Underwear/Bottoms, Category_Underwear/Bottoms/Panties, Category_Underwear/Bottoms/Panties/High Waist, Collection_Holiday Red, Collection_Twin Cross, Collection_Valentine, hide-bis, HR-CX, no-returns, Pre-adjustment Size Brief, Sale, XS - XL Brief</t>
        </is>
      </c>
      <c r="J568" s="887" t="inlineStr">
        <is>
          <t>2021-twin-cross-high-waist-underwear</t>
        </is>
      </c>
    </row>
    <row r="569" ht="56" customHeight="1" s="229">
      <c r="A569" s="904" t="inlineStr">
        <is>
          <t>Active Wool Half Zip Top</t>
        </is>
      </c>
      <c r="B569" s="905" t="inlineStr">
        <is>
          <t>Active</t>
        </is>
      </c>
      <c r="C569" s="906" t="n">
        <v>155</v>
      </c>
      <c r="D569" s="906" t="n">
        <v>77.5</v>
      </c>
      <c r="E569" s="956" t="inlineStr">
        <is>
          <t>Yes</t>
        </is>
      </c>
      <c r="F569" s="907" t="inlineStr">
        <is>
          <t>The Active Wool Half-Zip Top is a versatile jacket tailored for warmth, performance, and casual elegance. Made from a durable wool blend, this modern top belongs in your daily wear rotation for years to come! This item is final sale and cannot be returned or exchanged.</t>
        </is>
      </c>
      <c r="G569" s="908" t="inlineStr">
        <is>
          <t>• Slim fit, high-performance half-zip jacket. Convenient thumb holes to keep sleeves in place! • Made from a durable wool blend with moisture-wicking properties. • Size M is 24.2" in length.</t>
        </is>
      </c>
      <c r="H569" s="909" t="inlineStr">
        <is>
          <t>60% wool, 34% polyester, 6% Spandex • Care instructions: For best results, hand wash with a light detergent in cold water</t>
        </is>
      </c>
      <c r="I569" s="910" t="inlineStr">
        <is>
          <t>2023 BTS Sale, 21FW 12.10, 22 Spring Sale, 22FW 40OFF, 23Oct Markdown, 25clearance, Activity_Active/Gym, Activity_Active/Outdoor, Category_Active, Category_Active/Outerwear, Category_Active/Sport Bra &amp; Top, Category_Active/Sweatshirts, Category_Active/Tops, Category_Daywear, Category_Daywear/Jacket, Category_Daywear/Top, Category_Lounge/Knitwear, Category_Lounge/Sweaters&amp;Outerwear, Category_Lounge/Sweatshirts, Fabric_Active/Cashmere &amp; Wool, hide-bis, HR-CX, LBD23, no-returns, Outerwear, Sale, Tariff Final Sale, US Inventory</t>
        </is>
      </c>
      <c r="J569" s="911" t="inlineStr">
        <is>
          <t>active-wool-half-zip-top</t>
        </is>
      </c>
    </row>
    <row r="570" ht="84" customHeight="1" s="229">
      <c r="A570" s="912" t="inlineStr">
        <is>
          <t>Boundless Wool Zip-Up Jacket</t>
        </is>
      </c>
      <c r="B570" s="913" t="inlineStr">
        <is>
          <t>Active</t>
        </is>
      </c>
      <c r="C570" s="914" t="n">
        <v>199</v>
      </c>
      <c r="D570" s="914" t="n">
        <v>139.3</v>
      </c>
      <c r="E570" s="955" t="inlineStr">
        <is>
          <t>Yes</t>
        </is>
      </c>
      <c r="F570" s="915" t="inlineStr">
        <is>
          <t>The Boundless Wool Zip-Up Jacket's chic proportions give it an interesting elevated casual style - tailored in a durable wool blend, you'll want to wear this chic, cozy piece every day this winter! This jacket is fitted at the waist but has an oversized fit on top. If you're in between sizes, we recommend ordering based on your bottom size. This item is final sale and cannot be returned or exchanged.</t>
        </is>
      </c>
      <c r="G570" s="916" t="inlineStr">
        <is>
          <t>• Comfortable oversized fit with convenient front pockets &amp; double zipper. • Made from a durable wool-synthetic fiber blend. • Simple, casual, &amp; chic - a casual style that fits any setting.</t>
        </is>
      </c>
      <c r="H570" s="917" t="inlineStr">
        <is>
          <t>39% polyester, 25% viscose, 24% wool, 12% nylon • Care instructions: For best results, hand wash with a light detergent in cold water</t>
        </is>
      </c>
      <c r="I570" s="918" t="inlineStr">
        <is>
          <t>21FW 12.10, 22 Spring Sale, Activity_Active/Ballet, Activity_Active/Ballet&amp;Dance, Activity_Active/Dance, Activity_Active/Gym, Activity_Active/Outdoor, Category_Active, Category_Active/Outerwear, Category_Active/Sport Bra &amp; Top, Category_Active/Sweatshirts, Category_Active/Tops, Category_Daywear, Category_Daywear/Jacket, Category_Daywear/Top, Category_Lounge, Category_Lounge/Cardigan&amp;Jacket, Category_Lounge/Knitwear, Category_Lounge/Outerwear, Category_Lounge/Sweaters&amp;Outerwear, Category_Lounge/Sweatshirts, Category_Lounge/Top, Collection_Boundless, Fabric_Active/Cashmere &amp; Wool, hide-bis, no-returns, Outerwear, Sale</t>
        </is>
      </c>
      <c r="J570" s="919" t="inlineStr">
        <is>
          <t>dance-wool-short-waist-coat</t>
        </is>
      </c>
    </row>
    <row r="571" ht="56" customHeight="1" s="229">
      <c r="A571" s="904" t="inlineStr">
        <is>
          <t>Boundless Wool Half-Zip Jacket</t>
        </is>
      </c>
      <c r="B571" s="905" t="inlineStr">
        <is>
          <t>Active</t>
        </is>
      </c>
      <c r="C571" s="906" t="n">
        <v>179</v>
      </c>
      <c r="D571" s="906" t="n">
        <v>125.3</v>
      </c>
      <c r="E571" s="956" t="inlineStr">
        <is>
          <t>Yes</t>
        </is>
      </c>
      <c r="F571" s="907" t="inlineStr">
        <is>
          <t>The Boundless Wool Half-Zip Jacket is the perfect half-zip jacket for everyday wear this winter. Tailored from a durable wool blend, this top is warm, comfortable, and effortlessly stylish! This item is final sale and cannot be returned or exchanged.</t>
        </is>
      </c>
      <c r="G571" s="908" t="inlineStr">
        <is>
          <t>• Comfortable oversized fit with convenient thumbholes &amp; front pocket! • Made from a durable wool-synthetic fiber blend. • Simple, casual, yet elegant - a style that fits any setting.</t>
        </is>
      </c>
      <c r="H571" s="909" t="inlineStr">
        <is>
          <t>39% polyester, 25% viscose, 24% wool, 12% nylon • Care instructions: For best results, hand wash with a light detergent in cold water</t>
        </is>
      </c>
      <c r="I571" s="910" t="inlineStr">
        <is>
          <t>21FW 12.10, 22 Spring Sale, Activity_Active/Gym, Activity_Active/Outdoor, Category_Active, Category_Active/Outerwear, Category_Active/Sport Bra &amp; Top, Category_Active/Sweatshirts, Category_Active/Tops, Category_Daywear, Category_Daywear/Top, Category_Lounge/Cardigan&amp;Jacket, Category_Lounge/Knitwear, Category_Lounge/Sweaters&amp;Outerwear, Category_Lounge/Sweatshirts, Collection_Boundless, Fabric_Active/Cashmere &amp; Wool, hide-bis, no-returns, Outerwear</t>
        </is>
      </c>
      <c r="J571" s="911" t="inlineStr">
        <is>
          <t>dance-wool-coat</t>
        </is>
      </c>
    </row>
    <row r="572" ht="42" customHeight="1" s="229">
      <c r="A572" s="896" t="inlineStr">
        <is>
          <t>Knitted Cozy Pants</t>
        </is>
      </c>
      <c r="B572" s="897" t="inlineStr">
        <is>
          <t>Loungewear</t>
        </is>
      </c>
      <c r="C572" s="898" t="n">
        <v>159</v>
      </c>
      <c r="D572" s="898" t="n">
        <v>63</v>
      </c>
      <c r="E572" s="957" t="inlineStr">
        <is>
          <t>Yes</t>
        </is>
      </c>
      <c r="F572" s="899" t="inlineStr">
        <is>
          <t>These elegant Knitted Cozy Pants are knit from 100% wool and designed to be both comfortable &amp; stylish - a chic option for staying warm and looking great all through the season! This item is final sale and cannot be returned or exchanged.</t>
        </is>
      </c>
      <c r="G572" s="900" t="inlineStr">
        <is>
          <t>• Knit from 100% wool for maximum warmth. • Tailored for a close fit with a chic flair in the legs. • Complete the look with our matching Knitted Cozy Cardigan !</t>
        </is>
      </c>
      <c r="H572" s="901" t="inlineStr">
        <is>
          <t>100% wool • Care instructions: Professional dry-cleaning recommended</t>
        </is>
      </c>
      <c r="I572" s="902" t="inlineStr">
        <is>
          <t>21FW 12.3, 22 Spring Sale, 22FW 40OFF, Category_Daywear, Category_Daywear/Pants, Category_Lounge, Category_Lounge/Bottoms, Category_Lounge/Pants, Collection_Holiday Red, Fabric_Lounge/Cashmere &amp; Wool, hide-bis, HR-CX, no-returns, Sale</t>
        </is>
      </c>
      <c r="J572" s="903" t="inlineStr">
        <is>
          <t>knitted-cozy-pants</t>
        </is>
      </c>
    </row>
    <row r="573" ht="42" customHeight="1" s="229">
      <c r="A573" s="928" t="inlineStr">
        <is>
          <t>Knitted Cozy Cardigan</t>
        </is>
      </c>
      <c r="B573" s="929" t="inlineStr">
        <is>
          <t>Loungewear</t>
        </is>
      </c>
      <c r="C573" s="930" t="n">
        <v>239</v>
      </c>
      <c r="D573" s="930" t="n">
        <v>95.59999999999999</v>
      </c>
      <c r="E573" s="936" t="inlineStr">
        <is>
          <t>Yes</t>
        </is>
      </c>
      <c r="F573" s="931" t="inlineStr">
        <is>
          <t>Bring festive flair to any gathering in this Knitted Cozy Cardigan! Made from a warm wool blend, this sweater is the perfect combination of cozy, stylish, and eye-catching. This item is final sale and cannot be returned or exchanged.</t>
        </is>
      </c>
      <c r="G573" s="932" t="inlineStr">
        <is>
          <t>• Knit from a blend of reflective fibers &amp; wool for added warmth. • Tailored for a loose, comfortable fit with attractive trim &amp; buttons. • Size M is 20.9" in length.</t>
        </is>
      </c>
      <c r="H573" s="933" t="inlineStr">
        <is>
          <t>49% nylon-polyamide film fiber, 26% acrylic, 25% wool • Care instructions: Professional dry-cleaning recommended</t>
        </is>
      </c>
      <c r="I573" s="934" t="inlineStr">
        <is>
          <t>2023 BTS Sale, 21FW 12.3, 22 Spring Sale, 22FW 40OFF, 23 Spring Sale, 23Oct Markdown, Category_Daywear, Category_Daywear/Top, Category_Lounge, Category_Lounge/Cardigan, Category_Lounge/Cardigan&amp;Jacket, Category_Lounge/Knitwear, Category_Lounge/Outerwear, Category_Lounge/Sweaters&amp;Outerwear, Category_Lounge/Top, Collection_Holiday Red, Collection_Knitted, Fabric_Lounge/Cashmere &amp; Wool, hide-bis, LBD23, no-returns, Outerwear, Sale</t>
        </is>
      </c>
      <c r="J573" s="935" t="inlineStr">
        <is>
          <t>knitted-cozy-cardigan</t>
        </is>
      </c>
    </row>
    <row r="574" ht="56" customHeight="1" s="229">
      <c r="A574" s="896" t="inlineStr">
        <is>
          <t>Knitted Tapered Joggers</t>
        </is>
      </c>
      <c r="B574" s="897" t="inlineStr">
        <is>
          <t>Loungewear</t>
        </is>
      </c>
      <c r="C574" s="898" t="n">
        <v>199</v>
      </c>
      <c r="D574" s="898" t="n">
        <v>99.5</v>
      </c>
      <c r="E574" s="957" t="inlineStr">
        <is>
          <t>Yes</t>
        </is>
      </c>
      <c r="F574" s="899" t="inlineStr">
        <is>
          <t>These Knitted Tapered Jogger s are the perfect comfortable, casual style to relax in at home and are also elegant enough to wear out! A versatile crossover between loungewear and casual wear. This item is final sale and cannot be returned or exchanged.</t>
        </is>
      </c>
      <c r="G574" s="900" t="inlineStr">
        <is>
          <t>• A loose-fitting, casual style that tapers at the ankle. • Made from a cozy wool blend and lined with fleece for comfort and warmth. • Size M is 41.7" in length. Features drawstring waistband and side pockets.</t>
        </is>
      </c>
      <c r="H574" s="901" t="inlineStr">
        <is>
          <t>45% acrylic, 44% wool, 10% nylon, 1% Spandex • Care instructions: For best results, professionally dry-clean. If cleaning at home, gently hand wash with a wool-safe detergent. Lay flat to dry</t>
        </is>
      </c>
      <c r="I574" s="902" t="inlineStr">
        <is>
          <t>2023 BTS Sale, 21FW 12.3, 22 Spring Sale, 22FW 40OFF, 23Oct Markdown, 25clearance, Activity_Active/Gym, Activity_Active/Jogging, Activity_Active/Outdoor, Activity_Active/Running, Category_Active/Joggers, Category_Daywear, Category_Daywear/Pants, Category_Lounge, Category_Lounge/Bottoms, Category_Lounge/Bottoms/Elastic, Category_Lounge/Knitwear, Category_Lounge/Pants, Category_Lounge/Sweaters&amp;Outerwear, Collection_Knitted, Fabric_Lounge/Cashmere &amp; Wool, hide-bis, HR-CX, LBD23, no-returns, Outerwear, Sale, Tariff Final Sale</t>
        </is>
      </c>
      <c r="J574" s="903" t="inlineStr">
        <is>
          <t>knitted-jogging-pants</t>
        </is>
      </c>
    </row>
    <row r="575" ht="56" customHeight="1" s="229">
      <c r="A575" s="928" t="inlineStr">
        <is>
          <t>Knitted Box Sweater</t>
        </is>
      </c>
      <c r="B575" s="929" t="inlineStr">
        <is>
          <t>Loungewear</t>
        </is>
      </c>
      <c r="C575" s="930" t="n">
        <v>239</v>
      </c>
      <c r="D575" s="930" t="n">
        <v>119.5</v>
      </c>
      <c r="E575" s="936" t="inlineStr">
        <is>
          <t>Yes</t>
        </is>
      </c>
      <c r="F575" s="931" t="inlineStr">
        <is>
          <t>The Knitted Box Sweater is a winter staple designed to keep you warm and comfortable indoors &amp; out. You'll love its easy loose fit, premium knit fabric blend, and carefree casual style! This item is final sale and cannot be returned or exchanged.</t>
        </is>
      </c>
      <c r="G575" s="932" t="inlineStr">
        <is>
          <t>• Made from a premium mohair wool blend in a classic knit texture. • Tailored with a classic crew neck, oversized drop shoulders, &amp; long loose sleeves. • Size M is 20.5" in length. Front hem is shorter than the back, making for easy tucking and a modern silhouette.</t>
        </is>
      </c>
      <c r="H575" s="933" t="inlineStr">
        <is>
          <t>58% nylon, 23% mohair, 19% wool • Care instructions: Professional dry-cleaning recommended</t>
        </is>
      </c>
      <c r="I575" s="934" t="inlineStr">
        <is>
          <t>2023 BTS Sale, 21FW 12.3, 22 Spring Sale, 22FW 40OFF, 23Oct Markdown, 25clearance, Category_Daywear, Category_Daywear/Top, Category_Lounge, Category_Lounge/Knitwear, Category_Lounge/Sweaters&amp;Outerwear, Category_Lounge/Tops, Collection_Knitted, Fabric_Lounge/Cashmere &amp; Wool, hide-bis, HR-CX, LBD23, no-returns, Outerwear, Sale, US Inventory</t>
        </is>
      </c>
      <c r="J575" s="935" t="inlineStr">
        <is>
          <t>knitted-box-sweater</t>
        </is>
      </c>
    </row>
    <row r="576" ht="42" customHeight="1" s="229">
      <c r="A576" s="896" t="inlineStr">
        <is>
          <t>Knitted Ribbed Crew Neck Sweater</t>
        </is>
      </c>
      <c r="B576" s="897" t="inlineStr">
        <is>
          <t>Loungewear</t>
        </is>
      </c>
      <c r="C576" s="898" t="n">
        <v>315</v>
      </c>
      <c r="D576" s="898" t="n">
        <v>157.5</v>
      </c>
      <c r="E576" s="957" t="inlineStr">
        <is>
          <t>Yes</t>
        </is>
      </c>
      <c r="F576" s="899" t="inlineStr">
        <is>
          <t>The Knitted Ribbed Crew Neck Sweater is an instant classic - made from a warm blend in a timeless ribbed style you'll love to wear for seasons to come. This item is FINAL SALE and cannot be returned or exchanged.</t>
        </is>
      </c>
      <c r="G576" s="900" t="inlineStr">
        <is>
          <t>• Knit from a premium mohair blend in a classic ribbed pattern. • Tailored in a long-sleeve drop shoulder design for a loose, comfortable fit. • Size M is 22" in length. A casual cozy style ideal for staying warm anywhere you go this winter!</t>
        </is>
      </c>
      <c r="H576" s="901" t="inlineStr">
        <is>
          <t>58% nylon, 23% mohair, 19% wool • Care instructions: Professional dry-cleaning recommended</t>
        </is>
      </c>
      <c r="I576" s="902" t="inlineStr">
        <is>
          <t>2023 BTS Sale, 21FW 12.3, 22 Spring Sale, 22FW 40OFF, 23Oct Markdown, 25clearance, Category_Daywear, Category_Daywear/Top, Category_Lounge, Category_Lounge/Knitwear, Category_Lounge/Sweaters&amp;Outerwear, Category_Lounge/Tops, Collection_Faye Wong, Collection_Knitted, Fabric_Lounge/Cashmere &amp; Wool, hide-bis, HR-CX, LBD23, no-returns, Outerwear, Sale</t>
        </is>
      </c>
      <c r="J576" s="903" t="inlineStr">
        <is>
          <t>knitted-ribbed-crew-neck-sweater</t>
        </is>
      </c>
    </row>
    <row r="577" ht="56" customHeight="1" s="229">
      <c r="A577" s="888" t="inlineStr">
        <is>
          <t>Pantie Pro Low Waist Period Brief</t>
        </is>
      </c>
      <c r="B577" s="889" t="inlineStr">
        <is>
          <t>Underwear</t>
        </is>
      </c>
      <c r="C577" s="890" t="n">
        <v>38</v>
      </c>
      <c r="D577" s="890" t="n">
        <v>22.8</v>
      </c>
      <c r="E577" s="985" t="inlineStr">
        <is>
          <t>Yes</t>
        </is>
      </c>
      <c r="F577" s="891" t="inlineStr">
        <is>
          <t>Our PANTIE PRO Low Waist Period Brief's secret is in its three-layer N√ºWA-TECH‚Ñ¢ design comprised of a quick-drying inner lining, a highly-absorbent middle layer, and a waterproof exterior to prevent leaking. This item is FINAL SALE and cannot be returned or exchanged.</t>
        </is>
      </c>
      <c r="G577" s="892" t="inlineStr">
        <is>
          <t>• Durable, elastic, &amp; highly absorbent for all-day, worry-free comfort ‚Äî great for replacing or reducing the use of disposable hygiene products. • Maximum absorbency of 12 mL of fluid (approximately 2 regular tampons). Leak-free low-waist cut for m oderate coverage and all-day confidence. • Available in three colors &amp; multiple sizes for the perfect fit.</t>
        </is>
      </c>
      <c r="H577" s="893" t="inlineStr">
        <is>
          <t>Shell: 95% nylon, 5% Spandex. Lining: 90% Polyester, 10% Spandex. Middle Layer: 91% nylon, 9% Spandex. Inner Layer: 89% nylon, 11% Spandex. • Care instructions: For best results, g ently handwash with like colors in cold water or machine wash cold using a laundry bag</t>
        </is>
      </c>
      <c r="I577" s="894" t="inlineStr">
        <is>
          <t>2023 BTS Sale, 21FW 12.3, 22SS 5.27, 23 Spring Sale, 23Oct Markdown, 25clearance, Category_Lingerie, Category_Lingerie/Brief, Category_Lingerie/Brief/Low Waist, Category_Underwear, Category_Underwear/Bottoms, Category_Underwear/Bottoms/Panties, Category_Underwear/Bottoms/Panties/Low Waist, Fabric_Underwear/Pantie Pro, Feature_Best Seller, hide-bis, HR-CX, LBD23, no-returns, Pre-adjustment Size Brief, Sale</t>
        </is>
      </c>
      <c r="J577" s="895" t="inlineStr">
        <is>
          <t>pantie-pro-low-waist-period-brief</t>
        </is>
      </c>
    </row>
    <row r="578" ht="42" customHeight="1" s="229">
      <c r="A578" s="928" t="inlineStr">
        <is>
          <t>Classic Cozy Fleece Pajama Pants</t>
        </is>
      </c>
      <c r="B578" s="929" t="inlineStr">
        <is>
          <t>Loungewear</t>
        </is>
      </c>
      <c r="C578" s="930" t="n">
        <v>38</v>
      </c>
      <c r="D578" s="930" t="n">
        <v>22.8</v>
      </c>
      <c r="E578" s="936" t="inlineStr">
        <is>
          <t>Yes</t>
        </is>
      </c>
      <c r="F578" s="931" t="inlineStr">
        <is>
          <t>The Classic Flannel Pajama Pants are the essence of timeless comfort - soft fabric, a comfortable fit, and a cute style &amp; colors that you never grow tired of! This item is final sale and cannot be returned or exchanged.</t>
        </is>
      </c>
      <c r="G578" s="932" t="inlineStr">
        <is>
          <t>• Thick, soft flannel material with a fluffy texture and rear pocket. • Comfortably loose fit. Elastic waistband &amp; cuffs. • Pair with the matching top for a full cozy set!</t>
        </is>
      </c>
      <c r="H578" s="933" t="inlineStr">
        <is>
          <t>outer: 100% polyester; elastic: 97% cotton, 3% Spandex • Care instructions: For best results, hand wash with like colors in cold water</t>
        </is>
      </c>
      <c r="I578" s="934" t="inlineStr">
        <is>
          <t>2022 Title Update, 21FW 12.3, 22 Spring Sale, 22FW 40OFF, Category_Lounge, Category_Lounge/Bottoms, Category_Lounge/Pajamas &amp; Robes, Category_Lounge/Pajamas &amp; Robes/Bottoms, Category_Lounge/Pants, Collection_Classic, Function_Lounge/Sleep, Function_Lounge/Sleep/Pajama, hide-bis, no-returns, Sale</t>
        </is>
      </c>
      <c r="J578" s="935" t="inlineStr">
        <is>
          <t>classic-flannel-pajama-pants</t>
        </is>
      </c>
    </row>
    <row r="579" ht="56" customHeight="1" s="229">
      <c r="A579" s="896" t="inlineStr">
        <is>
          <t>Classic Cozy Fleece Robe</t>
        </is>
      </c>
      <c r="B579" s="897" t="inlineStr">
        <is>
          <t>Loungewear</t>
        </is>
      </c>
      <c r="C579" s="898" t="n">
        <v>99</v>
      </c>
      <c r="D579" s="898" t="n">
        <v>59.4</v>
      </c>
      <c r="E579" s="957" t="inlineStr">
        <is>
          <t>Yes</t>
        </is>
      </c>
      <c r="F579" s="899" t="inlineStr">
        <is>
          <t>Who doesn't love the luxury of wrapping up in a warm robe after a hot bath at the end of a long day? This plush Classic Flannel Robe is exactly what you need to take your relaxation and self-care to that next level! This item is final sale and cannot be returned or exchanged.</t>
        </is>
      </c>
      <c r="G579" s="900" t="inlineStr">
        <is>
          <t>• Thick, velvety soft flannel with a fluffy texture. • Classic collared robe with hood &amp; cut for a comfortably loose fit. • Robe is 40.6" in length. Features functional side pockets, removable belt, &amp; chic collar accents.</t>
        </is>
      </c>
      <c r="H579" s="901" t="inlineStr">
        <is>
          <t>outer: 100% polyester • Care instructions: For best results, hand wash with like colors in cold water</t>
        </is>
      </c>
      <c r="I579" s="902" t="inlineStr">
        <is>
          <t>2022 Title Update, 2023 BTS Sale, 21FW 12.3, 22 Spring Sale, 22FW 40OFF, Category_Lounge, Category_Lounge/Cardigan&amp;Jacket, Category_Lounge/Jumpsuit, Category_Lounge/Pajamas &amp; Robes, Category_Lounge/Top, Collection_Classic, Function_Lounge/Sleep, Function_Lounge/Sleep/Robe, hide-bis, LBD23, no-returns, Sale</t>
        </is>
      </c>
      <c r="J579" s="903" t="inlineStr">
        <is>
          <t>classic-flannel-robe</t>
        </is>
      </c>
    </row>
    <row r="580" ht="42" customHeight="1" s="229">
      <c r="A580" s="928" t="inlineStr">
        <is>
          <t>Classic Cozy Fleece Pajama Top</t>
        </is>
      </c>
      <c r="B580" s="929" t="inlineStr">
        <is>
          <t>Loungewear</t>
        </is>
      </c>
      <c r="C580" s="930" t="n">
        <v>48</v>
      </c>
      <c r="D580" s="930" t="n">
        <v>28.8</v>
      </c>
      <c r="E580" s="936" t="inlineStr">
        <is>
          <t>Yes</t>
        </is>
      </c>
      <c r="F580" s="931" t="inlineStr">
        <is>
          <t>The Classic Flannel Pajama Top is the essence of timeless comfort - soft fabric, a comfortable fit, and a cute style &amp; colors that you never grow tired of! This item is final sale and cannot be returned or exchanged.</t>
        </is>
      </c>
      <c r="G580" s="932" t="inlineStr">
        <is>
          <t>• Thick, soft flannel material with a fluffy texture and chic decorative pocket. • Cropped, loose fit with a classic crewneck collar &amp; elastic cuffs. • Pair with the matching pants for a full cozy set!</t>
        </is>
      </c>
      <c r="H580" s="933" t="inlineStr">
        <is>
          <t>outer: 100% polyester; elastic: 97% cotton, 3% Spandex • Care instructions: For best results, hand wash with like colors in cold water</t>
        </is>
      </c>
      <c r="I580" s="934" t="inlineStr">
        <is>
          <t>2022 Title Update, 2023 BTS Sale, 21FW 12.3, 22 Spring Sale, 22FW 40OFF, 25clearance, Category_Lounge, Category_Lounge/Pajamas &amp; Robes, Category_Lounge/Pajamas &amp; Robes/Top, Category_Lounge/Tops, Collection_Classic, Function_Lounge/Sleep, Function_Lounge/Sleep/Pajama, hide-bis, HR-CX, LBD23, no-returns, Sale, Tariff Final Sale, US Inventory</t>
        </is>
      </c>
      <c r="J580" s="935" t="inlineStr">
        <is>
          <t>classic-flannel-pajama-top</t>
        </is>
      </c>
    </row>
    <row r="581" ht="70" customHeight="1" s="229">
      <c r="A581" s="896" t="inlineStr">
        <is>
          <t>Essential Cashmere Thermal Underwear Top</t>
        </is>
      </c>
      <c r="B581" s="897" t="inlineStr">
        <is>
          <t>Loungewear</t>
        </is>
      </c>
      <c r="C581" s="898" t="n">
        <v>99</v>
      </c>
      <c r="D581" s="898" t="n">
        <v>49.5</v>
      </c>
      <c r="E581" s="957" t="inlineStr">
        <is>
          <t>Yes</t>
        </is>
      </c>
      <c r="F581" s="899" t="inlineStr">
        <is>
          <t>Our Essential Cashmere Thermal Underwear Top is made of a high-quality, skin-friendly blend of TENCEL‚Ñ¢ Modal interwoven with cotton &amp; cashmere. Light and breathable, this top keeps you warm without getting stuffy - and its added cashmere makes it the softest thermal top among our entire catalog. This item is final sale and cannot be returned or exchanged.</t>
        </is>
      </c>
      <c r="G581" s="900" t="inlineStr">
        <is>
          <t>• A luxuriously soft blend of TENCEL‚Ñ¢ Modal, cotton, and cashmere. • An elegant, elastic fit that comfortably layers under any other garment. • Size M is 21.4" in length. Perfect for staying cozy at home or out &amp; about in the cooler months!</t>
        </is>
      </c>
      <c r="H581" s="901" t="inlineStr">
        <is>
          <t>56% TENCEL‚Ñ¢ Modal, 28% cotton, 11% cashmere, 5% Spandex • Care instructions: For best results, hand wash with like colors in cold water</t>
        </is>
      </c>
      <c r="I581" s="902" t="inlineStr">
        <is>
          <t>2023 BTS Sale, 21FW 12.3, 22 Spring Sale, 22FW 40OFF, 23 Spring Sale, 25clearance, Category_Lingerie, Category_Lounge, Category_Lounge/Thermal, Category_Lounge/Tops, Category_Underwear, Category_Underwear/Tops, Category_Underwear/Tops/Thermal, Collection_Essential, Collection_Essential/Lounge, Collection_Essential/Loungewear, Fabric_Lounge/Thermal, Fabric_Underwear/Thermal, hide-bis, HR-CX, LBD23, no-returns, Sale, Tariff Final Sale</t>
        </is>
      </c>
      <c r="J581" s="903" t="inlineStr">
        <is>
          <t>essential-cashmere-thermal-underwear-top</t>
        </is>
      </c>
    </row>
    <row r="582" ht="56" customHeight="1" s="229">
      <c r="A582" s="912" t="inlineStr">
        <is>
          <t>Urban Sport Casual Flared Pants</t>
        </is>
      </c>
      <c r="B582" s="913" t="inlineStr">
        <is>
          <t>Active</t>
        </is>
      </c>
      <c r="C582" s="914" t="n">
        <v>108</v>
      </c>
      <c r="D582" s="914" t="n">
        <v>54</v>
      </c>
      <c r="E582" s="955" t="inlineStr">
        <is>
          <t>Yes</t>
        </is>
      </c>
      <c r="F582" s="915" t="inlineStr">
        <is>
          <t>Add a touch of casual elegance to your daily wardrobe with these Urban Sport Casual Flared Pants - look chic for your workout routine and casually refined anywhere else in this comfortable everyday style. This item is FINAL SALE and cannot be returned or exchanged.</t>
        </is>
      </c>
      <c r="G582" s="916" t="inlineStr">
        <is>
          <t>• Made from a soft &amp; flexible fabric blend for a comfortable, flattering fit. • Features elastic drawstring waistband &amp; side pockets. • Size M is 40.2" in length. A relaxed style for light exercise, lounging at home, or daily errands.</t>
        </is>
      </c>
      <c r="H582" s="917" t="inlineStr">
        <is>
          <t>60% TENCEL Modal, 33% polyester, 7% Spandex • Care instructions: For best results, hand wash with like colors in cold water</t>
        </is>
      </c>
      <c r="I582" s="918" t="inlineStr">
        <is>
          <t>2023 BTS Sale, 21FW 12.3, 22 July Sale, 22FW 40OFF, 23Oct Markdown, 25clearance, Activity_Active/Jogging, Activity_Active/Outdoor, Category_Active, Category_Active/Joggers, Category_Active/Leggings &amp; Skirt, Category_Lounge, Category_Lounge/Bottoms, Category_Lounge/Bottoms/Elastic, Category_Lounge/Pants, Collection_Urban Sport, Fabric_Active/Tencel Modal, hide-bis, HR-CX, LBD23, no-returns, Sale, Tariff Final Sale</t>
        </is>
      </c>
      <c r="J582" s="919" t="inlineStr">
        <is>
          <t>urban-sport-casual-flared-pants</t>
        </is>
      </c>
    </row>
    <row r="583" ht="42" customHeight="1" s="229">
      <c r="A583" s="904" t="inlineStr">
        <is>
          <t>Urban Sport Casual Joggers</t>
        </is>
      </c>
      <c r="B583" s="905" t="inlineStr">
        <is>
          <t>Active</t>
        </is>
      </c>
      <c r="C583" s="906" t="n">
        <v>108</v>
      </c>
      <c r="D583" s="906" t="n">
        <v>54</v>
      </c>
      <c r="E583" s="956" t="inlineStr">
        <is>
          <t>Yes</t>
        </is>
      </c>
      <c r="F583" s="907" t="inlineStr">
        <is>
          <t>The Urban Sport Casual Joggers are easy-to-wear pants that are perfect for hitting the track, gym, or walking around town. This item is FINAL SALE and cannot be returned or exchanged.</t>
        </is>
      </c>
      <c r="G583" s="908" t="inlineStr">
        <is>
          <t>• Flexible, soft fabric blend and slimming fit for minimal resistance in movement. • Features elastic drawstring waistband &amp; functional side pockets. • Size M is 38.2" in length. A casual relaxed style for light exercise, lounging at home, or daily errands.</t>
        </is>
      </c>
      <c r="H583" s="909" t="inlineStr">
        <is>
          <t>60% TENCEL Modal, 33% polyester, 7% Spandex • Care instructions: For best results, hand wash with like colors in cold water</t>
        </is>
      </c>
      <c r="I583" s="910" t="inlineStr">
        <is>
          <t>2023 BTS Sale, 21FW 12.3, 22 July Sale, 22FW 40OFF, 23Oct Markdown, Activity_Active/Gym, Activity_Active/Jogging, Activity_Active/Outdoor, Activity_Active/Running, Category_Active, Category_Active/Joggers, Category_Active/Leggings &amp; Skirt, Category_Daywear, Category_Daywear/Pants, Category_Lounge, Category_Lounge/Bottoms, Category_Lounge/Bottoms/Elastic, Category_Lounge/Pants, Collection_Urban Sport, Fabric_Active/Tencel Modal, hide-bis, LBD23, no-returns, Sale</t>
        </is>
      </c>
      <c r="J583" s="911" t="inlineStr">
        <is>
          <t>urban-sport-casual-joggers</t>
        </is>
      </c>
    </row>
    <row r="584" ht="42" customHeight="1" s="229">
      <c r="A584" s="912" t="inlineStr">
        <is>
          <t>Urban Sport Casual Sweater</t>
        </is>
      </c>
      <c r="B584" s="913" t="inlineStr">
        <is>
          <t>Active</t>
        </is>
      </c>
      <c r="C584" s="914" t="n">
        <v>108</v>
      </c>
      <c r="D584" s="914" t="n">
        <v>54</v>
      </c>
      <c r="E584" s="955" t="inlineStr">
        <is>
          <t>Yes</t>
        </is>
      </c>
      <c r="F584" s="915" t="inlineStr">
        <is>
          <t>Our Urban Sport Casual Sweater is an understated, casual pullover hoodie made for your workout routine or easy daily wear. Made from an elastic blend for all-day comfort. This item is FINAL SALE and cannot be returned or exchanged.</t>
        </is>
      </c>
      <c r="G584" s="916" t="inlineStr">
        <is>
          <t>• Timeless pullover style with hood and thumbhole sleeves. • Made from a soft blend of TENCEL ‚Ñ¢ Modal and other fabrics. • Size M is 22.8" in length. Pairs perfectly with matching Casual Flared Pants!</t>
        </is>
      </c>
      <c r="H584" s="917" t="inlineStr">
        <is>
          <t>60% TENCEL ‚Ñ¢ Modal, 33% polyester, 7% Spandex • Care instructions: For best results, hand wash with like colors in cold water</t>
        </is>
      </c>
      <c r="I584" s="918" t="inlineStr">
        <is>
          <t>2023 BTS Sale, 21FW 12.3, 22 July Sale, 22FW 40OFF, 23Oct Markdown, Activity_Active/Gym, Activity_Active/Outdoor, Category_Active, Category_Active/Sport Bra &amp; Top, Category_Active/Sweatshirts, Category_Active/Tops, Category_Daywear, Category_Daywear/Top, Category_Lounge, Category_Lounge/Sweatshirts, Collection_Urban Sport, Fabric_Active/Tencel Modal, hide-bis, HR-CX, LBD23, no-returns, Sale, Tariff Final Sale</t>
        </is>
      </c>
      <c r="J584" s="919" t="inlineStr">
        <is>
          <t>urban-sport-casual-sweater</t>
        </is>
      </c>
    </row>
    <row r="585" ht="56" customHeight="1" s="229">
      <c r="A585" s="904" t="inlineStr">
        <is>
          <t>Urban Sport Two-Tone Sweatshirt</t>
        </is>
      </c>
      <c r="B585" s="905" t="inlineStr">
        <is>
          <t>Active</t>
        </is>
      </c>
      <c r="C585" s="906" t="n">
        <v>135</v>
      </c>
      <c r="D585" s="906" t="n">
        <v>67.5</v>
      </c>
      <c r="E585" s="956" t="inlineStr">
        <is>
          <t>Yes</t>
        </is>
      </c>
      <c r="F585" s="907" t="inlineStr">
        <is>
          <t>The Urban Sport Two-Tone Sweatshirt is a versatile style piece designed to make your dance or workout routine as comfortable &amp; unrestricted as possible - with the freedom to go anywhere else in it too! This item is final sale and cannot be returned or exchanged.</t>
        </is>
      </c>
      <c r="G585" s="908" t="inlineStr">
        <is>
          <t>• Tailored in a loose, oversized fit with medium-length sleeves to enable greater mobility in any activity. • Casual style that's easy to pair with leggings. • Size M is 30.2" in length. Made from a breathable blend of cotton, nylon, &amp; Spandex.</t>
        </is>
      </c>
      <c r="H585" s="909" t="inlineStr">
        <is>
          <t>78% cotton, 16% nylon, 6% Spandex • Care instructions: For best results, hand wash with like colors in cold water</t>
        </is>
      </c>
      <c r="I585" s="910" t="inlineStr">
        <is>
          <t>2023 BTS Sale, 21FW 12.3, 22 Spring Sale, 22FW 40OFF, 23Oct Markdown, Activity_Active/Gym, Activity_Active/Jogging, Activity_Active/Outdoor, Category_Active, Category_Active/Sport Bra &amp; Top, Category_Active/Sweatshirts, Category_Active/Tops, Category_Daywear, Category_Daywear/Top, Category_Lounge/Knitwear, Category_Lounge/Sweatshirts, Collection_Urban Sport, Fabric_Active/Cotton, hide-bis, HR-CX, LBD23, no-returns, Sale, Tariff Final Sale</t>
        </is>
      </c>
      <c r="J585" s="911" t="inlineStr">
        <is>
          <t>urban-sports-two-tone-sweatshirt</t>
        </is>
      </c>
    </row>
    <row r="586" ht="56" customHeight="1" s="229">
      <c r="A586" s="928" t="inlineStr">
        <is>
          <t>Cozy Mohair Shorts</t>
        </is>
      </c>
      <c r="B586" s="929" t="inlineStr">
        <is>
          <t>Loungewear</t>
        </is>
      </c>
      <c r="C586" s="930" t="n">
        <v>135</v>
      </c>
      <c r="D586" s="930" t="n">
        <v>67.5</v>
      </c>
      <c r="E586" s="936" t="inlineStr">
        <is>
          <t>Yes</t>
        </is>
      </c>
      <c r="F586" s="931" t="inlineStr">
        <is>
          <t>Take your comfort to the next level in these Cozy Mohair Shorts! Made from a warm mohair blend and available in two wintry colors, these are exactly what you need to bring a little luxurious comfort home for the season. This item is final sale and cannot be returned or exchanged.</t>
        </is>
      </c>
      <c r="G586" s="932" t="inlineStr">
        <is>
          <t>• Elastic drawstring waistband. • Knit from a premium warm mohair blend. • Size M is 15" in length. Pair with the matching sweater to complete the set!</t>
        </is>
      </c>
      <c r="H586" s="933" t="inlineStr">
        <is>
          <t>71% mohair, 29% nylon • Care instructions: Professional dry-cleaning recommended</t>
        </is>
      </c>
      <c r="I586" s="934" t="inlineStr">
        <is>
          <t>2023 BTS Sale, 21FW 11.19, 22 Spring Sale, 22FW 40OFF, 23Oct Markdown, 25clearance, Category_Daywear, Category_Lounge, Category_Lounge/Bottoms, Category_Lounge/Bottoms/Elastic, Category_Lounge/Knitwear, Category_Lounge/Sweaters&amp;Outerwear, Collection_Holiday Red, Collection_Knitted, hide-bis, HR-CX, LBD23, no-returns, Outerwear, Sale</t>
        </is>
      </c>
      <c r="J586" s="935" t="inlineStr">
        <is>
          <t>cozy-mohair-shorts</t>
        </is>
      </c>
    </row>
    <row r="587" ht="42" customHeight="1" s="229">
      <c r="A587" s="896" t="inlineStr">
        <is>
          <t>Cozy Plaid Texture Sweater</t>
        </is>
      </c>
      <c r="B587" s="897" t="inlineStr">
        <is>
          <t>Loungewear</t>
        </is>
      </c>
      <c r="C587" s="898" t="n">
        <v>255</v>
      </c>
      <c r="D587" s="898" t="n">
        <v>127.5</v>
      </c>
      <c r="E587" s="957" t="inlineStr">
        <is>
          <t>Yes</t>
        </is>
      </c>
      <c r="F587" s="899" t="inlineStr">
        <is>
          <t>Take your comfort to the next level in our Cozy Plaid Texture Sweater! Made from a warm mohair blend, this sweater provides relaxed, cozy comfort for the cooler months. This item is final sale and cannot be returned or exchanged.</t>
        </is>
      </c>
      <c r="G587" s="900" t="inlineStr">
        <is>
          <t>• Knit from a premium warm mohair blend with a plaid texture pattern. • Tailored in a long-sleeve drop shoulder design for a loose, comfortable fit. • Size M is 25.2" in length.</t>
        </is>
      </c>
      <c r="H587" s="901" t="inlineStr">
        <is>
          <t>71% mohair, 29% nylon • Care instructions: Professional dry-cleaning recommended</t>
        </is>
      </c>
      <c r="I587" s="902" t="inlineStr">
        <is>
          <t>2023 BTS Sale, 21FW 11.19, 22 Spring Sale, 22FW 40OFF, 23Oct Markdown, 25clearance, Category_Daywear, Category_Daywear/Top, Category_Lounge, Category_Lounge/Knitwear, Category_Lounge/Sweaters&amp;Outerwear, Category_Lounge/Tops, Collection_Holiday Red, Collection_Knitted, hide-bis, HR-CX, LBD23, no-returns, Outerwear, Sale</t>
        </is>
      </c>
      <c r="J587" s="903" t="inlineStr">
        <is>
          <t>cozy-plaid-texture-sweater</t>
        </is>
      </c>
    </row>
    <row r="588" ht="42" customHeight="1" s="229">
      <c r="A588" s="928" t="inlineStr">
        <is>
          <t>Boundless Fleece Sweatshirt</t>
        </is>
      </c>
      <c r="B588" s="929" t="inlineStr">
        <is>
          <t>Loungewear</t>
        </is>
      </c>
      <c r="C588" s="930" t="n">
        <v>98</v>
      </c>
      <c r="D588" s="930" t="n">
        <v>58.8</v>
      </c>
      <c r="E588" s="936" t="inlineStr">
        <is>
          <t>Yes</t>
        </is>
      </c>
      <c r="F588" s="931" t="inlineStr">
        <is>
          <t>This Boundless Fleece Sweatshirt is a cozy and versatile wardrobe staple. While it's perfect for relaxed days at home, it's also a team favorite for traveling. This item is final sale and cannot be returned or exchanged.</t>
        </is>
      </c>
      <c r="G588" s="932" t="inlineStr">
        <is>
          <t>• Relaxed fit with a c lassic crew-neck collar and fleece interior. • Made from a breathable poly-cotton blend for comfort &amp; durability. • Size M is 24.3" in length. A versatile top to keep you warm wherever you go this season.</t>
        </is>
      </c>
      <c r="H588" s="933" t="inlineStr">
        <is>
          <t>67% polyester, 28% cotton, 5% Spandex • Care instructions: For best results, hand wash with a light detergent in cold water</t>
        </is>
      </c>
      <c r="I588" s="934" t="inlineStr">
        <is>
          <t>2023 BTS Sale, 21FW 11.19, 22 Spring Sale, 22FW 40OFF, 25clearance, Category_Daywear, Category_Daywear/Top, Category_Lounge, Category_Lounge/Sweatshirts, Category_Lounge/Tops, Collection_Boundless, Fabric_Lounge/Cotton, hide-bis, HR-CX, LBD23, no-returns, Sale, US Inventory, US Main</t>
        </is>
      </c>
      <c r="J588" s="935" t="inlineStr">
        <is>
          <t>boundless-fleece-sweatshirt</t>
        </is>
      </c>
    </row>
    <row r="589" ht="42" customHeight="1" s="229">
      <c r="A589" s="880" t="inlineStr">
        <is>
          <t>Nude Shape Mid Waist Brief</t>
        </is>
      </c>
      <c r="B589" s="881" t="inlineStr">
        <is>
          <t>Underwear</t>
        </is>
      </c>
      <c r="C589" s="882" t="n">
        <v>49</v>
      </c>
      <c r="D589" s="882" t="n">
        <v>24.5</v>
      </c>
      <c r="E589" s="937" t="inlineStr">
        <is>
          <t>Yes</t>
        </is>
      </c>
      <c r="F589" s="883" t="inlineStr">
        <is>
          <t>The Nude Shape Mid Waist Brief: comfort, coverage, and just a touch of elegance to boost your confidence every time you put them on. This item is FINAL SALE and cannot be returned or exchanged.</t>
        </is>
      </c>
      <c r="G589" s="884" t="inlineStr">
        <is>
          <t>• Classic mid-waist cut - sits comfortably just below hips for moderate coverage. • Made from a flexible blend of Spandex and nylon with a 100% cotton lining. • Pair with the matching bra to complete the set!</t>
        </is>
      </c>
      <c r="H589" s="885" t="inlineStr">
        <is>
          <t>outer: 79% nylon, 21% Spandex; 75% nylon, 25% Spandex; lining: 100% cotton. • Care instructions: For best results, hand wash with a light detergent in cold water</t>
        </is>
      </c>
      <c r="I589" s="886" t="inlineStr">
        <is>
          <t>2023 BTS Sale, 21FW 11.19, 22 July Sale, 22FW 40OFF, 23Oct Markdown, Category_Lingerie, Category_Lingerie/Brief, Category_Lingerie/Brief/Mid Waist, Category_Underwear, Category_Underwear/Bottoms, Category_Underwear/Bottoms/Panties, Category_Underwear/Bottoms/Panties/Mid Waist, Category_Underwear/Bottoms/Panties/Shapewear, Collection_Nude, Collection_Valentine, hide-bis, HR-CX, LBD23, no-returns, Sale, Tariff Final Sale, XS - XL Brief</t>
        </is>
      </c>
      <c r="J589" s="887" t="inlineStr">
        <is>
          <t>nude-shape-mid-waist-brief</t>
        </is>
      </c>
    </row>
    <row r="590" ht="56" customHeight="1" s="229">
      <c r="A590" s="888" t="inlineStr">
        <is>
          <t>Nude Shape 1/2 Cup Bra</t>
        </is>
      </c>
      <c r="B590" s="889" t="inlineStr">
        <is>
          <t>Underwear</t>
        </is>
      </c>
      <c r="C590" s="890" t="n">
        <v>99</v>
      </c>
      <c r="D590" s="890" t="n">
        <v>49.5</v>
      </c>
      <c r="E590" s="985" t="inlineStr">
        <is>
          <t>Yes</t>
        </is>
      </c>
      <c r="F590" s="891" t="inlineStr">
        <is>
          <t>The Nude Shape 1/2 Cup Bra returns to the fundamentals of what makes a bra great: support, comfort, and beauty - the perfect choice for everyday wear that's easy to wear all day with an elegance that will boost your confidence every time you put it on. This item is FINAL SALE and cannot be returned or exchanged.</t>
        </is>
      </c>
      <c r="G590" s="892" t="inlineStr">
        <is>
          <t>• Back-clasp closure. Delicate fringe accents for a subtle touch of elegance. • Made from a skin-friendly, flexible blend of Spandex and nylon. • Non-removable chest padding with extra thickness at the bottom to provide a gentle push up effect.</t>
        </is>
      </c>
      <c r="H590" s="893" t="inlineStr">
        <is>
          <t>outer: 79% nylon, 21% Spandex; 75% nylon, 25% Spandex; straps: 70% nylon, 30% Spandex; cup lining: 100% polyester. • Care instructions: For best results, hand wash with a light detergent in cold water</t>
        </is>
      </c>
      <c r="I590" s="894" t="inlineStr">
        <is>
          <t>2023 BTS Sale, 21FW 11.19, 22 July Sale, 22FW 40OFF, 23Oct Markdown, 25clearance, Band + Cup Bra, Category_Bras/Medium Support, Category_Bras/Plunge, Category_Lingerie, Category_Lingerie/Wireless Bra, Category_Underwear, Category_Underwear/Tops, Category_Underwear/Tops/Wireless Bra, Category_Underwear/Tops/Wireless Bra/Demi, Category_Underwear/Tops/Wireless Bra/Soft-Cup, Collection_Essential/Lingerie, Collection_Nude, Collection_Valentine, hide-bis, HR-CX, LBD23, no-returns, Sale, Tariff Final Sale</t>
        </is>
      </c>
      <c r="J590" s="895" t="inlineStr">
        <is>
          <t>nude-shape-1-2-cup-bra</t>
        </is>
      </c>
    </row>
    <row r="591" ht="42" customHeight="1" s="229">
      <c r="A591" s="896" t="inlineStr">
        <is>
          <t>Boundless Fleece Sweatpants</t>
        </is>
      </c>
      <c r="B591" s="897" t="inlineStr">
        <is>
          <t>Loungewear</t>
        </is>
      </c>
      <c r="C591" s="898" t="n">
        <v>88</v>
      </c>
      <c r="D591" s="898" t="n">
        <v>52.8</v>
      </c>
      <c r="E591" s="957" t="inlineStr">
        <is>
          <t>Yes</t>
        </is>
      </c>
      <c r="F591" s="899" t="inlineStr">
        <is>
          <t>These Boundless Fleece Sweatpants are an elevated casual style lined in warm fleece that slightly taper to their elastic ankle for a slimming fit you'll wear at home &amp; beyond! This item is final sale and cannot be returned or exchanged.</t>
        </is>
      </c>
      <c r="G591" s="900" t="inlineStr">
        <is>
          <t>• Features front &amp; rear pockets with wide elastic waistband for extra comfort. • Made from a soft and warm fleece blend. • L oose-fitting, comfy, &amp; casual - a style you'll want to wear every day!</t>
        </is>
      </c>
      <c r="H591" s="901" t="inlineStr">
        <is>
          <t>67% polyester, 28% cotton, 5% Spandex • Care instructions: For best results, hand wash in cold water with like colors using a light detergent</t>
        </is>
      </c>
      <c r="I591" s="902" t="inlineStr">
        <is>
          <t>21FW 11.19, 22 Spring Sale, 22FW 40OFF, Category_Daywear, Category_Daywear/Pants, Category_Lounge, Category_Lounge/Bottoms, Category_Lounge/Pants, Collection_Boundless, Fabric_Lounge/Cotton, hide-bis, no-returns, Sale</t>
        </is>
      </c>
      <c r="J591" s="903" t="inlineStr">
        <is>
          <t>boundless-fleece-sweatpants</t>
        </is>
      </c>
    </row>
    <row r="592" ht="70" customHeight="1" s="229">
      <c r="A592" s="912" t="inlineStr">
        <is>
          <t>Urban Sport Stirrup Legging</t>
        </is>
      </c>
      <c r="B592" s="913" t="inlineStr">
        <is>
          <t>Active</t>
        </is>
      </c>
      <c r="C592" s="914" t="n">
        <v>108</v>
      </c>
      <c r="D592" s="914" t="n">
        <v>54</v>
      </c>
      <c r="E592" s="955" t="inlineStr">
        <is>
          <t>Yes</t>
        </is>
      </c>
      <c r="F592" s="915" t="inlineStr">
        <is>
          <t>Stand out at the gym or studio in the Urban Sport Stirrup Leggings! Made from a highly elastic Spandex blend, these are exactly what you need to support your flexibility and full range of dynamic motion without unnecessary shifting or riding up. Fit tip: if you're in between sizes, we recommend sizing up. This item is FINAL SALE and cannot be returned or exchanged.</t>
        </is>
      </c>
      <c r="G592" s="916" t="inlineStr">
        <is>
          <t>• Full-length with stirrups to keep everything in place while in motion! • Durable blend of Spandex and nylon - long lasting &amp; easy to care for. • High-waisted and extremely elastic for a close, comfortable fit. • Inseam is 30" for Size M.</t>
        </is>
      </c>
      <c r="H592" s="917" t="inlineStr">
        <is>
          <t>81% nylon, 19% Spandex • Care instructions: For best results, hand wash with like colors in cold water. Use light detergent; do not scrub or allow to soak for longer than 10 minutes</t>
        </is>
      </c>
      <c r="I592" s="918" t="inlineStr">
        <is>
          <t>2023 BTS Sale, 21FW 11.19, 22 July Sale, 22FW 40OFF, 23Oct Markdown, 25clearance, Activity_Active/Jogging, Activity_Active/Outdoor, Activity_Active/Pilates, Activity_Active/Running, Activity_Active/Yoga, Category_Active, Category_Active/Leggings, Category_Active/Leggings &amp; Skirt, Collection_Holiday Red, Collection_Urban Sport, Fabric_Active/2-Way-Stretchy, hide-bis, HR-CX, LBD23, no-returns, Sale, Tariff Final Sale</t>
        </is>
      </c>
      <c r="J592" s="919" t="inlineStr">
        <is>
          <t>high-waist-stirrup-legging</t>
        </is>
      </c>
    </row>
    <row r="593" ht="56" customHeight="1" s="229">
      <c r="A593" s="904" t="inlineStr">
        <is>
          <t>Ballet Extra High-Waist Leggings</t>
        </is>
      </c>
      <c r="B593" s="905" t="inlineStr">
        <is>
          <t>Active</t>
        </is>
      </c>
      <c r="C593" s="906" t="n">
        <v>98</v>
      </c>
      <c r="D593" s="906" t="n">
        <v>58.8</v>
      </c>
      <c r="E593" s="956" t="inlineStr">
        <is>
          <t>Yes</t>
        </is>
      </c>
      <c r="F593" s="907" t="inlineStr">
        <is>
          <t>Ultra high-waisted and cut for a slim, flattering fit, the Ballet Extra High-Waist Leggings are a great choice for your yoga, dance, or light exercise routine! Fit tip: if you're in between sizes, we recommend sizing up. This item is FINAL SALE and cannot be returned or exchanged.</t>
        </is>
      </c>
      <c r="G593" s="908" t="inlineStr">
        <is>
          <t>• Made from a moisture-wicking, highly elastic Spandex blend for a comfortable fit. • Features a s mall pocket hidden in the waistband! • A casual, functional style for the gym, studio, or anywhere else. • Inseam is 21.5" for Size M.</t>
        </is>
      </c>
      <c r="H593" s="909" t="inlineStr">
        <is>
          <t>81% nylon, 19% Spandex • Care instructions: For best results, hand wash with like colors in cold water. Use light detergent; do not scrub or allow to soak for longer than 10 minutes</t>
        </is>
      </c>
      <c r="I593" s="910" t="inlineStr">
        <is>
          <t>2023 BTS Sale, 21FW 11.19, 22 July Sale, 22FW 40OFF, Activity_Active/Ballet, Activity_Active/Ballet&amp;Dance, Activity_Active/Dance, Activity_Active/Gym, Activity_Active/Outdoor, Activity_Active/Pilates, Activity_Active/Yoga, Category_Active, Category_Active/Ballet, Category_Active/Leggings, Category_Active/Leggings &amp; Skirt, Fabric_Active/2-Way-Stretchy, hide-bis, LBD23, mousse, no-returns, Sale</t>
        </is>
      </c>
      <c r="J593" s="911" t="inlineStr">
        <is>
          <t>ballet-extra-high-waist-legging</t>
        </is>
      </c>
    </row>
    <row r="594" ht="56" customHeight="1" s="229">
      <c r="A594" s="912" t="inlineStr">
        <is>
          <t>Ballet Sports Joggers</t>
        </is>
      </c>
      <c r="B594" s="913" t="inlineStr">
        <is>
          <t>Active</t>
        </is>
      </c>
      <c r="C594" s="914" t="n">
        <v>108</v>
      </c>
      <c r="D594" s="914" t="n">
        <v>75.59999999999999</v>
      </c>
      <c r="E594" s="955" t="inlineStr">
        <is>
          <t>Yes</t>
        </is>
      </c>
      <c r="F594" s="915" t="inlineStr">
        <is>
          <t>Whether you're looking for something comfortable for your workout routine or a comfy-casual style to hang out in, look no further - these Ballet Sports Joggers are great for any day of the week! This item is final sale and cannot be returned or exchanged.</t>
        </is>
      </c>
      <c r="G594" s="916" t="inlineStr">
        <is>
          <t>• Soft, moisture-wicking fabric and a loose fit make these joggers a great choice for all-day comfort. • Elastic leg cuffs &amp; waistband. Features functional pockets on both sides! • A casual, relaxed style perfect for light exercise and lounging.</t>
        </is>
      </c>
      <c r="H594" s="917" t="inlineStr">
        <is>
          <t>Body materials: 81% nylon, 19% Spandex • Care instructions: H and wash with like colors in cold water</t>
        </is>
      </c>
      <c r="I594" s="918" t="inlineStr">
        <is>
          <t>21FW 11.19, 22 Spring Sale, Activity_Active/Ballet, Activity_Active/Ballet&amp;Dance, Activity_Active/Dance, Activity_Active/Gym, Activity_Active/Outdoor, Activity_Active/Running, Category_Active, Category_Active/Ballet, Category_Active/Joggers, Category_Active/Leggings, Category_Active/Leggings &amp; Skirt, Fabric_Active/2-Way-Stretchy, no-returns, Sale</t>
        </is>
      </c>
      <c r="J594" s="919" t="inlineStr">
        <is>
          <t>ballet-sports-jogger</t>
        </is>
      </c>
    </row>
    <row r="595" ht="56" customHeight="1" s="229">
      <c r="A595" s="904" t="inlineStr">
        <is>
          <t>Urban Sport Active Running Legging</t>
        </is>
      </c>
      <c r="B595" s="905" t="inlineStr">
        <is>
          <t>Active</t>
        </is>
      </c>
      <c r="C595" s="906" t="n">
        <v>108</v>
      </c>
      <c r="D595" s="906" t="n">
        <v>64.8</v>
      </c>
      <c r="E595" s="956" t="inlineStr">
        <is>
          <t>Yes</t>
        </is>
      </c>
      <c r="F595" s="907" t="inlineStr">
        <is>
          <t>NEIWAI ACTIVE Urban Sport Active Running Leggings: aerodynamic &amp; highly resilient, these leggings are designed to match your speed and endurance in every stride of your aerobic routine. Fit tip: if you're in between sizes, we recommend sizing up. This item is FINAL SALE and cannot be returned or exchanged.</t>
        </is>
      </c>
      <c r="G595" s="908" t="inlineStr">
        <is>
          <t>• Performance blend of Spandex and nylon. B reathable &amp; moisture-wicking. • High-waisted, ankle-length, and highly elastic for a close, comfortable fit. • Functional side pockets for phone, etc. A c asual for your workout or daily wear!</t>
        </is>
      </c>
      <c r="H595" s="909" t="inlineStr">
        <is>
          <t>69% nylon, 31% Spandex • Care instructions: For best results, hand wash with like colors in cold water. Use light detergent; do not scrub or allow to soak for longer than 10 minutes</t>
        </is>
      </c>
      <c r="I595" s="910" t="inlineStr">
        <is>
          <t>2023 BTS Sale, 21FW 11.19, 22 July Sale, 22FW 40OFF, 25clearance, Activity_Active/Gym, Activity_Active/Outdoor, Activity_Active/Running, Category_Active, Category_Active/Leggings, Category_Active/Leggings &amp; Skirt, Collection_Urban Sport, Fabric_Active/2-Way-Stretchy, hide-bis, HR-CX, LBD23, mousse, no-returns, Sale, Tariff Final Sale</t>
        </is>
      </c>
      <c r="J595" s="911" t="inlineStr">
        <is>
          <t>urban-sport-active-running-legging</t>
        </is>
      </c>
    </row>
    <row r="596" ht="56" customHeight="1" s="229">
      <c r="A596" s="880" t="inlineStr">
        <is>
          <t>Cherry Twin Cross Wide Strap Plunge Contour Bra</t>
        </is>
      </c>
      <c r="B596" s="881" t="inlineStr">
        <is>
          <t>Underwear</t>
        </is>
      </c>
      <c r="C596" s="882" t="n">
        <v>79</v>
      </c>
      <c r="D596" s="882" t="n">
        <v>47.4</v>
      </c>
      <c r="E596" s="937" t="inlineStr">
        <is>
          <t>Yes</t>
        </is>
      </c>
      <c r="F596" s="883" t="inlineStr">
        <is>
          <t>Our Twin Cross Wide-Strap Plunge Contour B ra is made from imported Italian fabrics and utilizes a patented Japanese cross-layer design to provide generous comfort, coverage, and support. This item is final sale and cannot be returned or exchanged.</t>
        </is>
      </c>
      <c r="G596" s="884" t="inlineStr">
        <is>
          <t>• Redesigned wide adjustable straps and back buckle offer improved support compared to previous version. • Completely wireless, with a keyhole design for better breathability and comfort. • Includes non-removable elastic &amp; padding.</t>
        </is>
      </c>
      <c r="H596" s="885" t="inlineStr">
        <is>
          <t>cups: 74% polyester; 26% Spandex; outer lining: 78% Nylon; 22% Spandex; inner lining: 69% nylon, 31% Spandex • Care instructions: Machine wash on gentle cycle or hand wash in cold water; lay flat to dry</t>
        </is>
      </c>
      <c r="I596" s="886" t="inlineStr">
        <is>
          <t>2023 BTS Sale, 21FW 11.19, 22FW 30OFF, 23 May Sale, 25clearance, Band + Cup Bra, Category_Bras/High Support, Category_Bras/Plunge, Category_Lingerie/Wireless Bra, Category_Underwear, Category_Underwear/Tops, Category_Underwear/Tops/Wireless Bra, Category_Underwear/Tops/Wireless Bra/Demi, Category_Underwear/Tops/Wireless Bra/Push-Up, Category_Underwear/Tops/Wireless Bra/Soft-Cup, Collection_Holiday Red, Collection_Twin Cross, Collection_Valentine, hide-bis, HR-CX, LBD23, no-returns, Sale, Tariff Final Sale</t>
        </is>
      </c>
      <c r="J596" s="887" t="inlineStr">
        <is>
          <t>2021-twin-cross-wide-strap-plunge-contour-bra</t>
        </is>
      </c>
    </row>
    <row r="597" ht="56" customHeight="1" s="229">
      <c r="A597" s="888" t="inlineStr">
        <is>
          <t>Cherry Twin Cross Plunge Contour Bra</t>
        </is>
      </c>
      <c r="B597" s="889" t="inlineStr">
        <is>
          <t>Underwear</t>
        </is>
      </c>
      <c r="C597" s="890" t="n">
        <v>69</v>
      </c>
      <c r="D597" s="890" t="n">
        <v>41.4</v>
      </c>
      <c r="E597" s="985" t="inlineStr">
        <is>
          <t>Yes</t>
        </is>
      </c>
      <c r="F597" s="891" t="inlineStr">
        <is>
          <t>The Twin Cross Plunge Contour B ra: imported Italian fabrics and a patented Japanese cross-layer design allow this luxurious bra to provide generous coverage, support, and comfort. This item is final sale and cannot be returned or exchanged.</t>
        </is>
      </c>
      <c r="G597" s="892" t="inlineStr">
        <is>
          <t>• Adjustable thin spaghetti straps and back buckle for a better fit. • Completely wireless, with a keyhole design for better breathability and comfort. • Includes non-removable elastic &amp; padding.</t>
        </is>
      </c>
      <c r="H597" s="893" t="inlineStr">
        <is>
          <t>78% nylon, 22% Spandex; lining: 69% nylon, 31% Spandex • Care instructions: Machine wash on gentle cycle or hand wash in cold water; lay flat to dry</t>
        </is>
      </c>
      <c r="I597" s="894" t="inlineStr">
        <is>
          <t>2023 BTS Sale, 21FW 11.19, 22FW 30OFF, 23 May Sale, Band + Cup Bra, Category_Bras/High Support, Category_Bras/Plunge, Category_Lingerie/Wireless Bra, Category_Underwear, Category_Underwear/Tops, Category_Underwear/Tops/Wireless Bra, Category_Underwear/Tops/Wireless Bra/Demi, Category_Underwear/Tops/Wireless Bra/Push-Up, Category_Underwear/Tops/Wireless Bra/Soft-Cup, Collection_Holiday Red, Collection_Twin Cross, Collection_Valentine, hide-bis, HR-CX, LBD23, no-returns, Sale</t>
        </is>
      </c>
      <c r="J597" s="895" t="inlineStr">
        <is>
          <t>2021-twin-cross-plunge-contour-bra</t>
        </is>
      </c>
    </row>
    <row r="598" ht="56" customHeight="1" s="229">
      <c r="A598" s="880" t="inlineStr">
        <is>
          <t>Self Silk Triangle Bra</t>
        </is>
      </c>
      <c r="B598" s="881" t="inlineStr">
        <is>
          <t>Underwear</t>
        </is>
      </c>
      <c r="C598" s="882" t="n">
        <v>89</v>
      </c>
      <c r="D598" s="882" t="n">
        <v>53.4</v>
      </c>
      <c r="E598" s="937" t="inlineStr">
        <is>
          <t>Yes</t>
        </is>
      </c>
      <c r="F598" s="883" t="inlineStr">
        <is>
          <t>It's your big day, and the last thing you want is to be uncomfortable. The Self Silk Triangle Bra is made from luxurious soft mulberry silk &amp; designed to fit comfortably under nearly any dress or formalwear - all while accentuating your natural beauty. This item is FINAL SALE and cannot be returned or exchanged.</t>
        </is>
      </c>
      <c r="G598" s="884" t="inlineStr">
        <is>
          <t>• Pure white, doesn't show through light-colored shirts or dresses. • Adjustable straps and removable cups. • Classic triangle bridal bra. Back-clasp closure.</t>
        </is>
      </c>
      <c r="H598" s="885" t="inlineStr">
        <is>
          <t>shell: 90% mulberry silk, 10% Spandex; lining: 55% nylon, 45% Spandex • Care instructions: For best results, hand wash in cold water with a neutral detergent separately from other garments</t>
        </is>
      </c>
      <c r="I598" s="886" t="inlineStr">
        <is>
          <t>2023 BTS Sale, 21FW 11.12, 23 May Sale, 23Oct Markdown, 23SS A3 Size Bra, 25clearance, Category_Bras/Bralettes, Category_Bras/Light Support, Category_Bras/Plunge, Category_Lingerie, Category_Underwear, Category_Underwear/Tops, Category_Underwear/Tops/Wireless Bra, Category_Underwear/Tops/Wireless Bra/Triangle, Collection_Pure Beauty, Collection_Self Silk/Lingerie, Collection_Valentine, Fabric_Underwear/Silk, hide-bis, HR-CX, LBD23, no-returns, Sale, Tariff Final Sale</t>
        </is>
      </c>
      <c r="J598" s="887" t="inlineStr">
        <is>
          <t>self-silk-triangle-bra</t>
        </is>
      </c>
    </row>
    <row r="599" ht="56" customHeight="1" s="229">
      <c r="A599" s="912" t="inlineStr">
        <is>
          <t>Urban Sport M-Back Sports Bra</t>
        </is>
      </c>
      <c r="B599" s="913" t="inlineStr">
        <is>
          <t>Active</t>
        </is>
      </c>
      <c r="C599" s="914" t="n">
        <v>79</v>
      </c>
      <c r="D599" s="914" t="n">
        <v>47.4</v>
      </c>
      <c r="E599" s="955" t="inlineStr">
        <is>
          <t>Yes</t>
        </is>
      </c>
      <c r="F599" s="915" t="inlineStr">
        <is>
          <t>The Urban Sport M-Back Sports Bra offers medium support for a range of activities, making it a great versatile sports bra for an athlete of any skill level. Fit tip: if you're in between sizes, we recommend sizing up. This item is FINAL SALE and cannot be returned or exchanged.</t>
        </is>
      </c>
      <c r="G599" s="916" t="inlineStr">
        <is>
          <t>• Durable Spandex blend - comfortable &amp; flexible! • Wide shoulder straps &amp; M-shaped back straps for a secure fit that doesn't inhibit your freedom of movement. • Medium bust support with light padding &amp; plenty of coverage</t>
        </is>
      </c>
      <c r="H599" s="917" t="inlineStr">
        <is>
          <t>Body: 69% nylon, 31% Spandex; Lining: 88% nylon, 12% Spandex; Cups: 100% polyester • Care instructions: Gently hand wash (do not twist or knead vigorously) with like colors in cold water</t>
        </is>
      </c>
      <c r="I599" s="918" t="inlineStr">
        <is>
          <t>2023 BTS Sale, 21FW 11.12, 22 July Sale, 22FW 40OFF, Activity_Active/Gym, Activity_Active/Jogging, Activity_Active/Outdoor, Activity_Active/Pilates, Activity_Active/Running, Activity_Active/Yoga, B1 Sports Bra, Category_Active, Category_Active/Sport Bra &amp; Top, Category_Active/Sports Bra, Collection_Urban Sport, Fabric_Active/2-Way-Stretchy, hide-bis, LBD23, mousse, Need Sample, no-returns, Sale</t>
        </is>
      </c>
      <c r="J599" s="919" t="inlineStr">
        <is>
          <t>urban-sport-m-back-sports-bra</t>
        </is>
      </c>
    </row>
    <row r="600" ht="42" customHeight="1" s="229">
      <c r="A600" s="938" t="inlineStr">
        <is>
          <t>Men's Modal Boxer Brief</t>
        </is>
      </c>
      <c r="B600" s="939" t="inlineStr">
        <is>
          <t>Men</t>
        </is>
      </c>
      <c r="C600" s="940" t="n">
        <v>19</v>
      </c>
      <c r="D600" s="940" t="n">
        <v>13.3</v>
      </c>
      <c r="E600" s="941" t="inlineStr">
        <is>
          <t>Yes</t>
        </is>
      </c>
      <c r="F600" s="942" t="inlineStr">
        <is>
          <t>Our take on classic men's boxer briefs, made from a luxurious, silk-smooth blend of TENCEL ‚Ñ¢ Modal &amp; Lycra ¬© Spandex for all-day comfort and mobility. This item is final sale and cannot be returned or exchanged.</t>
        </is>
      </c>
      <c r="G600" s="943" t="inlineStr">
        <is>
          <t>• Extremely flexible for a fit so comfortable you'll hardly feel they're there. • No friction or lines, even in jeans or thin slacks. • Made from a durable, antibacterial blend of T ENCEL ‚Ñ¢ Modal &amp; Spandex ‚Äî keeps skin clean, healthy, and comfortable, wear after wear and wash after wash.</t>
        </is>
      </c>
      <c r="H600" s="944" t="inlineStr">
        <is>
          <t>Fabric: 90% TENCEL ‚Ñ¢ Modal, 10% Lycra ¬© Spandex • Care instructions: Machine wash in cold water, hang to dry</t>
        </is>
      </c>
      <c r="I600" s="945" t="inlineStr">
        <is>
          <t>2023 BTS Sale, 21FW 11.12, 22FW 30OFF, Category_Men, Category_Men/Underwear, Collection_Holiday Red, Collection_Men, Collection_Valentine, hide-bis, no-returns, Sale</t>
        </is>
      </c>
      <c r="J600" s="946" t="inlineStr">
        <is>
          <t>mens-modal-boxer-brief</t>
        </is>
      </c>
    </row>
    <row r="601" ht="56" customHeight="1" s="229">
      <c r="A601" s="888" t="inlineStr">
        <is>
          <t>Essential Modal Mid-Waist Brief</t>
        </is>
      </c>
      <c r="B601" s="889" t="inlineStr">
        <is>
          <t>Underwear</t>
        </is>
      </c>
      <c r="C601" s="890" t="n">
        <v>15</v>
      </c>
      <c r="D601" s="890" t="n">
        <v>10.5</v>
      </c>
      <c r="E601" s="985" t="inlineStr">
        <is>
          <t>Yes</t>
        </is>
      </c>
      <c r="F601" s="891" t="inlineStr">
        <is>
          <t>Once you try one of these classic Modal Mid-Waist Briefs, you won't be able to get enough. Made from a luxurious blend of TENCEL ‚Ñ¢ Modal &amp; Lycra ¬© Spandex for all-day comfort and mobility. This item is FINAL SALE and cannot be returned or exchanged.</t>
        </is>
      </c>
      <c r="G601" s="892" t="inlineStr">
        <is>
          <t>• Extremely soft &amp; flexible - you'll hardly feel they're there at all. • No rubbing, riding up, or visible lines, even under leggings. • Silky-smooth blend of premium TENCEL ‚Ñ¢ Modal &amp; Spandex. 100% cotton lining.</t>
        </is>
      </c>
      <c r="H601" s="893" t="inlineStr">
        <is>
          <t>Fabric: 90% TENCEL ‚Ñ¢ Modal, 10% Lycra ¬© Spandex; lining: 100% cotton • Care instructions: Machine wash in cold water, hang to dry</t>
        </is>
      </c>
      <c r="I601" s="894" t="inlineStr">
        <is>
          <t>21FW 11.12, 25clearance, 25Jan Sale, Category_Lingerie, Category_Lingerie/Brief, Category_Lingerie/Brief/Mid Waist, Category_Underwear, Category_Underwear/Bottoms, Category_Underwear/Bottoms/Panties, Category_Underwear/Bottoms/Panties/Mid Waist, Collection_Essential, Collection_Essential/Lingerie, Collection_Holiday Red, Fabric_Lingerie/Tencel, Fabric_Underwear/Lycra, Fabric_Underwear/Tencel Modal, HR-CX, LBD23, no-returns, Sale, Tariff Final Sale, XS - XL Brief</t>
        </is>
      </c>
      <c r="J601" s="895" t="inlineStr">
        <is>
          <t>modal-mid-waist-brief</t>
        </is>
      </c>
    </row>
    <row r="602" ht="56" customHeight="1" s="229">
      <c r="A602" s="880" t="inlineStr">
        <is>
          <t>Nude Shape High Waist Sculpture Shorts</t>
        </is>
      </c>
      <c r="B602" s="881" t="inlineStr">
        <is>
          <t>Underwear</t>
        </is>
      </c>
      <c r="C602" s="882" t="n">
        <v>69</v>
      </c>
      <c r="D602" s="882" t="n">
        <v>41.4</v>
      </c>
      <c r="E602" s="937" t="inlineStr">
        <is>
          <t>Yes</t>
        </is>
      </c>
      <c r="F602" s="883" t="inlineStr">
        <is>
          <t>O ur Nude Shape High Waist Sculpture Shorts are tailored with double-layered fabric for support and durability. C lose-fitting to reduce friction against your clothes, these briefs are a smoothing essential. This item is FINAL SALE and cannot be returned or exchanged.</t>
        </is>
      </c>
      <c r="G602" s="884" t="inlineStr">
        <is>
          <t>• Ultra high-waist for a secure, comfortable fit &amp; maximum coverage. • Soft, flexible nylon-Spandex blend with a 100% cotton lining. • Two easy-to-match colors &amp; multiple sizes for a variety of body types.</t>
        </is>
      </c>
      <c r="H602" s="885" t="inlineStr">
        <is>
          <t>front: 79% nylon, 21% Spandex; 75% nylon, 25% Spandex; rear: 75% nylon, 25% Spandex; 70% nylon, 30% Spandex ; lining: 100% cotton. • Care instructions: For best results, g ently handwash with like colors in cold water. Soak no longer than 5 minutes</t>
        </is>
      </c>
      <c r="I602" s="886" t="inlineStr">
        <is>
          <t>2023 BTS Sale, 21FW 11.12, 23 Spring Sale, 23Oct Markdown, 25clearance, Category_Lingerie, Category_Lingerie/Brief, Category_Lingerie/Brief/High Waist, Category_Underwear, Category_Underwear/Bottoms, Category_Underwear/Bottoms/Panties, Category_Underwear/Bottoms/Panties/High Waist, Category_Underwear/Bottoms/Panties/Shapewear, Collection_Nude, Collection_Valentine, Fabric_Underwear/Body Shaper, hide-bis, HR-CX, LBD23, no-returns, Sale, Tariff Final Sale, US Inventory, XS - XL Brief</t>
        </is>
      </c>
      <c r="J602" s="887" t="inlineStr">
        <is>
          <t>nude-shape-high-waist-sculpture-shorts</t>
        </is>
      </c>
    </row>
    <row r="603" ht="56" customHeight="1" s="229">
      <c r="A603" s="904" t="inlineStr">
        <is>
          <t>Urban Sport Wool Leggings</t>
        </is>
      </c>
      <c r="B603" s="905" t="inlineStr">
        <is>
          <t>Active</t>
        </is>
      </c>
      <c r="C603" s="906" t="n">
        <v>138</v>
      </c>
      <c r="D603" s="906" t="n">
        <v>55.2</v>
      </c>
      <c r="E603" s="956" t="inlineStr">
        <is>
          <t>Yes</t>
        </is>
      </c>
      <c r="F603" s="907" t="inlineStr">
        <is>
          <t>Comfortable Wool Leggings made from a durable, easy-to-care-for wool blend. Perfect for staying warm during winter workouts or for casual daily wear! Fit tip: If you're in between sizes, we recommend sizing up. This item is final sale and cannot be returned or exchanged.</t>
        </is>
      </c>
      <c r="G603" s="908" t="inlineStr">
        <is>
          <t>• Cozy wool-blend - warm, breathable, &amp; with just enough Spandex to stay elastic. • Slim fit, casual style with a visually appealing stripe. • Functional pockets on both sides for carrying small items! • Inseam is 30" for Size M.</t>
        </is>
      </c>
      <c r="H603" s="909" t="inlineStr">
        <is>
          <t>60% wool, 34% polyester, 6% Spandex • Care instructions: For best results, use a neutral detergent to hand wash with like colors. Do not soak longer than 5 minutes</t>
        </is>
      </c>
      <c r="I603" s="910" t="inlineStr">
        <is>
          <t>2023 BTS Sale, 21FW 11.12, 22 Spring Sale, 22FW 40OFF, 23Oct Markdown, 25DEC 60OFF, 25DEC SALE, Activity_Active/Jogging, Activity_Active/Outdoor, Category_Active, Category_Active/Leggings, Category_Active/Leggings &amp; Skirt, Collection_Urban Sport, Fabric_Active/Cashmere &amp; Wool, hide-bis, HR-CX, LBD23, no-returns, Sale, Tariff Final Sale</t>
        </is>
      </c>
      <c r="J603" s="911" t="inlineStr">
        <is>
          <t>wool-leggings</t>
        </is>
      </c>
    </row>
    <row r="604" ht="56" customHeight="1" s="229">
      <c r="A604" s="912" t="inlineStr">
        <is>
          <t>Ballet Longsleeve T-shirt</t>
        </is>
      </c>
      <c r="B604" s="913" t="inlineStr">
        <is>
          <t>Active</t>
        </is>
      </c>
      <c r="C604" s="914" t="n">
        <v>99</v>
      </c>
      <c r="D604" s="914" t="n">
        <v>39.6</v>
      </c>
      <c r="E604" s="955" t="inlineStr">
        <is>
          <t>Yes</t>
        </is>
      </c>
      <c r="F604" s="915" t="inlineStr">
        <is>
          <t>Let every motion flow as easy as your breath in this Ballet Longsleeve T-Shirt - tailored in a flexible, breathable blend to support &amp; enhance your movement as you go through your dance or workout routine. This item is FINAL SALE and cannot be returned or exchanged.</t>
        </is>
      </c>
      <c r="G604" s="916" t="inlineStr">
        <is>
          <t>• Slim-fitting, comfortable, yet minimalist-chic design. • Durable, breathable nylon-Spandex fabric blend. • Size M is 21.1" in length. Designed for dance, yoga, and other light activities.</t>
        </is>
      </c>
      <c r="H604" s="917" t="inlineStr">
        <is>
          <t>81% nylon, 19% Spandex • Care instructions: For best results, hand wash with like colors in cold water</t>
        </is>
      </c>
      <c r="I604" s="918" t="inlineStr">
        <is>
          <t>2023 BTS Sale, 21FW 11.12, 22 July Sale, 22FW 40OFF, 23 May Sale, 25DEC 60OFF, 25DEC SALE, Activity_Active/Ballet, Activity_Active/Ballet&amp;Dance, Activity_Active/Dance, Activity_Active/Gym, Activity_Active/Outdoor, Category_Active, Category_Active/Ballet, Category_Active/Sport Bra &amp; Top, Category_Active/Tops, Collection_Holiday Red, Fabric_Active/2-Way-Stretchy, hide-bis, HR-CX, LBD23, mousse, no-returns, Sale, Tariff Final Sale</t>
        </is>
      </c>
      <c r="J604" s="919" t="inlineStr">
        <is>
          <t>ballet-longsleeve-t-shirt</t>
        </is>
      </c>
    </row>
    <row r="605" ht="42" customHeight="1" s="229">
      <c r="A605" s="947" t="inlineStr">
        <is>
          <t>Women's Socks (3-Pack)</t>
        </is>
      </c>
      <c r="B605" s="948" t="inlineStr">
        <is>
          <t>Accessories</t>
        </is>
      </c>
      <c r="C605" s="949" t="n">
        <v>25</v>
      </c>
      <c r="D605" s="949" t="n">
        <v>17.5</v>
      </c>
      <c r="E605" s="986" t="inlineStr">
        <is>
          <t>Yes</t>
        </is>
      </c>
      <c r="F605" s="950" t="inlineStr">
        <is>
          <t>Classic Women's Socks - a daily necessity made perfect for keeping your feet warm &amp; cozy in cooler weather. This three-pack arrives in a cute box, making it the perfect gift!</t>
        </is>
      </c>
      <c r="G605" s="951" t="inlineStr">
        <is>
          <t>• Soft, crew-length micro terry socks. • Made from a durable, breathable blend of cotton, nylon, &amp; Spandex. • Each pack includes three pairs of socks in easy-to-match colors.</t>
        </is>
      </c>
      <c r="H605" s="952" t="inlineStr">
        <is>
          <t>79% cotton, 19% nylon, 2% Spandex • Care Instructions: For best results, hand wash in cold water</t>
        </is>
      </c>
      <c r="I605" s="953" t="inlineStr">
        <is>
          <t>11.5 Drafts, 21FW 11.5, 22 Spring Sale, 25clearance, Bundle Collection, Category_Lounge, Category_Lounge/Accessories, Collection_Chocolate, Collection_Essential, Collection_Essential/Lingerie, Collection_Essential/Lounge, Collection_Essential/Loungewear, Feature_Best Seller, hide-bis, HR-CX, LBD23, Tariff Final Sale, Womens Socks</t>
        </is>
      </c>
      <c r="J605" s="954" t="inlineStr">
        <is>
          <t>womens-socks-3-pack</t>
        </is>
      </c>
    </row>
    <row r="606" ht="56" customHeight="1" s="229">
      <c r="A606" s="888" t="inlineStr">
        <is>
          <t>Essential Extra Warm Thermal Underwear Pants</t>
        </is>
      </c>
      <c r="B606" s="889" t="inlineStr">
        <is>
          <t>Underwear</t>
        </is>
      </c>
      <c r="C606" s="890" t="n">
        <v>49</v>
      </c>
      <c r="D606" s="890" t="n">
        <v>34.3</v>
      </c>
      <c r="E606" s="985" t="inlineStr">
        <is>
          <t>Yes</t>
        </is>
      </c>
      <c r="F606" s="891" t="inlineStr">
        <is>
          <t>Our warmest thermal underwear yet, the Essential Extra Warm Thermal Underwear Pants are made from an imported Japanese fabric-blend designed to keep you warm &amp; cozy on even the coldest nights! This item is final sale and cannot be returned or exchanged.</t>
        </is>
      </c>
      <c r="G606" s="892" t="inlineStr">
        <is>
          <t>• Made from a soft, lightweight blend engineered to lock in your natural body heat without getting too warm. • Ankle-length &amp; slim-fitting - wear under other outfits for warmth &amp; comfort everywhere you go! • Pair with the matching top to complete the set.</t>
        </is>
      </c>
      <c r="H606" s="893" t="inlineStr">
        <is>
          <t>36% acrylic, 28% cotton, 25% Modal, 11% Spandex • Care instructions: For best results, hand wash with like colors in cold water (do not allow to soak longer than 5 minutes)</t>
        </is>
      </c>
      <c r="I606" s="894" t="inlineStr">
        <is>
          <t>11.5 Drafts, 21FW 11.5, 22 Spring Sale, Category_Lingerie, Category_Lounge, Category_Lounge/Bottoms, Category_Lounge/Pants, Category_Lounge/Thermal, Category_Underwear, Category_Underwear/Bottoms, Category_Underwear/Bottoms/Thermal, Collection_Essential, Collection_Essential/Lingerie, Collection_Essential/Lounge, Collection_Essential/Loungewear, Fabric_Lounge/Thermal, Fabric_Underwear/Tencel Modal, Fabric_Underwear/Thermal, hide-bis, no-returns, Sale</t>
        </is>
      </c>
      <c r="J606" s="895" t="inlineStr">
        <is>
          <t>essential-extra-warm-thermal-underwear-pants</t>
        </is>
      </c>
    </row>
    <row r="607" ht="56" customHeight="1" s="229">
      <c r="A607" s="880" t="inlineStr">
        <is>
          <t>Essential Extra Warm Thermal Underwear Top</t>
        </is>
      </c>
      <c r="B607" s="881" t="inlineStr">
        <is>
          <t>Underwear</t>
        </is>
      </c>
      <c r="C607" s="882" t="n">
        <v>59</v>
      </c>
      <c r="D607" s="882" t="n">
        <v>41.3</v>
      </c>
      <c r="E607" s="937" t="inlineStr">
        <is>
          <t>Yes</t>
        </is>
      </c>
      <c r="F607" s="883" t="inlineStr">
        <is>
          <t>Our warmest thermal underwear yet, the Essential Extra Warm Thermal Underwear Top is made from an imported Japanese fabric-blend designed to keep you warm &amp; cozy on even the coldest nights! This item is final sale and cannot be returned or exchanged.</t>
        </is>
      </c>
      <c r="G607" s="884" t="inlineStr">
        <is>
          <t>• Made from a soft, lightweight blend engineered to lock in your natural body heat without getting too warm. • Round neck, extra-elastic around the shoulders, &amp; slim-fitting - wear under other outfits for warmth &amp; comfort everywhere you go! • Pair with the matching pants to complete the set.</t>
        </is>
      </c>
      <c r="H607" s="885" t="inlineStr">
        <is>
          <t>36% acrylic, 28% cotton, 25% Modal, 11% Spandex • Care instructions: For best results, hand wash with like colors in cold water (do not allow to soak longer than 5 minutes)</t>
        </is>
      </c>
      <c r="I607" s="886" t="inlineStr">
        <is>
          <t>11.5 Drafts, 21FW 11.5, 22 Spring Sale, Category_Lounge, Category_Lounge/Thermal, Category_Lounge/Top, Category_Underwear/Tops, Category_Underwear/Tops/Thermal, Collection_Essential, Collection_Essential/Lingerie, Collection_Essential/Lounge, Collection_Essential/Loungewear, Fabric_Lounge/Thermal, Fabric_Underwear/Thermal, no-returns, Sale</t>
        </is>
      </c>
      <c r="J607" s="887" t="inlineStr">
        <is>
          <t>essential-extra-warm-thermal-underwear-top</t>
        </is>
      </c>
    </row>
    <row r="608" ht="42" customHeight="1" s="229">
      <c r="A608" s="928" t="inlineStr">
        <is>
          <t>Boundless Knitted Sweatpants</t>
        </is>
      </c>
      <c r="B608" s="929" t="inlineStr">
        <is>
          <t>Loungewear</t>
        </is>
      </c>
      <c r="C608" s="930" t="n">
        <v>98</v>
      </c>
      <c r="D608" s="930" t="n">
        <v>49</v>
      </c>
      <c r="E608" s="936" t="inlineStr">
        <is>
          <t>Yes</t>
        </is>
      </c>
      <c r="F608" s="931" t="inlineStr">
        <is>
          <t>Our Boundless Knitted Sweatpants are an elevated casual style that you'll wear at home &amp; beyond for seasons to come. This item is final sale and cannot be returned or exchanged.</t>
        </is>
      </c>
      <c r="G608" s="932" t="inlineStr">
        <is>
          <t>• Elastic waistband. Features front &amp; rear pockets! • Made from a skin-friendly, easy-care cotton-Spandex blend. • Size M is 41.5" in length.</t>
        </is>
      </c>
      <c r="H608" s="933" t="inlineStr">
        <is>
          <t>72% cotton, 21% polyester, 7% Spandex • Care instructions: For best results, hand wash in cold water with like colors using a light detergent</t>
        </is>
      </c>
      <c r="I608" s="934" t="inlineStr">
        <is>
          <t>11.5 Drafts, 2023 BTS Sale, 21FW 11.5, 22 Spring Sale, 22FW 40OFF, 23Oct Markdown, Category_Daywear, Category_Daywear/Pants, Category_Lounge, Category_Lounge/Bottoms, Category_Lounge/Bottoms/Elastic, Category_Lounge/Pants, Collection_Boundless, Collection_Chocolate, Fabric_Lounge/Cotton, Function_Lounge/Essential/Pants, hide-bis, HR-CX, LBD23, no-returns, Sale</t>
        </is>
      </c>
      <c r="J608" s="935" t="inlineStr">
        <is>
          <t>boundless-knitted-sweat-pants</t>
        </is>
      </c>
    </row>
    <row r="609" ht="56" customHeight="1" s="229">
      <c r="A609" s="904" t="inlineStr">
        <is>
          <t>Ballet Wool Jacket</t>
        </is>
      </c>
      <c r="B609" s="905" t="inlineStr">
        <is>
          <t>Active</t>
        </is>
      </c>
      <c r="C609" s="906" t="n">
        <v>159</v>
      </c>
      <c r="D609" s="906" t="n">
        <v>63.6</v>
      </c>
      <c r="E609" s="956" t="inlineStr">
        <is>
          <t>Yes</t>
        </is>
      </c>
      <c r="F609" s="907" t="inlineStr">
        <is>
          <t>The Ballet Wool Jacket is a versatile zip-up hoodie designed for comfort during your workouts, travel, and daily wear. Made from a durable wool blend, this is a modern look that will never go out of style. This item is final sale and cannot be returned or exchanged.</t>
        </is>
      </c>
      <c r="G609" s="908" t="inlineStr">
        <is>
          <t>• Relaxed fit, high-performance zip-up hoodie featuring side pockets. • Made from a durable wool-synthetic fiber blend. • Size M is 23.8" in length.</t>
        </is>
      </c>
      <c r="H609" s="909" t="inlineStr">
        <is>
          <t>46% wool, 35% polyester, 19% viscose • Care instructions: For best results, hand wash with a light detergent in cold water</t>
        </is>
      </c>
      <c r="I609" s="910" t="inlineStr">
        <is>
          <t>11.5 Drafts, 2023 BTS Sale, 21FW 11.5, 22 Spring Sale, 22FW 40OFF, 23Oct Markdown, 25DEC 60OFF, 25DEC SALE, Activity_Active/Ballet, Activity_Active/Ballet&amp;Dance, Activity_Active/Dance, Activity_Active/Gym, Activity_Active/Outdoor, Activity_Active/Running, Category_Active, Category_Active/Ballet, Category_Active/Outerwear, Category_Active/Tops, Category_Daywear, Category_Daywear/Jacket, Category_Lounge/Knitwear, Category_Lounge/Sweaters&amp;Outerwear, Fabric_Active/Cashmere &amp; Wool, hide-bis, HR-CX, LBD23, no-returns, Outerwear, Sale, Tariff Final Sale</t>
        </is>
      </c>
      <c r="J609" s="911" t="inlineStr">
        <is>
          <t>ballet-wool-jacket</t>
        </is>
      </c>
    </row>
    <row r="610" ht="42" customHeight="1" s="229">
      <c r="A610" s="896" t="inlineStr">
        <is>
          <t>Classic Embroidered Pajama Shirt 2.0</t>
        </is>
      </c>
      <c r="B610" s="897" t="inlineStr">
        <is>
          <t>Loungewear</t>
        </is>
      </c>
      <c r="C610" s="898" t="n">
        <v>58</v>
      </c>
      <c r="D610" s="898" t="n">
        <v>40.6</v>
      </c>
      <c r="E610" s="957" t="inlineStr">
        <is>
          <t>Yes</t>
        </is>
      </c>
      <c r="F610" s="899" t="inlineStr">
        <is>
          <t>The Classic E mbroidered Pajama Top is a timeless style that provides cool comfort for a restful night's sleep. This item is final sale and cannot be returned or exchanged.</t>
        </is>
      </c>
      <c r="G610" s="900" t="inlineStr">
        <is>
          <t>• Elegant button-up style with French lapels, pocket, &amp; embroidered piping, tailored for a loose &amp; comfortable fit. • Available in fun new colors &amp; the same Refresh Cotton¬Æ blend that made the original set so popular: crisp, breathable cotton &amp; soft, silky-smooth Modal. • Size M is 25.6" in length.</t>
        </is>
      </c>
      <c r="H610" s="901" t="inlineStr">
        <is>
          <t>53% cotton, 47% TENCEL‚Ñ¢ Modal • Care instructions: Machine wash on gentle cycle. Tumble dry on low heat or hang to dry</t>
        </is>
      </c>
      <c r="I610" s="902" t="inlineStr">
        <is>
          <t>11.5 Drafts, 2022 Title Update, 2023 BTS Sale, 21FW 11.5, 22FW 30OFF, Category_Lounge, Category_Lounge/Pajamas &amp; Robes, Category_Lounge/Pajamas &amp; Robes/Top, Category_Lounge/Tops, Collection_Classic, Fabric_Lounge/Cotton, Function_Lounge/Sleep/Pajama, hide-bis, LBD23, no-returns, Sale</t>
        </is>
      </c>
      <c r="J610" s="903" t="inlineStr">
        <is>
          <t>classic-embroidered-pajama-shirt-v2</t>
        </is>
      </c>
    </row>
    <row r="611" ht="56" customHeight="1" s="229">
      <c r="A611" s="928" t="inlineStr">
        <is>
          <t>Classic Embroidered Pajama Pants 2.0</t>
        </is>
      </c>
      <c r="B611" s="929" t="inlineStr">
        <is>
          <t>Loungewear</t>
        </is>
      </c>
      <c r="C611" s="930" t="n">
        <v>48</v>
      </c>
      <c r="D611" s="930" t="n">
        <v>33.6</v>
      </c>
      <c r="E611" s="936" t="inlineStr">
        <is>
          <t>Yes</t>
        </is>
      </c>
      <c r="F611" s="931" t="inlineStr">
        <is>
          <t>The Classic Embroidered Pajama Pants blend cotton &amp; Modal for PJ pants as cozy as they are cute! This timeless set is exactly what you need to go to sleep in style and wake up feeling refreshed every night. This item is final sale and cannot be returned or exchanged.</t>
        </is>
      </c>
      <c r="G611" s="932" t="inlineStr">
        <is>
          <t>• Elastic drawstring waist, side pockets, &amp; embroidered piping, tailored for a loose &amp; comfortable fit. • Available in fun new colors &amp; the same Refresh Cotton¬Æ blend that made the original set so popular: crisp, breathable cotton &amp; soft, silky-smooth Modal. • Pair with the matching top to complete the set!</t>
        </is>
      </c>
      <c r="H611" s="933" t="inlineStr">
        <is>
          <t>53% cotton, 47% TENCEL‚Ñ¢ Modal • Care instructions: Machine wash on gentle cycle. Tumble dry on low heat or hang to dry</t>
        </is>
      </c>
      <c r="I611" s="934" t="inlineStr">
        <is>
          <t>11.5 Drafts, 2022 Title Update, 21FW 11.5, 22FW 30OFF, Category_Lounge, Category_Lounge/Bottoms, Category_Lounge/Pajamas &amp; Robes, Category_Lounge/Pajamas &amp; Robes/Bottoms, Category_Lounge/Pajamas &amp; Robes/Top, Category_Lounge/Pants, Collection_Classic, Collection_Valentine, Fabric_Lounge/Cotton, Function_Lounge/Essential/Pants, Function_Lounge/Sleep, Function_Lounge/Sleep/Pajama, hide-bis, no-returns, Sale</t>
        </is>
      </c>
      <c r="J611" s="935" t="inlineStr">
        <is>
          <t>classic-embroidered-pajama-pants-v2</t>
        </is>
      </c>
    </row>
    <row r="612" ht="42" customHeight="1" s="229">
      <c r="A612" s="896" t="inlineStr">
        <is>
          <t>Classic Embroidered Pajama Dress</t>
        </is>
      </c>
      <c r="B612" s="897" t="inlineStr">
        <is>
          <t>Loungewear</t>
        </is>
      </c>
      <c r="C612" s="898" t="n">
        <v>68</v>
      </c>
      <c r="D612" s="898" t="n">
        <v>68</v>
      </c>
      <c r="E612" s="897" t="inlineStr"/>
      <c r="F612" s="899" t="inlineStr">
        <is>
          <t>The Classic Embroidered Pajama Dress blends cotton &amp; Modal for a button-up nightdress that's as chic as it is cozy - go to sleep in style every night and wake up refreshed every morning!</t>
        </is>
      </c>
      <c r="G612" s="900" t="inlineStr">
        <is>
          <t>• Elegant button-up style with French lapels, pocket, &amp; embroidered piping. Extra-long and tailored for a loose &amp; comfortable fit. • Available in two classic colors. Made from our popular Refresh Cotton¬Æ blend: crisp, breathable cotton &amp; soft, silky-smooth Modal. • Wear it how you like: pair with socks, stockings, or nothing at all!</t>
        </is>
      </c>
      <c r="H612" s="901" t="inlineStr">
        <is>
          <t>53% cotton, 47% TENCEL‚Ñ¢ Modal • Care instructions: Machine wash on gentle cycle. Tumble dry on low heat or hang to dry</t>
        </is>
      </c>
      <c r="I612" s="902" t="inlineStr">
        <is>
          <t>11.5 Drafts, 2022 Title Update, 21FW 11.5, Category_Lounge, Category_Lounge/Dress, Category_Lounge/Dress&amp;Jumpsuit, Category_Lounge/Pajamas &amp; Robes, Category_Lounge/Pajamas &amp; Robes/Dress, Collection_Classic, Collection_Valentine, Fabric_Lounge/Cotton, Function_Lounge/Sleep, Function_Lounge/Sleep/Nightdress</t>
        </is>
      </c>
      <c r="J612" s="903" t="inlineStr">
        <is>
          <t>classic-embroidered-pajamas-dress</t>
        </is>
      </c>
    </row>
    <row r="613" ht="42" customHeight="1" s="229">
      <c r="A613" s="928" t="inlineStr">
        <is>
          <t>Plushy Pajama Pants</t>
        </is>
      </c>
      <c r="B613" s="929" t="inlineStr">
        <is>
          <t>Loungewear</t>
        </is>
      </c>
      <c r="C613" s="930" t="n">
        <v>49</v>
      </c>
      <c r="D613" s="930" t="n">
        <v>29.4</v>
      </c>
      <c r="E613" s="936" t="inlineStr">
        <is>
          <t>Yes</t>
        </is>
      </c>
      <c r="F613" s="931" t="inlineStr">
        <is>
          <t>These Plushy Pajama Pants are a warm &amp; cozy fleece-textured piece tailored to be one half of the coziest new PJ set in your wardrobe! This item is FINAL SALE and cannot be returned or exchanged.</t>
        </is>
      </c>
      <c r="G613" s="932" t="inlineStr">
        <is>
          <t>• Elastic waistband and ankle cuffs. Rear pocket. • Warm faux fleece to keep you cozy in bed &amp; around your home. • Size M is 38.9" in length. Pair with the matching top for a loose-fitting cozy set you won't want to change out of!</t>
        </is>
      </c>
      <c r="H613" s="933" t="inlineStr">
        <is>
          <t>outer: 100% polyester • Care instructions: For best results, hand wash with like colors in cold water</t>
        </is>
      </c>
      <c r="I613" s="934" t="inlineStr">
        <is>
          <t>11.5 Drafts, 2023 BTS Sale, 21FW 11.5, 22 July Sale, 22FW 40OFF, 25clearance, Category_Lounge, Category_Lounge/Bottoms, Category_Lounge/Bottoms/Elastic, Category_Lounge/Pajamas &amp; Robes, Category_Lounge/Pajamas &amp; Robes/Bottoms, Category_Lounge/Pajamas &amp; Robes/Top, Category_Lounge/Pants, Collection_Classic, Function_Lounge/Sleep, Function_Lounge/Sleep/Pajama, hide-bis, HR-CX, LBD23, no-returns, Sale, Spring Palette, Tariff Final Sale, US Inventory</t>
        </is>
      </c>
      <c r="J613" s="935" t="inlineStr">
        <is>
          <t>plushy-pajama-pants</t>
        </is>
      </c>
    </row>
    <row r="614" ht="42" customHeight="1" s="229">
      <c r="A614" s="896" t="inlineStr">
        <is>
          <t>Plushy Pajama Top</t>
        </is>
      </c>
      <c r="B614" s="897" t="inlineStr">
        <is>
          <t>Loungewear</t>
        </is>
      </c>
      <c r="C614" s="898" t="n">
        <v>69</v>
      </c>
      <c r="D614" s="898" t="n">
        <v>41.4</v>
      </c>
      <c r="E614" s="957" t="inlineStr">
        <is>
          <t>Yes</t>
        </is>
      </c>
      <c r="F614" s="899" t="inlineStr">
        <is>
          <t>This Plushy Pajama Top is a fleece-textured piece tailored to keep you warm &amp; stylish at the same time - wear it as part of its PJ set or even as a casual shirt! This item is FINAL SALE and cannot be returned or exchanged.</t>
        </is>
      </c>
      <c r="G614" s="900" t="inlineStr">
        <is>
          <t>• Classic button-up style with collar &amp; pockets - could even be worn out on errands or other casual settings! • Warm faux fleece lined with cotton for added skin comfort. • Size M is 26.7" in length. Pair with the matching pants for a loose-fitting cozy set you won't want to change out of!</t>
        </is>
      </c>
      <c r="H614" s="901" t="inlineStr">
        <is>
          <t>outer: 100% polyester; lining: 100% cotton • Care instructions: For best results, hand wash with like colors in cold water</t>
        </is>
      </c>
      <c r="I614" s="902" t="inlineStr">
        <is>
          <t>11.5 Drafts, 2023 BTS Sale, 21FW 11.5, 22 July Sale, 22FW 40OFF, 25clearance, Category_Lounge, Category_Lounge/Pajamas &amp; Robes, Category_Lounge/Pajamas &amp; Robes/Top, Category_Lounge/Tops, Collection_Classic, Function_Lounge/Sleep, Function_Lounge/Sleep/Pajama, hide-bis, HR-CX, LBD23, no-returns, Sale, Spring Palette, Tariff Final Sale</t>
        </is>
      </c>
      <c r="J614" s="903" t="inlineStr">
        <is>
          <t>plushy-pajama-top</t>
        </is>
      </c>
    </row>
    <row r="615" ht="42" customHeight="1" s="229">
      <c r="A615" s="912" t="inlineStr">
        <is>
          <t>Ballet Knitted Wool Turtleneck Pullover</t>
        </is>
      </c>
      <c r="B615" s="913" t="inlineStr">
        <is>
          <t>Active</t>
        </is>
      </c>
      <c r="C615" s="914" t="n">
        <v>155</v>
      </c>
      <c r="D615" s="914" t="n">
        <v>62</v>
      </c>
      <c r="E615" s="955" t="inlineStr">
        <is>
          <t>Yes</t>
        </is>
      </c>
      <c r="F615" s="915" t="inlineStr">
        <is>
          <t>A modern style made for a life lived in motion - this Wool Turtleneck Pullover is made from a durable wool blend to keep you comfortable anywhere &amp; everywhere you go. This item is FINAL SALE and cannot be returned or exchanged.</t>
        </is>
      </c>
      <c r="G615" s="916" t="inlineStr">
        <is>
          <t>• A relaxed fit for anyone, with a high turtleneck drawstring collar. • Made from a durable synthetic-wool blend. Side slits for added mobility. • Size M is 26.6" in length.</t>
        </is>
      </c>
      <c r="H615" s="917" t="inlineStr">
        <is>
          <t>46% wool, 35% polyester, 19% viscose • Care instructions: For best results, hand wash with a light detergent in cold water</t>
        </is>
      </c>
      <c r="I615" s="918" t="inlineStr">
        <is>
          <t>2023 BTS Sale, 21FW 10.29, 22 Spring Sale, 23 Spring Sale, 23Oct Markdown, 25DEC 60OFF, 25DEC SALE, Activity_Active/Ballet, Activity_Active/Ballet&amp;Dance, Activity_Active/Dance, Activity_Active/Gym, Activity_Active/Outdoor, Category_Active, Category_Active/Ballet, Category_Daywear, Category_Daywear/Top, Category_Lounge, Category_Lounge/Knitwear, Category_Lounge/Sweaters&amp;Outerwear, Category_Lounge/Tops, Collection_Knitted, Fabric_Active/Cashmere &amp; Wool, hide-bis, HR-CX, LBD23, no-returns, Outerwear, Sale, Tariff Final Sale</t>
        </is>
      </c>
      <c r="J615" s="919" t="inlineStr">
        <is>
          <t>wool-turtleneck-pullover</t>
        </is>
      </c>
    </row>
    <row r="616" ht="42" customHeight="1" s="229">
      <c r="A616" s="904" t="inlineStr">
        <is>
          <t>Ballet Knitted Wool Hoodie</t>
        </is>
      </c>
      <c r="B616" s="905" t="inlineStr">
        <is>
          <t>Active</t>
        </is>
      </c>
      <c r="C616" s="906" t="n">
        <v>135</v>
      </c>
      <c r="D616" s="906" t="n">
        <v>54</v>
      </c>
      <c r="E616" s="956" t="inlineStr">
        <is>
          <t>Yes</t>
        </is>
      </c>
      <c r="F616" s="907" t="inlineStr">
        <is>
          <t>A cozy Wool Hoodie cut to match the rhythm of your day &amp; keep you warm and casually stylish no matter what time of year it is. This item is final sale and cannot be returned or exchanged.</t>
        </is>
      </c>
      <c r="G616" s="908" t="inlineStr">
        <is>
          <t>• Timeless pullover with cropped length and wide sleeves for a modern silhouette. • Made from a warm wool blend. Drawstring hood attached. • Size M is 18.7" in length.</t>
        </is>
      </c>
      <c r="H616" s="909" t="inlineStr">
        <is>
          <t>46% wool, 35% polyester, 19% viscose • Care instructions: For best results, hand wash with like colors in cold water</t>
        </is>
      </c>
      <c r="I616" s="910" t="inlineStr">
        <is>
          <t>2023 BTS Sale, 21FW 10.29, 22 Spring Sale, 22FW 40OFF, 23Oct Markdown, 25DEC 60OFF, 25DEC SALE, Activity_Active/Ballet, Activity_Active/Ballet&amp;Dance, Activity_Active/Gym, Activity_Active/Outdoor, Category_Active, Category_Active/Ballet, Category_Daywear, Category_Daywear/Top, Category_Lounge, Category_Lounge/Knitwear, Category_Lounge/Sweaters&amp;Outerwear, Category_Lounge/Tops, Collection_Knitted, Fabric_Active/Cashmere &amp; Wool, hide-bis, HR-CX, LBD23, no-returns, Outerwear, Sale, Tariff Final Sale</t>
        </is>
      </c>
      <c r="J616" s="911" t="inlineStr">
        <is>
          <t>wool-hoodie</t>
        </is>
      </c>
    </row>
    <row r="617" ht="42" customHeight="1" s="229">
      <c r="A617" s="958" t="inlineStr">
        <is>
          <t>Classic Men's Pajama Pants</t>
        </is>
      </c>
      <c r="B617" s="959" t="inlineStr">
        <is>
          <t>Men</t>
        </is>
      </c>
      <c r="C617" s="960" t="n">
        <v>88</v>
      </c>
      <c r="D617" s="960" t="n">
        <v>52.8</v>
      </c>
      <c r="E617" s="984" t="inlineStr">
        <is>
          <t>Yes</t>
        </is>
      </c>
      <c r="F617" s="961" t="inlineStr">
        <is>
          <t>Made from the same TENCEL‚Ñ¢ Modal blend as our popular Classic Cozy women's PJ set for better rest and deeper sleep! Pair with the matching top to complete the set. This item is final sale and cannot be returned or exchanged.</t>
        </is>
      </c>
      <c r="G617" s="962" t="inlineStr">
        <is>
          <t>• A relaxed fit you won't want to change out of. Vertical stripe pattern &amp; texture. • TENCEL‚Ñ¢ Modal fabric blend - l ightweight, breathable, &amp; luxuriously soft. • Features elastic drawstring waistband, side &amp; rear pockets.</t>
        </is>
      </c>
      <c r="H617" s="963" t="inlineStr">
        <is>
          <t>56% Modal, 21% viscose, 17% acrylic, 6% Spandex • Care instructions: For best results, machine wash on gentle cycle. Tumble dry on low heat or hang to dry</t>
        </is>
      </c>
      <c r="I617" s="964" t="inlineStr">
        <is>
          <t>21FW 10.29, 22 Spring Sale, 22FW 40OFF, Category_Lounge, Category_Lounge/Bottoms, Category_Lounge/Pajamas &amp; Robes, Category_Lounge/Pajamas &amp; Robes/Bottoms, Category_Lounge/Pants, Category_Men, Category_Men/Bottoms, Category_Men/Pajamas, Category_Men/Pajams, Collection_Classic, Collection_Valentine, Fabric_Lounge/Tencel Modal, Function_Lounge/Sleep/Pajama, hide-bis, no-returns, Sale</t>
        </is>
      </c>
      <c r="J617" s="965" t="inlineStr">
        <is>
          <t>classic-mens-pajama-pants</t>
        </is>
      </c>
    </row>
    <row r="618" ht="42" customHeight="1" s="229">
      <c r="A618" s="938" t="inlineStr">
        <is>
          <t>Classic Men's Pajama Top</t>
        </is>
      </c>
      <c r="B618" s="939" t="inlineStr">
        <is>
          <t>Men</t>
        </is>
      </c>
      <c r="C618" s="940" t="n">
        <v>98</v>
      </c>
      <c r="D618" s="940" t="n">
        <v>58.8</v>
      </c>
      <c r="E618" s="941" t="inlineStr">
        <is>
          <t>Yes</t>
        </is>
      </c>
      <c r="F618" s="942" t="inlineStr">
        <is>
          <t>Our Classic Men's Pajama Top is m ade from the same TENCEL‚Ñ¢ Modal blend as our best-selling Classic Cozy women's PJ set - silky soft &amp; comfy for better rest and deeper sleep! This item is final sale and cannot be returned or exchanged.</t>
        </is>
      </c>
      <c r="G618" s="943" t="inlineStr">
        <is>
          <t>• Features classic lapel collar , color-matched buttons, &amp; chest pocket. Subtle stripe texture adds dimension. • TENCEL‚Ñ¢ Modal fabric blend - l ightweight, breathable, &amp; luxuriously soft. • Size M is 28.5" in length.</t>
        </is>
      </c>
      <c r="H618" s="944" t="inlineStr">
        <is>
          <t>56% Modal, 21% viscose, 17% acrylic, 6% Spandex • Care instructions: For best results, machine wash on gentle cycle. Tumble dry on low heat or hang to dry</t>
        </is>
      </c>
      <c r="I618" s="945" t="inlineStr">
        <is>
          <t>2023 BTS Sale, 21FW 10.29, 22 Spring Sale, 22FW 40OFF, 25clearance, Category_Men, Category_Men/Pajamas, Category_Men/Tops, Collection_Classic, Collection_Men, Fabric_Lounge/Tencel Modal, Function_Lounge/Sleep/Pajama, hide-bis, HR-CX, LBD23, no-returns, Sale, Tariff Final Sale</t>
        </is>
      </c>
      <c r="J618" s="946" t="inlineStr">
        <is>
          <t>classic-mens-pajama-top</t>
        </is>
      </c>
    </row>
    <row r="619" ht="42" customHeight="1" s="229">
      <c r="A619" s="928" t="inlineStr">
        <is>
          <t>Cashmere Knitted Culottes</t>
        </is>
      </c>
      <c r="B619" s="929" t="inlineStr">
        <is>
          <t>Loungewear</t>
        </is>
      </c>
      <c r="C619" s="930" t="n">
        <v>315</v>
      </c>
      <c r="D619" s="930" t="n">
        <v>157.5</v>
      </c>
      <c r="E619" s="936" t="inlineStr">
        <is>
          <t>Yes</t>
        </is>
      </c>
      <c r="F619" s="931" t="inlineStr">
        <is>
          <t>Luxury meets comfort in these Knitted Culottes - cut from cashmere and tailored for a loose, comfortable fit, this piece is ready to keep you cozy all day. This item is final sale and cannot be returned or exchanged.</t>
        </is>
      </c>
      <c r="G619" s="932" t="inlineStr">
        <is>
          <t>• Classic, wide-leg culottes made from 100% cashmere. • Comfortably loose fit with an elastic waistband. • Size M is 39.8" in length.</t>
        </is>
      </c>
      <c r="H619" s="933" t="inlineStr">
        <is>
          <t>100% cashmere • Care instructions: Professional dry-cleaning recommended</t>
        </is>
      </c>
      <c r="I619" s="934" t="inlineStr">
        <is>
          <t>2023 BTS Sale, 21FW 10.22, 22 Spring Sale, 22FW 40OFF, 23Oct Markdown, 25clearance, Category_Daywear, Category_Daywear/Pants, Category_Lounge, Category_Lounge/Bottoms, Category_Lounge/Bottoms/Elastic, Category_Lounge/Knitwear, Category_Lounge/Pants, Category_Lounge/Sweaters&amp;Outerwear, Collection_Knitted, Fabric_Lounge/Cashmere &amp; Wool, hide-bis, HR-CX, LBD23, no-returns, Outerwear, Sale</t>
        </is>
      </c>
      <c r="J619" s="935" t="inlineStr">
        <is>
          <t>knitted-culottes</t>
        </is>
      </c>
    </row>
    <row r="620" ht="42" customHeight="1" s="229">
      <c r="A620" s="896" t="inlineStr">
        <is>
          <t>Boundless Knitted Blazer</t>
        </is>
      </c>
      <c r="B620" s="897" t="inlineStr">
        <is>
          <t>Loungewear</t>
        </is>
      </c>
      <c r="C620" s="898" t="n">
        <v>315</v>
      </c>
      <c r="D620" s="898" t="n">
        <v>126</v>
      </c>
      <c r="E620" s="957" t="inlineStr">
        <is>
          <t>Yes</t>
        </is>
      </c>
      <c r="F620" s="899" t="inlineStr">
        <is>
          <t>Tailored with an elegant silhouette from imported Australian Merino, this Knitted Blazer is designed to elevate any fall outfit while keeping you warm &amp; comfortable this season. This item is FINAL SALE and cannot be returned or exchanged.</t>
        </is>
      </c>
      <c r="G620" s="900" t="inlineStr">
        <is>
          <t>• 100% Australian Merino wool - soft, cozy, &amp; breathable. • Single-button closure, side pockets. • Size M is 28.3" in length.</t>
        </is>
      </c>
      <c r="H620" s="901" t="inlineStr">
        <is>
          <t>100% Merino wool • Care instructions: Professional dry-cleaning recommended</t>
        </is>
      </c>
      <c r="I620" s="902" t="inlineStr">
        <is>
          <t>2023 BTS Sale, 21FW 10.22, 22 Spring Sale, 22FW 40OFF, 23 Spring Sale, 23Oct Markdown, Category_Daywear, Category_Daywear/Jacket, Category_Lounge, Category_Lounge/Cardigan, Category_Lounge/Cardigan&amp;Jacket, Category_Lounge/Knitwear, Category_Lounge/Outerwear, Category_Lounge/Sweaters&amp;Outerwear, Category_Lounge/Top, Collection_Boundless, Collection_Faye Wong, Collection_Knitted, Fabric_Lounge/Cashmere &amp; Wool, hide-bis, LBD23, no-returns, Outerwear, Sale</t>
        </is>
      </c>
      <c r="J620" s="903" t="inlineStr">
        <is>
          <t>knitted-blazer</t>
        </is>
      </c>
    </row>
    <row r="621" ht="70" customHeight="1" s="229">
      <c r="A621" s="888" t="inlineStr">
        <is>
          <t>Barely Zero Lace Brief</t>
        </is>
      </c>
      <c r="B621" s="889" t="inlineStr">
        <is>
          <t>Underwear</t>
        </is>
      </c>
      <c r="C621" s="890" t="n">
        <v>39</v>
      </c>
      <c r="D621" s="890" t="n">
        <v>23.4</v>
      </c>
      <c r="E621" s="985" t="inlineStr">
        <is>
          <t>Yes</t>
        </is>
      </c>
      <c r="F621" s="891" t="inlineStr">
        <is>
          <t>The close, adaptive fit you know and love - now elevated. Barely Lace features a lightly-shaping high waist design made from an elegant lace blend. Fit tip: based on customer feedback, this brief fits tighter than other Barely Zero briefs and best fits customers who wear up to a size S. For a wider size range, check out the Barely Zero Mid Waist Brief 2.0 !</t>
        </is>
      </c>
      <c r="G621" s="892" t="inlineStr">
        <is>
          <t>• Highly elastic CloudFit fabric: soft, breathable, moisture-wicking &amp; odor-reducing for all-day skin comfort. Includes 100% cotton lining. • No chafing or digging in. Improved edging doesn't curl with repeated wear &amp; shows virtually no lines, even under tight clothing!</t>
        </is>
      </c>
      <c r="H621" s="893" t="inlineStr">
        <is>
          <t>70% CloudFit nylon, 30% Spandex; Lace: 59% CloudFit¬© nylon , 41% Spandex; Lining: 100% cotton</t>
        </is>
      </c>
      <c r="I621" s="894" t="inlineStr">
        <is>
          <t>2022 Title Update, 2023 BTS Sale, 21FW 10.22, 22FW 30OFF, 24JuneSale, BZ Brief, BZ One Size Brief, Categeory_Underwear, Category_Lingerie, Category_Lingerie/Brief, Category_Lingerie/Brief/High Waist, Category_Underwear, Category_Underwear/Bottoms, Category_Underwear/Bottoms/Panties, Category_Underwear/Bottoms/Panties/High Waist, Collection_2021 Barely Zero, Collection_Barely Zero, Collection_Barely Zero/Underwear, hide-bis, HR-CX, LBD23, no-returns, Sale</t>
        </is>
      </c>
      <c r="J621" s="895" t="inlineStr">
        <is>
          <t>barely-zero-lace-brief</t>
        </is>
      </c>
    </row>
    <row r="622" ht="42" customHeight="1" s="229">
      <c r="A622" s="880" t="inlineStr">
        <is>
          <t>Essential Thermal Bodysuit</t>
        </is>
      </c>
      <c r="B622" s="881" t="inlineStr">
        <is>
          <t>Underwear</t>
        </is>
      </c>
      <c r="C622" s="882" t="n">
        <v>59</v>
      </c>
      <c r="D622" s="882" t="n">
        <v>29.5</v>
      </c>
      <c r="E622" s="937" t="inlineStr">
        <is>
          <t>Yes</t>
        </is>
      </c>
      <c r="F622" s="883" t="inlineStr">
        <is>
          <t>Staying warm &amp; comfortable is essential in the cooler months - the Essential Thermal Bodysuit is the one-piece base layer you need to stay cozy all season long! This item is final sale and cannot be returned or exchanged.</t>
        </is>
      </c>
      <c r="G622" s="884" t="inlineStr">
        <is>
          <t>• Made from EcoCosy¬© - an eco-friendly fabric blend that's lightweight, breathable, &amp; retains your natural body heat. • Slim-fitting &amp; elastic to easily fit under other outfits (without showing lines!). Discretely fastens between legs for easy on &amp; off. • Size M is 25.3" in length.</t>
        </is>
      </c>
      <c r="H622" s="885" t="inlineStr">
        <is>
          <t>65% acrylic, 29% viscose, 6% Spandex • Care instructions: For best results, hand wash with like colors in cold water</t>
        </is>
      </c>
      <c r="I622" s="886" t="inlineStr">
        <is>
          <t>2023 BTS Sale, 21FW 10.29, 22 Spring Sale, 22FW 40OFF, 23 Spring Sale, Category_Lounge, Category_Lounge/Bodysuits, Category_Lounge/Jumpsuit, Category_Lounge/Thermal, Category_Underwear/Tops, Category_Underwear/Tops/Bodysuits, Category_Underwear/Tops/Thermal, Collection_Essential, Collection_Essential/Lounge, Collection_Essential/Loungewear, Fabric_Lounge/Thermal, Fabric_Underwear/Thermal, hide-bis, LBD23, no-returns, Sale, Sized Bodysuit</t>
        </is>
      </c>
      <c r="J622" s="887" t="inlineStr">
        <is>
          <t>essential-thermal-bodysuit</t>
        </is>
      </c>
    </row>
    <row r="623" ht="42" customHeight="1" s="229">
      <c r="A623" s="888" t="inlineStr">
        <is>
          <t>Essential Thermal Pants</t>
        </is>
      </c>
      <c r="B623" s="889" t="inlineStr">
        <is>
          <t>Underwear</t>
        </is>
      </c>
      <c r="C623" s="890" t="n">
        <v>39</v>
      </c>
      <c r="D623" s="890" t="n">
        <v>23.4</v>
      </c>
      <c r="E623" s="985" t="inlineStr">
        <is>
          <t>Yes</t>
        </is>
      </c>
      <c r="F623" s="891" t="inlineStr">
        <is>
          <t>Staying warm &amp; comfortable is essential in the cooler months - the Essential Thermal Pants are exactly the base layer you need to stay cozy all season long! This item is final sale and cannot be returned or exchanged.</t>
        </is>
      </c>
      <c r="G623" s="892" t="inlineStr">
        <is>
          <t>• Made from EcoCosy¬© - an eco-friendly fabric blend that's lightweight, breathable, &amp; retains your natural body heat. • Slim-fitting &amp; elastic to easily fit under other outfits (without showing lines!). • Complete the set with the matching top &amp; stay warm wherever the season takes you!</t>
        </is>
      </c>
      <c r="H623" s="893" t="inlineStr">
        <is>
          <t>65% acrylic, 29% viscose, 6% Spandex • Care instructions: For best results, hand wash with like colors in cold water</t>
        </is>
      </c>
      <c r="I623" s="894" t="inlineStr">
        <is>
          <t>21FW 10.29, 22 Spring Sale, 23 Spring Sale, Category_Lounge, Category_Lounge/Bottoms, Category_Lounge/Pants, Category_Lounge/Thermal, Category_Underwear/Bottoms, Category_Underwear/Bottoms/Thermal, Collection_Essential, Collection_Essential/Lounge, Collection_Essential/Loungewear, Fabric_Lounge/Thermal, Fabric_Underwear/Thermal, hide-bis, no-returns, Sale</t>
        </is>
      </c>
      <c r="J623" s="895" t="inlineStr">
        <is>
          <t>essential-thermal-pants</t>
        </is>
      </c>
    </row>
    <row r="624" ht="42" customHeight="1" s="229">
      <c r="A624" s="880" t="inlineStr">
        <is>
          <t>Essential Thermal Top</t>
        </is>
      </c>
      <c r="B624" s="881" t="inlineStr">
        <is>
          <t>Underwear</t>
        </is>
      </c>
      <c r="C624" s="882" t="n">
        <v>49</v>
      </c>
      <c r="D624" s="882" t="n">
        <v>24.5</v>
      </c>
      <c r="E624" s="937" t="inlineStr">
        <is>
          <t>Yes</t>
        </is>
      </c>
      <c r="F624" s="883" t="inlineStr">
        <is>
          <t>Staying warm &amp; comfortable is essential in the cooler months - the Essential Thermal Top is exactly the base layer you need to stay cozy all season long! This item is final sale and cannot be returned or exchanged.</t>
        </is>
      </c>
      <c r="G624" s="884" t="inlineStr">
        <is>
          <t>• Made from EcoCosy¬© - an eco-friendly fabric blend that's lightweight, breathable, &amp; retains your natural body heat. • Slim-fitting &amp; elastic to easily fit under other outfits (without showing lines!). • Size M is 22.4" in length.</t>
        </is>
      </c>
      <c r="H624" s="885" t="inlineStr">
        <is>
          <t>65% acrylic, 29% viscose, 6% Spandex • Care instructions: For best results, hand wash with like colors in cold water</t>
        </is>
      </c>
      <c r="I624" s="886" t="inlineStr">
        <is>
          <t>2023 BTS Sale, 21FW 10.29, 22 Spring Sale, 23 Spring Sale, 23Oct Markdown, Category_Lingerie, Category_Lounge, Category_Lounge/Thermal, Category_Lounge/Top, Category_Underwear, Category_Underwear/Tops, Category_Underwear/Tops/Thermal, Collection_Essential, Collection_Essential/Lounge, Collection_Essential/Loungewear, Fabric_Lounge/Thermal, Fabric_Underwear/Thermal, hide-bis, LBD23, no-returns, Sale</t>
        </is>
      </c>
      <c r="J624" s="887" t="inlineStr">
        <is>
          <t>essential-thermal-top</t>
        </is>
      </c>
    </row>
    <row r="625" ht="42" customHeight="1" s="229">
      <c r="A625" s="928" t="inlineStr">
        <is>
          <t>Cashmere Knitted V-Neck Cardigan</t>
        </is>
      </c>
      <c r="B625" s="929" t="inlineStr">
        <is>
          <t>Loungewear</t>
        </is>
      </c>
      <c r="C625" s="930" t="n">
        <v>379</v>
      </c>
      <c r="D625" s="930" t="n">
        <v>265.3</v>
      </c>
      <c r="E625" s="936" t="inlineStr">
        <is>
          <t>Yes</t>
        </is>
      </c>
      <c r="F625" s="931" t="inlineStr">
        <is>
          <t>Nothing's cozier than the classic V-Neck Cardigan - this timeless piece is tailored from 100% cashmere to keep you cozy &amp; chic for years to come. This item is final sale and cannot be returned or exchanged.</t>
        </is>
      </c>
      <c r="G625" s="932" t="inlineStr">
        <is>
          <t>• 100% cashmere - luxuriously soft, warm, &amp; breathable. • The quintessential fall layering piece - goes with everything! • Size M is 26" in length.</t>
        </is>
      </c>
      <c r="H625" s="933" t="inlineStr">
        <is>
          <t>100% cashmere • Care instructions: Professional dry-cleaning recommended</t>
        </is>
      </c>
      <c r="I625" s="934" t="inlineStr">
        <is>
          <t>2023 BTS Sale, 21FW 10.29, 22 Spring Sale, Category_Daywear, Category_Daywear/Jacket, Category_Daywear/Top, Category_Lounge, Category_Lounge/Cardigan, Category_Lounge/Cardigan&amp;Jacket, Category_Lounge/Knitwear, Category_Lounge/Outerwear, Category_Lounge/Sweaters&amp;Outerwear, Category_Lounge/Top, Collection_Knitted, Fabric_Lounge/Cashmere &amp; Wool, hide-bis, LBD23, no-returns, Outerwear, Sale</t>
        </is>
      </c>
      <c r="J625" s="935" t="inlineStr">
        <is>
          <t>v-neck-cardigan</t>
        </is>
      </c>
    </row>
    <row r="626" ht="42" customHeight="1" s="229">
      <c r="A626" s="896" t="inlineStr">
        <is>
          <t>Cashmere Knitted Crew Neck Pull Over Top</t>
        </is>
      </c>
      <c r="B626" s="897" t="inlineStr">
        <is>
          <t>Loungewear</t>
        </is>
      </c>
      <c r="C626" s="898" t="n">
        <v>315</v>
      </c>
      <c r="D626" s="898" t="n">
        <v>157.5</v>
      </c>
      <c r="E626" s="957" t="inlineStr">
        <is>
          <t>Yes</t>
        </is>
      </c>
      <c r="F626" s="899" t="inlineStr">
        <is>
          <t>An instant classic, this Crew Neck Pull Over Top is made from 100% cashmere to be a warm fall wardrobe staple that you'll wear year after year. This item is final sale and cannot be returned or exchanged.</t>
        </is>
      </c>
      <c r="G626" s="900" t="inlineStr">
        <is>
          <t>• A loose, comfortable fit in an easy-to-match, neutral color . • 100% cashmere - luxuriously soft, naturally warm &amp; breathable. • Size M is 24.4" in length.</t>
        </is>
      </c>
      <c r="H626" s="901" t="inlineStr">
        <is>
          <t>100% cashmere • Care instructions: Professional dry-cleaning recommended</t>
        </is>
      </c>
      <c r="I626" s="902" t="inlineStr">
        <is>
          <t>2023 BTS Sale, 21FW 10.29, 22 Spring Sale, 22FW 40OFF, 25clearance, Category_Daywear, Category_Daywear/Top, Category_Lounge, Category_Lounge/Knitwear, Category_Lounge/Sweaters&amp;Outerwear, Category_Lounge/Tops, Collection_Knitted, Fabric_Lounge/Cashmere &amp; Wool, hide-bis, HR-CX, LBD23, no-returns, Outerwear, Sale</t>
        </is>
      </c>
      <c r="J626" s="903" t="inlineStr">
        <is>
          <t>crew-neck-pull-over-top</t>
        </is>
      </c>
    </row>
    <row r="627" ht="42" customHeight="1" s="229">
      <c r="A627" s="928" t="inlineStr">
        <is>
          <t>Knitted V-Neck Sweater</t>
        </is>
      </c>
      <c r="B627" s="929" t="inlineStr">
        <is>
          <t>Loungewear</t>
        </is>
      </c>
      <c r="C627" s="930" t="n">
        <v>189</v>
      </c>
      <c r="D627" s="930" t="n">
        <v>75.59999999999999</v>
      </c>
      <c r="E627" s="936" t="inlineStr">
        <is>
          <t>Yes</t>
        </is>
      </c>
      <c r="F627" s="931" t="inlineStr">
        <is>
          <t>Go anywhere &amp; stay comfortable this fall in our Knitted V-Neck Sweater - a classic, versatile style made from a warm wool blend to keep you cozy all season long! This item is final sale and cannot be returned or exchanged.</t>
        </is>
      </c>
      <c r="G627" s="932" t="inlineStr">
        <is>
          <t>• Semi-e lastic cuffs and lower hem. Classic V-neck collar. • Made from a warm &amp; breathable wool blend. • Size M is 19.7" in length.</t>
        </is>
      </c>
      <c r="H627" s="933" t="inlineStr">
        <is>
          <t>36% alpaca wool, 21% sheep wool, 27% nylon, 5% Spandex • Care instructions: Professional dry-cleaning recommended</t>
        </is>
      </c>
      <c r="I627" s="934" t="inlineStr">
        <is>
          <t>2023 BTS Sale, 21FW 10.22, 22 Spring Sale, 22FW 40OFF, 23Oct Markdown, 25DEC 60OFF, 25DEC SALE, Category_Daywear, Category_Daywear/Top, Category_Lounge, Category_Lounge/Knitwear, Category_Lounge/Sweaters&amp;Outerwear, Category_Lounge/Tops, Collection_Knitted, Fabric_Lounge/Cashmere &amp; Wool, hide-bis, HR-CX, LBD23, no-returns, Outerwear, Sale, Tariff Final Sale</t>
        </is>
      </c>
      <c r="J627" s="935" t="inlineStr">
        <is>
          <t>v-neck-sweater</t>
        </is>
      </c>
    </row>
    <row r="628" ht="56" customHeight="1" s="229">
      <c r="A628" s="896" t="inlineStr">
        <is>
          <t>Loop Yarn Coat</t>
        </is>
      </c>
      <c r="B628" s="897" t="inlineStr">
        <is>
          <t>Loungewear</t>
        </is>
      </c>
      <c r="C628" s="898" t="n">
        <v>379</v>
      </c>
      <c r="D628" s="898" t="n">
        <v>151.6</v>
      </c>
      <c r="E628" s="957" t="inlineStr">
        <is>
          <t>Yes</t>
        </is>
      </c>
      <c r="F628" s="899" t="inlineStr">
        <is>
          <t>Break the boundaries between home wear &amp; outerwear in our Loop Yarn Coat - elegantly versatile and made from a warm wool blend, this is your new favorite outer layer whether you're at home or on the go this autumn! This item is final sale and cannot be returned or exchanged.</t>
        </is>
      </c>
      <c r="G628" s="900" t="inlineStr">
        <is>
          <t>• Warm, thick-knit wool blend - perfectly suited for indoors &amp; outdoors! • Size M is 28.3" in length. Belt closure. • A versatile outer layer for comfort &amp; casual style at home and beyond.</t>
        </is>
      </c>
      <c r="H628" s="901" t="inlineStr">
        <is>
          <t>outer: 80% wool, 20% nylon; inner: 80% wool, 20% polyester • Care instructions: Professional dry-cleaning recommended</t>
        </is>
      </c>
      <c r="I628" s="902" t="inlineStr">
        <is>
          <t>2023 BTS Sale, 21FW 10.22, 22 Spring Sale, 22FW 40OFF, 23 Spring Sale, 23Oct Markdown, Category_Daywear, Category_Daywear/Jacket, Category_Lounge, Category_Lounge/Cardigan, Category_Lounge/Cardigan&amp;Jacket, Category_Lounge/Knitwear, Category_Lounge/Outerwear, Category_Lounge/Sweaters&amp;Outerwear, Category_Lounge/Top, Collection_Knitted, Fabric_Lounge/Cashmere &amp; Wool, hide-bis, LBD23, no-returns, Outerwear, Sale</t>
        </is>
      </c>
      <c r="J628" s="903" t="inlineStr">
        <is>
          <t>loop-yarn-coat</t>
        </is>
      </c>
    </row>
    <row r="629" ht="56" customHeight="1" s="229">
      <c r="A629" s="912" t="inlineStr">
        <is>
          <t>Ballet Knitted Cardigan</t>
        </is>
      </c>
      <c r="B629" s="913" t="inlineStr">
        <is>
          <t>Active</t>
        </is>
      </c>
      <c r="C629" s="914" t="n">
        <v>159</v>
      </c>
      <c r="D629" s="914" t="n">
        <v>95.40000000000001</v>
      </c>
      <c r="E629" s="955" t="inlineStr">
        <is>
          <t>Yes</t>
        </is>
      </c>
      <c r="F629" s="915" t="inlineStr">
        <is>
          <t>Designed to keep you warm on your way to yoga class or coming home from dance practice, our Ballet Knitted Cardigan is exactly the cozy outer layer you need this fall - a chic wrap style that's fashionable, functional, &amp; knitted from a thick wool blend. This item is final sale and cannot be returned or exchanged.</t>
        </is>
      </c>
      <c r="G629" s="916" t="inlineStr">
        <is>
          <t>• Loose oversized fit, long sleeves, fuzzy knitted texture, side-tie closure. • Knit from a warm yet breathable blend of wool and synthetic fiber. • A versatile fall style for the dance studio, gym, or anywhere on the go.</t>
        </is>
      </c>
      <c r="H629" s="917" t="inlineStr">
        <is>
          <t>93% wool, 7% nylon • Care instructions: Professional dry-cleaning recommended</t>
        </is>
      </c>
      <c r="I629" s="918" t="inlineStr">
        <is>
          <t>21FW 10.22, 22 Spring Sale, 22FW 40OFF, Activity_Active/Ballet, Activity_Active/Ballet&amp;Dance, Activity_Active/Dance, Activity_Active/Gym, Activity_Active/Outdoor, Category_Active, Category_Active/Ballet, Category_Active/Outerwear, Category_Daywear, Category_Daywear/Top, Category_Lounge, Category_Lounge/Cardigan, Category_Lounge/Cardigan&amp;Jacket, Category_Lounge/Jacket, Category_Lounge/Knitwear, Category_Lounge/Outerwear, Category_Lounge/Sweaters&amp;Outerwear, Collection_Knitted, Fabric_Active/Cashmere &amp; Wool, hide-bis, no-returns, Outerwear, Sale</t>
        </is>
      </c>
      <c r="J629" s="919" t="inlineStr">
        <is>
          <t>ballet-knitted-cardigan</t>
        </is>
      </c>
    </row>
    <row r="630" ht="42" customHeight="1" s="229">
      <c r="A630" s="928" t="inlineStr">
        <is>
          <t>Knitted Joggers</t>
        </is>
      </c>
      <c r="B630" s="929" t="inlineStr">
        <is>
          <t>Loungewear</t>
        </is>
      </c>
      <c r="C630" s="930" t="n">
        <v>105</v>
      </c>
      <c r="D630" s="930" t="n">
        <v>35</v>
      </c>
      <c r="E630" s="936" t="inlineStr">
        <is>
          <t>Yes</t>
        </is>
      </c>
      <c r="F630" s="931" t="inlineStr">
        <is>
          <t>These Knitted Jogger s are a comfortable, casual style made from a cozy blend to keep you warm wherever you go - indoors &amp; out! This item is final sale and cannot be returned or exchanged.</t>
        </is>
      </c>
      <c r="G630" s="932" t="inlineStr">
        <is>
          <t>• Semi-elastic drawstring waistband, rear pocket. • Made from a soft, durable blend of nylon, viscose, &amp; wool. • Size M is 39" in length.</t>
        </is>
      </c>
      <c r="H630" s="933" t="inlineStr">
        <is>
          <t>44% nylon, 44% viscose, 12% wool, • Care instructions: For best results, hand wash in cold water with like colors using a light detergent</t>
        </is>
      </c>
      <c r="I630" s="934" t="inlineStr">
        <is>
          <t>hide-bis, HR-CX, no-returns</t>
        </is>
      </c>
      <c r="J630" s="935" t="inlineStr">
        <is>
          <t>knitted-joggers</t>
        </is>
      </c>
    </row>
    <row r="631" ht="42" customHeight="1" s="229">
      <c r="A631" s="896" t="inlineStr">
        <is>
          <t>Knitted Side Slit Sweater</t>
        </is>
      </c>
      <c r="B631" s="897" t="inlineStr">
        <is>
          <t>Loungewear</t>
        </is>
      </c>
      <c r="C631" s="898" t="n">
        <v>125</v>
      </c>
      <c r="D631" s="898" t="n">
        <v>62.5</v>
      </c>
      <c r="E631" s="957" t="inlineStr">
        <is>
          <t>Yes</t>
        </is>
      </c>
      <c r="F631" s="899" t="inlineStr">
        <is>
          <t>Our Side Slit Knitted Sweater is a timeless piece that belongs in any fall closet - stylish, cozy, and timeless enough to last for seasons to come. This item is final sale and cannot be returned or exchanged.</t>
        </is>
      </c>
      <c r="G631" s="900" t="inlineStr">
        <is>
          <t>• Cropped, relaxed fit with high low hem, drop shoulders, and classic crew neck collar. Size M is 18.5" in length. • Shorter in the front than the back - a casual chic accent! • Made from a durable synthetic-wool blend.</t>
        </is>
      </c>
      <c r="H631" s="901" t="inlineStr">
        <is>
          <t>44% nylon, 44% viscose, 12% wool • Care instructions: For best results, hand wash with a light detergent in cold water</t>
        </is>
      </c>
      <c r="I631" s="902" t="inlineStr">
        <is>
          <t>2023 BTS Sale, 21FW 10.29, 22 Spring Sale, 22FW 40OFF, 23 May Sale, 25clearance, Category_Daywear, Category_Daywear/Top, Category_Lounge, Category_Lounge/Knitwear, Category_Lounge/Sweaters&amp;Outerwear, Category_Lounge/Tops, Collection_Knitted, Fabric_Lounge/Cashmere &amp; Wool, hide-bis, HR-CX, LBD23, no-returns, Outerwear, Sale</t>
        </is>
      </c>
      <c r="J631" s="903" t="inlineStr">
        <is>
          <t>side-slit-knitted-sweater</t>
        </is>
      </c>
    </row>
    <row r="632" ht="56" customHeight="1" s="229">
      <c r="A632" s="888" t="inlineStr">
        <is>
          <t>Essential Low-Waist Brief</t>
        </is>
      </c>
      <c r="B632" s="889" t="inlineStr">
        <is>
          <t>Underwear</t>
        </is>
      </c>
      <c r="C632" s="890" t="n">
        <v>18</v>
      </c>
      <c r="D632" s="890" t="n">
        <v>12.6</v>
      </c>
      <c r="E632" s="985" t="inlineStr">
        <is>
          <t>Yes</t>
        </is>
      </c>
      <c r="F632" s="891" t="inlineStr">
        <is>
          <t>The Essential Collection Low-Waist Brief is the classic cotton-based brief that every woman needs in her underwear drawer. Made from a cotton-Spandex blend for all-day, everyday comfort that you can depend on - breathable, durable, &amp; reliable for whatever life throws at you.</t>
        </is>
      </c>
      <c r="G632" s="892" t="inlineStr">
        <is>
          <t>• Low-waist cut. Durable, elastic, &amp; shows virtually no lines, even under tight clothes like leggings! • Moderate coverage &amp; classic fit. Soft &amp; breathable cotton blend with just a little Spandex for stretch and a 100% cotton lining for health &amp; hygiene. • Available in multiple sizes &amp; three classic colors!</t>
        </is>
      </c>
      <c r="H632" s="893" t="inlineStr">
        <is>
          <t>89% cotton, 11% Spandex ; lining: 100% cotton. • Care instructions: For best results, g ently handwash with like colors in cold water. Soak no longer than 5 minutes</t>
        </is>
      </c>
      <c r="I632" s="894" t="inlineStr">
        <is>
          <t>21FW 10.15, 25clearance, Category_Lingerie, Category_Lingerie/Brief, Category_Lingerie/Brief/Low Waist, Category_Underwear, Category_Underwear/Bottoms, Category_Underwear/Bottoms/Panties, Category_Underwear/Bottoms/Panties/Low Waist, Collection_Essential, Collection_Essential/Lingerie, Fabric_Underwear/Cotton, HR-CX, LBD23, no-returns, Tariff Final Sale, XS - XL Brief</t>
        </is>
      </c>
      <c r="J632" s="895" t="inlineStr">
        <is>
          <t>essential-low-waist-brief</t>
        </is>
      </c>
    </row>
    <row r="633" ht="70" customHeight="1" s="229">
      <c r="A633" s="880" t="inlineStr">
        <is>
          <t>Self Silk Low Waist Brief</t>
        </is>
      </c>
      <c r="B633" s="881" t="inlineStr">
        <is>
          <t>Underwear</t>
        </is>
      </c>
      <c r="C633" s="882" t="n">
        <v>39</v>
      </c>
      <c r="D633" s="882" t="n">
        <v>27.3</v>
      </c>
      <c r="E633" s="937" t="inlineStr">
        <is>
          <t>Yes</t>
        </is>
      </c>
      <c r="F633" s="883" t="inlineStr">
        <is>
          <t>The Self Silk Collection's bras &amp; briefs are made using real mulberry silk - the finest silk for the softest underwear! These low-waist briefs are perfect for those days when you want to pamper yourself a little - because when it comes to physical luxury, there's just no substitute for real silk. This item is FINAL SALE and cannot be returned or exchanged.</t>
        </is>
      </c>
      <c r="G633" s="884" t="inlineStr">
        <is>
          <t>• Real mulberry silk is so light &amp; soft that it almost feels liquid; blended with a small amount of Spandex for durability and flexibility. • T ailored to sit comfortably on the hips without riding up or digging in. • Classic low-waist fit &amp; 100% cotton lining for health and hygiene.</t>
        </is>
      </c>
      <c r="H633" s="885" t="inlineStr">
        <is>
          <t>90% mulberry silk, 10% Spandex; elastic: 55% nylon, 45% Spandex; lining: 100% cotton. • Care instructions: Hand wash only. For best results, use special silk detergent. Lay flat to dry. If necessary, professionally dry clean</t>
        </is>
      </c>
      <c r="I633" s="886" t="inlineStr">
        <is>
          <t>2023 BTS Sale, 21FW 10.15, 23 May Sale, Category_Lingerie, Category_Lingerie/Brief, Category_Lingerie/Brief/Low Waist, Category_Underwear, Category_Underwear/Bottoms, Category_Underwear/Bottoms/Panties, Category_Underwear/Bottoms/Panties/Low Waist, Collection_Self Silk, Collection_Self Silk/Lingerie, Fabric_Underwear/Silk, hide-bis, HR-CX, LBD23, no-returns, Sale, XS - XL Brief</t>
        </is>
      </c>
      <c r="J633" s="887" t="inlineStr">
        <is>
          <t>self-silk-low-waist-brief</t>
        </is>
      </c>
    </row>
    <row r="634" ht="70" customHeight="1" s="229">
      <c r="A634" s="888" t="inlineStr">
        <is>
          <t>Self Silk 3/4 Cup Bra</t>
        </is>
      </c>
      <c r="B634" s="889" t="inlineStr">
        <is>
          <t>Underwear</t>
        </is>
      </c>
      <c r="C634" s="890" t="n">
        <v>89</v>
      </c>
      <c r="D634" s="890" t="n">
        <v>44.5</v>
      </c>
      <c r="E634" s="985" t="inlineStr">
        <is>
          <t>Yes</t>
        </is>
      </c>
      <c r="F634" s="891" t="inlineStr">
        <is>
          <t>The Self Silk Collection's bras &amp; briefs are made using mulberry silk - the finest silk in the world! This 3/4 cup bra is the perfect mix of style &amp; comfort for days when you want a little more luxury - when it comes to treating yourself, there's no substitute for silk. This item is FINAL SALE and cannot be returned or exchanged.</t>
        </is>
      </c>
      <c r="G634" s="892" t="inlineStr">
        <is>
          <t>• Real mulberry silk is so light &amp; soft that it almost feels liquid; blended with a small amount of Spandex for durability and flexibility. • Wireless &amp; tailored with seams that sit comfortably without pinching or digging in. • Classic cut with adjustable straps for a better fit.</t>
        </is>
      </c>
      <c r="H634" s="893" t="inlineStr">
        <is>
          <t>shell: 90% mulberry silk, 10% Spandex; padding: 55% nylon, 45% Spandex. • Care instructions: Hand wash only. For best results, use special silk detergent. Lay flat to dry. If necessary, professionally dry clean</t>
        </is>
      </c>
      <c r="I634" s="894" t="inlineStr">
        <is>
          <t>2023 BTS Sale, 21FW 10.15, 23 May Sale, 23Oct Markdown, 23SS A3 Size Bra, 25DEC 50OFF, 25DEC SALE, Category_Bras/Bralettes, Category_Bras/Light Support, Category_Bras/Plunge, Category_Lingerie, Category_Lingerie/Wireless Bra, Category_Underwear, Category_Underwear/Tops, Category_Underwear/Tops/Wireless Bra, Category_Underwear/Tops/Wireless Bra/Demi, Category_Underwear/Tops/Wireless Bra/Soft-Cup, Category_Underwear/Tops/Wireless Bra/Triangle, Collection_Self Silk, Collection_Self Silk/Lingerie, Collection_Valentine, Fabric_Underwear/Silk, hide-bis, HR-CX, LBD23, no-returns, Sale, Tariff Final Sale</t>
        </is>
      </c>
      <c r="J634" s="895" t="inlineStr">
        <is>
          <t>self-silk-3-4-cup-bra</t>
        </is>
      </c>
    </row>
    <row r="635" ht="42" customHeight="1" s="229">
      <c r="A635" s="904" t="inlineStr">
        <is>
          <t>Ballet Spaghetti Strap Bodysuit</t>
        </is>
      </c>
      <c r="B635" s="905" t="inlineStr">
        <is>
          <t>Active</t>
        </is>
      </c>
      <c r="C635" s="906" t="n">
        <v>109</v>
      </c>
      <c r="D635" s="906" t="n">
        <v>109</v>
      </c>
      <c r="E635" s="905" t="inlineStr"/>
      <c r="F635" s="907" t="inlineStr">
        <is>
          <t>The Ballet Spaghetti Strap Bodysuit blends elegance &amp; function in a one-piece designed to comfortably support your dance or light workout routine. This item is FINAL SALE and cannot be returned or exchanged.</t>
        </is>
      </c>
      <c r="G635" s="908" t="inlineStr">
        <is>
          <t>• Quick-drying nylon-Spandex blend for mobility &amp; flexibility. • V-neckline with a delicate ruched accent &amp; elastic straps. • Includes chest pads. Designed for ballet, yoga, or light sports.</t>
        </is>
      </c>
      <c r="H635" s="909" t="inlineStr">
        <is>
          <t>81% nylon, 19% Spandex; 100% cotton lining between the legs. • Care instructions: For best results, hand wash with like colors in cold water</t>
        </is>
      </c>
      <c r="I635" s="910" t="inlineStr">
        <is>
          <t>21FW 10.15, 22 July Sale, 22FW 40OFF, Activity_Active/Ballet, Activity_Active/Ballet&amp;Dance, Activity_Active/Dance, Activity_Active/Gym, Activity_Active/Jogging, Activity_Active/Pilates, Activity_Active/Running, Activity_Active/Yoga, Category_Active, Category_Active/Ballet, Category_Active/Bodysuits, Category_Lounge/Bodysuits, Category_Underwear/Tops/Bodysuits, Collection_Yuan Yuan Tan, Fabric_Active/2-Way-Stretchy, hide-bis, leotard, mousse, no-returns, Sale, Sized Bodysuit</t>
        </is>
      </c>
      <c r="J635" s="911" t="inlineStr">
        <is>
          <t>ballet-spaghetti-strap-bodysuit</t>
        </is>
      </c>
    </row>
    <row r="636" ht="112" customHeight="1" s="229">
      <c r="A636" s="880" t="inlineStr">
        <is>
          <t>Pure Beauty Bridal Ruched Corset</t>
        </is>
      </c>
      <c r="B636" s="881" t="inlineStr">
        <is>
          <t>Underwear</t>
        </is>
      </c>
      <c r="C636" s="882" t="n">
        <v>139</v>
      </c>
      <c r="D636" s="882" t="n">
        <v>83.40000000000001</v>
      </c>
      <c r="E636" s="937" t="inlineStr">
        <is>
          <t>Yes</t>
        </is>
      </c>
      <c r="F636" s="883" t="inlineStr">
        <is>
          <t>Pure Beauty for the happiest day of your life - o ur Pure Beauty bridal set is designed to showcase your natural beauty &amp; fit comfortably under your wedding dress or other formalwear. The corset is a classic alternative to the bra in this set and includes rubber boning to keep its shape - perfect for extra structure on your special day. Removable straps make this elegant piece easy to conceal under a strapless dress, and its poly-Spandex blend gives it plenty of flexibility for comfort that lasts all day. This item is FINAL SALE and cannot be returned or exchanged.</t>
        </is>
      </c>
      <c r="G636" s="884" t="inlineStr">
        <is>
          <t>• Pure white - doesn't show through a wedding dress or light clothing! • Straps are adjustable &amp; removable for a better - or even invisible - fit. • Back-clasp closure. Pairs perfectly with the matching briefs!</t>
        </is>
      </c>
      <c r="H636" s="885" t="inlineStr">
        <is>
          <t>shell: 87% polyester, 13% Spandex; lining: 73% polyester, 27% Spandex. • Care instructions: For best results, hand wash in cold water with a neutral detergent separately from other garments</t>
        </is>
      </c>
      <c r="I636" s="886" t="inlineStr">
        <is>
          <t>2023 BTS Sale, 21FW_10.1, 23 May Sale, 23Oct Markdown, 23SS A3 Size Bra, Category_Bras/Light Support, Category_Bras/Strapless, Category_Lingerie, Category_Lingerie/BRApparel, Category_Lingerie/BRApparel/Cami, Category_Lingerie/Wireless Bra, Category_Underwear, Category_Underwear/Tops, Category_Underwear/Tops/Wireless Bra, Category_Underwear/Tops/Wireless Bra/Bandeau, Collection_Pure Beauty, Collection_Valentine, Fabric_Underwear/Body Shaper, hide-bis, LBD23, no-returns, Sale, SML Size Bra, US Inventory</t>
        </is>
      </c>
      <c r="J636" s="887" t="inlineStr">
        <is>
          <t>pure-beauty-ruched-corset</t>
        </is>
      </c>
    </row>
    <row r="637" ht="42" customHeight="1" s="229">
      <c r="A637" s="928" t="inlineStr">
        <is>
          <t>Cashmere Turtleneck Vest</t>
        </is>
      </c>
      <c r="B637" s="929" t="inlineStr">
        <is>
          <t>Loungewear</t>
        </is>
      </c>
      <c r="C637" s="930" t="n">
        <v>159</v>
      </c>
      <c r="D637" s="930" t="n">
        <v>79.5</v>
      </c>
      <c r="E637" s="936" t="inlineStr">
        <is>
          <t>Yes</t>
        </is>
      </c>
      <c r="F637" s="931" t="inlineStr">
        <is>
          <t>The Cashmere Turtleneck Vest is a versatile &amp; easy-to-layer fall wardrobe staple made from the finest cashmere. This versatile sleeveless piece keeps your torso warm while indoors while freeing your arms for a full range of motion.</t>
        </is>
      </c>
      <c r="G637" s="932" t="inlineStr">
        <is>
          <t>• 100% cashmere - naturally soft, warm, &amp; breathable. • 3-D knit construction creates a seamless garment and minimizes fabric waste. • A perfect layering piece that works perfectly on its own indoors or on warmer days!</t>
        </is>
      </c>
      <c r="H637" s="933" t="inlineStr">
        <is>
          <t>100% cashmere wool • Care instructions: Professional dry-cleaning recommended</t>
        </is>
      </c>
      <c r="I637" s="934" t="inlineStr">
        <is>
          <t>2023 BTS Sale, 21FW 10.8, 24JuneSale, 25DEC 50OFF, 25DEC SALE, Category_Daywear, Category_Daywear/Top, Category_Lounge, Category_Lounge/Knitwear, Category_Lounge/Sweaters&amp;Outerwear, Category_Lounge/Tops, Collection_Knitted, Fabric_Lounge/Cashmere &amp; Wool, HR-CX, LBD23, no-returns, Outerwear, Sale, Tariff Final Sale</t>
        </is>
      </c>
      <c r="J637" s="935" t="inlineStr">
        <is>
          <t>cashmere-turtle-neck-vest</t>
        </is>
      </c>
    </row>
    <row r="638" ht="42" customHeight="1" s="229">
      <c r="A638" s="896" t="inlineStr">
        <is>
          <t>Cashmere Boatneck Sweater</t>
        </is>
      </c>
      <c r="B638" s="897" t="inlineStr">
        <is>
          <t>Loungewear</t>
        </is>
      </c>
      <c r="C638" s="898" t="n">
        <v>239</v>
      </c>
      <c r="D638" s="898" t="n">
        <v>143.4</v>
      </c>
      <c r="E638" s="957" t="inlineStr">
        <is>
          <t>Yes</t>
        </is>
      </c>
      <c r="F638" s="899" t="inlineStr">
        <is>
          <t>The Cashmere Boatneck Sweater is a classic fall wardrobe staple that's in style every year without fail. Made from the finest cashmere, t his cozy piece will keep you warm and comfortable all season long for years to come!</t>
        </is>
      </c>
      <c r="G638" s="900" t="inlineStr">
        <is>
          <t>• 100% cashmere - naturally soft, warm, &amp; breathable. • 3-D knit construction creates a seamless garment and minimizes fabric waste. • Slimming fit, with longer sleeves for a relaxed look.</t>
        </is>
      </c>
      <c r="H638" s="901" t="inlineStr">
        <is>
          <t>100% cashmere wool • Care instructions: Professional dry-cleaning recommended</t>
        </is>
      </c>
      <c r="I638" s="902" t="inlineStr">
        <is>
          <t>2023 BTS Sale, 21FW 10.8, 24JuneSale, 25clearance, Category_Daywear, Category_Daywear/Top, Category_Lounge, Category_Lounge/Knitwear, Category_Lounge/Sweaters&amp;Outerwear, Category_Lounge/Tops, Collection_Knitted, Fabric_Lounge/Cashmere &amp; Wool, HR-CX, LBD23, no-returns, Outerwear, Sale</t>
        </is>
      </c>
      <c r="J638" s="903" t="inlineStr">
        <is>
          <t>cashmere-boatneck-sweater</t>
        </is>
      </c>
    </row>
    <row r="639" ht="84" customHeight="1" s="229">
      <c r="A639" s="888" t="inlineStr">
        <is>
          <t>Pure Beauty Bridal Ruched Bra</t>
        </is>
      </c>
      <c r="B639" s="889" t="inlineStr">
        <is>
          <t>Underwear</t>
        </is>
      </c>
      <c r="C639" s="890" t="n">
        <v>99</v>
      </c>
      <c r="D639" s="890" t="n">
        <v>59.4</v>
      </c>
      <c r="E639" s="985" t="inlineStr">
        <is>
          <t>Yes</t>
        </is>
      </c>
      <c r="F639" s="891" t="inlineStr">
        <is>
          <t>Pure Beauty for the happiest day of your life - o ur Pure Beauty bridal set is designed to showcase your natural beauty &amp; fit comfortably under your wedding dress or other formalwear. This bra's low neckline and removable straps make it easy to conceal under a strapless dress, while its poly-Spandex blend gives it all the flexibility you'll need on your special day! This item is FINAL SALE and cannot be returned or exchanged.</t>
        </is>
      </c>
      <c r="G639" s="892" t="inlineStr">
        <is>
          <t>• Pure white - doesn't show through a wedding dress or light clothing! • Straps are adjustable &amp; removable for a better or invisible fit. • Back-clasp closure. Pairs perfectly with the matching briefs!</t>
        </is>
      </c>
      <c r="H639" s="893" t="inlineStr">
        <is>
          <t>shell: 87% polyester, 13% Spandex; lining: 73% polyester, 27% Spandex; mesh: 100% polyamide • Care instructions: For best results, hand wash in cold water with a neutral detergent separately from other garments</t>
        </is>
      </c>
      <c r="I639" s="894" t="inlineStr">
        <is>
          <t>2023 BTS Sale, 21FW_10.1, 23 May Sale, 23Oct Markdown, Band + Cup Bra, Category_Bras/Medium Support, Category_Bras/Strapless, Category_Lingerie, Category_Lingerie/Wireless Bra, Category_Underwear, Category_Underwear/Tops, Category_Underwear/Tops/Wireless Bra, Category_Underwear/Tops/Wireless Bra/Bandeau, Category_Underwear/Tops/Wireless Bra/Soft-Cup, Collection_Pure Beauty, Fabric_Underwear/Body Shaper, hide-bis, HR-CX, LBD23, no-returns, Sale</t>
        </is>
      </c>
      <c r="J639" s="895" t="inlineStr">
        <is>
          <t>pure-beauty-ruched-bra</t>
        </is>
      </c>
    </row>
    <row r="640" ht="84" customHeight="1" s="229">
      <c r="A640" s="880" t="inlineStr">
        <is>
          <t>Essential Mid-Waist Briefs - 3-Pack</t>
        </is>
      </c>
      <c r="B640" s="881" t="inlineStr">
        <is>
          <t>Underwear</t>
        </is>
      </c>
      <c r="C640" s="882" t="n">
        <v>35</v>
      </c>
      <c r="D640" s="882" t="n">
        <v>24.5</v>
      </c>
      <c r="E640" s="937" t="inlineStr">
        <is>
          <t>Yes</t>
        </is>
      </c>
      <c r="F640" s="883" t="inlineStr">
        <is>
          <t>Our daily lives and peace of mind depend so much on comfort. That's why it's so important to have high-quality underwear - it's the foundation of physical comfort. This pack includes three Essential Collection Mid-Waist Briefs - the perfect bottom pieces for full coverage &amp; comfort. High-quality, reliable underwear that you can depend on, day in and day out! This item is FINAL SALE and cannot be returned or exchanged.</t>
        </is>
      </c>
      <c r="G640" s="884" t="inlineStr">
        <is>
          <t>• Mid-waist cut. A full-coverage fit &amp; classically relaxed feel. Soft, smooth, &amp; flexible nylon-Spandex blend, with a 100% cotton gusset for health &amp; comfort. • Available in multiple sizes for a variety of body types &amp; three classic colors.</t>
        </is>
      </c>
      <c r="H640" s="885" t="inlineStr">
        <is>
          <t>47% Cotton, 46% Modal, 7% Spandex; lining: 100% cotton. • Care instructions: For best results, g ently handwash with like colors in cold water. Soak no longer than 5 minutes</t>
        </is>
      </c>
      <c r="I640" s="886" t="inlineStr">
        <is>
          <t>25clearance, 25Jan Sale, Bundle Collection, Category_Lingerie, Category_Lingerie/Brief, Category_Lingerie/Brief/Mid Waist, Category_Underwear, Category_Underwear/Bottoms, Category_Underwear/Bottoms/Panties, Category_Underwear/Bottoms/Panties/Mid Waist, Collection_Essential, Collection_Essential/Lingerie, Fabric_Underwear/Tencel Modal, Feature_Best Seller, HR-CX, LBD23, no-returns, Sale, Tariff Final Sale, XS - XL Brief</t>
        </is>
      </c>
      <c r="J640" s="887" t="inlineStr">
        <is>
          <t>foundation-mid-waist-brief-3-pack</t>
        </is>
      </c>
    </row>
    <row r="641" ht="56" customHeight="1" s="229">
      <c r="A641" s="928" t="inlineStr">
        <is>
          <t>Knitted Capri Pants</t>
        </is>
      </c>
      <c r="B641" s="929" t="inlineStr">
        <is>
          <t>Loungewear</t>
        </is>
      </c>
      <c r="C641" s="930" t="n">
        <v>239</v>
      </c>
      <c r="D641" s="930" t="n">
        <v>143.4</v>
      </c>
      <c r="E641" s="936" t="inlineStr">
        <is>
          <t>Yes</t>
        </is>
      </c>
      <c r="F641" s="931" t="inlineStr">
        <is>
          <t>These Knitted Capri Pants are knitted from a thick wool blend for a warm, cushioned comfort that you can depend on indoors and out! Tailored in a modern, minimalist cut that's practical around the house yet elevated and elegant for going out - a versatile cold-weather piece.</t>
        </is>
      </c>
      <c r="G641" s="932" t="inlineStr">
        <is>
          <t>• Made from a blend of llama &amp; sheep's wools, with other fabrics added for durability. • Elastic waistband, full-length legs that stop just above the ankle. • Warmth &amp; comfort suited for indoor and outdoor wear.</t>
        </is>
      </c>
      <c r="H641" s="933" t="inlineStr">
        <is>
          <t>36% llama wool, 32% sheep's wool, 27% nylon, 5% Spandex • Care instructions: Professional dry cleaning recommended</t>
        </is>
      </c>
      <c r="I641" s="934" t="inlineStr">
        <is>
          <t>2023 BTS Sale, 21FW 10.8, 24JuneSale, 25clearance, Category_Daywear, Category_Daywear/Pants, Category_Lounge, Category_Lounge/Bottoms, Category_Lounge/Bottoms/Elastic, Category_Lounge/Knitwear, Category_Lounge/Pants, Category_Lounge/Sweaters&amp;Outerwear, Collection_Knitted, Fabric_Lounge/Cashmere &amp; Wool, HR-CX, LBD23, no-returns, Outerwear</t>
        </is>
      </c>
      <c r="J641" s="935" t="inlineStr">
        <is>
          <t>knitted-pants</t>
        </is>
      </c>
    </row>
    <row r="642" ht="70" customHeight="1" s="229">
      <c r="A642" s="912" t="inlineStr">
        <is>
          <t>Ballet Cardigan</t>
        </is>
      </c>
      <c r="B642" s="913" t="inlineStr">
        <is>
          <t>Active</t>
        </is>
      </c>
      <c r="C642" s="914" t="n">
        <v>158</v>
      </c>
      <c r="D642" s="914" t="n">
        <v>110.6</v>
      </c>
      <c r="E642" s="955" t="inlineStr">
        <is>
          <t>Yes</t>
        </is>
      </c>
      <c r="F642" s="915" t="inlineStr">
        <is>
          <t>For the dancer on the go. The dancer between classes. The dancer who wants to make a statement. Our Ballet Cardigan is exactly the layering piece to keep you warm on the way to the gym or studio this fall - a chic style that's functional &amp; fashionable, woven from a wool-poly blend with a unique waist-wrap tie. This item is FINAL SALE and cannot be returned or exchanged.</t>
        </is>
      </c>
      <c r="G642" s="916" t="inlineStr">
        <is>
          <t>• Long sleeves, knitted ribbed texture, unique waist-wrap closure. • Knit from a warm yet breathable blend of wool and synthetic fiber. Size M is 18.9" in back length. • A versatile fall style for the dance studio, gym, or anywhere else.</t>
        </is>
      </c>
      <c r="H642" s="917" t="inlineStr">
        <is>
          <t>80% wool, 20% polyester • Care instructions: Professional dry-cleaning recommended</t>
        </is>
      </c>
      <c r="I642" s="918" t="inlineStr">
        <is>
          <t>2023 BTS Sale, 21FW 10.8, 23 Spring Sale, 25clearance, Activity_Active/Ballet, Activity_Active/Ballet&amp;Dance, Activity_Active/Dance, Activity_Active/Gym, Activity_Active/Outdoor, Category_Active, Category_Active/Ballet, Category_Active/Outerwear, Category_Active/Tops, Category_Daywear, Category_Daywear/Jacket, Category_Daywear/Top, Category_Lounge, Category_Lounge/Cardigan, Category_Lounge/Cardigan&amp;Jacket, Category_Lounge/Jacket, Category_Lounge/Knitwear, Category_Lounge/Outerwear, Category_Lounge/Sweaters&amp;Outerwear, Fabric_Active/Cashmere &amp; Wool, hide-bis, HR-CX, LBD23, Need Sample, no-returns, Outerwear, Sale, Tariff Final Sale</t>
        </is>
      </c>
      <c r="J642" s="919" t="inlineStr">
        <is>
          <t>ballet-cardigan</t>
        </is>
      </c>
    </row>
    <row r="643" ht="84" customHeight="1" s="229">
      <c r="A643" s="888" t="inlineStr">
        <is>
          <t>Pure Beauty Bridal Low Waist Brief</t>
        </is>
      </c>
      <c r="B643" s="889" t="inlineStr">
        <is>
          <t>Underwear</t>
        </is>
      </c>
      <c r="C643" s="890" t="n">
        <v>49</v>
      </c>
      <c r="D643" s="890" t="n">
        <v>29.4</v>
      </c>
      <c r="E643" s="985" t="inlineStr">
        <is>
          <t>Yes</t>
        </is>
      </c>
      <c r="F643" s="891" t="inlineStr">
        <is>
          <t>Pure Beauty for the big day - o ur Pure Beauty bridal set is designed to showcase your natural beauty &amp; fit comfortably under your wedding dress or other formalwear. This brief's low waistline makes it practically invisible, even under tight dresses, while a poly-Spandex blend &amp; cotton lining lend it plenty of flexibility and comfort to last as long as you need on your special day! This item is FINAL SALE and cannot be returned or exchanged.</t>
        </is>
      </c>
      <c r="G643" s="892" t="inlineStr">
        <is>
          <t>• Pure white - doesn't show through a wedding dress or light clothing! • Low-waist cut for moderate coverage and virtually no line. • Pairs perfectly with the matching bra or corset!</t>
        </is>
      </c>
      <c r="H643" s="893" t="inlineStr">
        <is>
          <t>shell: 73% polyester, 27% Spandex; mesh: 87% polyester, 13% Spandex; lining: 100% cotton • Care instructions: For best results, hand wash in cold water with a neutral detergent separately from other garments</t>
        </is>
      </c>
      <c r="I643" s="894" t="inlineStr">
        <is>
          <t>2023 BTS Sale, 21FW_10.1, 23 May Sale, 23Oct Markdown, 25clearance, Category_Lingerie, Category_Lingerie/Brief, Category_Lingerie/Brief/Low Waist, Category_Underwear, Category_Underwear/Bottoms, Category_Underwear/Bottoms/Panties, Category_Underwear/Bottoms/Panties/Low Waist, Collection_Pure Beauty, Collection_Valentine, Fabric_Underwear/Body Shaper, hide-bis, HR-CX, LBD23, no-returns, Sale, Tariff Final Sale, XS - XL Brief</t>
        </is>
      </c>
      <c r="J643" s="895" t="inlineStr">
        <is>
          <t>pure-beauty-low-waist-brief</t>
        </is>
      </c>
    </row>
    <row r="644" ht="56" customHeight="1" s="229">
      <c r="A644" s="896" t="inlineStr">
        <is>
          <t>Knitted Ribbed Cardigan</t>
        </is>
      </c>
      <c r="B644" s="897" t="inlineStr">
        <is>
          <t>Loungewear</t>
        </is>
      </c>
      <c r="C644" s="898" t="n">
        <v>105</v>
      </c>
      <c r="D644" s="898" t="n">
        <v>52.5</v>
      </c>
      <c r="E644" s="957" t="inlineStr">
        <is>
          <t>Yes</t>
        </is>
      </c>
      <c r="F644" s="899" t="inlineStr">
        <is>
          <t>Cute, cozy, and chic, this style provides a classic cardigan look with the convenience of a pullover sweater. Made from a warm wool blend, this is a versatile piece for cooler months. This item is final sale and cannot be returned or exchanged.</t>
        </is>
      </c>
      <c r="G644" s="900" t="inlineStr">
        <is>
          <t>• Classic scoop collar, long sleeves, and ribbed knit texture. Faux button accents. • A comfortable blend of wool and synthetic fiber for warmth &amp; breathability. • Size M is 18.9" in length. Versatile fall style - perfect for going anywhere this season!</t>
        </is>
      </c>
      <c r="H644" s="901" t="inlineStr">
        <is>
          <t>45% viscose, 31% nylon, 24% wool • Care instructions: For best results, hand wash with like colors in cold water using a light detergent</t>
        </is>
      </c>
      <c r="I644" s="902" t="inlineStr">
        <is>
          <t>2023 BTS Sale, 21FW 9.24, 22 Spring Sale, 22FW 40OFF, 23 Spring Sale, 25clearance, 25DEC 50OFF, 25DEC SALE, Category_Daywear, Category_Daywear/Jacket, Category_Daywear/Top, Category_Lounge, Category_Lounge/Cardigan, Category_Lounge/Cardigan&amp;Jacket, Category_Lounge/Knitwear, Category_Lounge/Outerwear, Category_Lounge/Sweaters&amp;Outerwear, Category_Lounge/Tops, Collection_Chocolate, Collection_Holiday Red, Collection_Knitted, Fabric_Lounge/Cashmere &amp; Wool, hide-bis, HR-CX, LBD23, no-returns, Outerwear, Sale, Tariff Final Sale</t>
        </is>
      </c>
      <c r="J644" s="903" t="inlineStr">
        <is>
          <t>knitted-ribbed-cardigan</t>
        </is>
      </c>
    </row>
    <row r="645" ht="70" customHeight="1" s="229">
      <c r="A645" s="928" t="inlineStr">
        <is>
          <t>Knitted Ribbed Sweater</t>
        </is>
      </c>
      <c r="B645" s="929" t="inlineStr">
        <is>
          <t>Loungewear</t>
        </is>
      </c>
      <c r="C645" s="930" t="n">
        <v>105</v>
      </c>
      <c r="D645" s="930" t="n">
        <v>52.5</v>
      </c>
      <c r="E645" s="936" t="inlineStr">
        <is>
          <t>Yes</t>
        </is>
      </c>
      <c r="F645" s="931" t="inlineStr">
        <is>
          <t>The Knitted Ribbed Sweater is an instant fall fashion classic that's stylish enough to wear on its own but perfect for layering in a cute cold-weather outfit! Made from a warm wool blend, this is a must-have autumn style piece that will keep you comfortable all season long. This item is FINAL SALE and cannot be returned or exchanged.</t>
        </is>
      </c>
      <c r="G645" s="932" t="inlineStr">
        <is>
          <t>• Mock neck design with textured ribbed knit. • A comfortable blend of wool and synthetic fiber for warmth &amp; breathability. • Size M is 23.6" in length. Versatile fall style - perfect for going anywhere this season!</t>
        </is>
      </c>
      <c r="H645" s="933" t="inlineStr">
        <is>
          <t>45% viscose, 31% nylon, 24% wool • Care instructions: For best results, hand wash with like colors in cold water using a light detergent</t>
        </is>
      </c>
      <c r="I645" s="934" t="inlineStr">
        <is>
          <t>2023 BTS Sale, 21FW 9.24, 22 Spring Sale, 22FW 40OFF, 25clearance, 25DEC 50OFF, 25DEC SALE, Category_Daywear, Category_Daywear/Top, Category_Lounge, Category_Lounge/Knitwear, Category_Lounge/Sweaters&amp;Outerwear, Category_Lounge/Tops, Collection_Chocolate, Collection_Holiday Red, Collection_Knitted, Fabric_Lounge/Cashmere &amp; Wool, Fabric_Lounge/Kintwear, hide-bis, HR-CX, LBD23, no-returns, Outerwear, Sale, Tariff Final Sale</t>
        </is>
      </c>
      <c r="J645" s="935" t="inlineStr">
        <is>
          <t>knitted-ribbed-sweater</t>
        </is>
      </c>
    </row>
    <row r="646" ht="70" customHeight="1" s="229">
      <c r="A646" s="896" t="inlineStr">
        <is>
          <t>NEIWAI x Wolford Long Sleeve Top</t>
        </is>
      </c>
      <c r="B646" s="897" t="inlineStr">
        <is>
          <t>Loungewear</t>
        </is>
      </c>
      <c r="C646" s="898" t="n">
        <v>158</v>
      </c>
      <c r="D646" s="898" t="n">
        <v>94.8</v>
      </c>
      <c r="E646" s="957" t="inlineStr">
        <is>
          <t>Yes</t>
        </is>
      </c>
      <c r="F646" s="899" t="inlineStr">
        <is>
          <t>NEIWAI x Wolford. This limited-edition collaboration unites Eastern &amp; Western aesthetics for a line focused on comfort, durability, and sustainability. The NEIWAI x Wolford Long Sleeve Top is a sophisticated style choice with a chic cross-back design and a slim, flattering fit. This item is FINAL SALE and cannot be returned or exchanged.</t>
        </is>
      </c>
      <c r="G646" s="900" t="inlineStr">
        <is>
          <t>• A comfortably slim waist-length fit. Long-sleeved, includes openings for thumbs to keep sleeves in place. • Crafted from a Modal-Spandex blend for superior mobility and comfort. • Size M is 20.1" in length.</t>
        </is>
      </c>
      <c r="H646" s="901" t="inlineStr">
        <is>
          <t>88% Modal, 12% Spandex • Care instructions: For best results, use a neutral detergent to hand wash with like colors. Do not soak longer than 5 minutes</t>
        </is>
      </c>
      <c r="I646" s="902" t="inlineStr">
        <is>
          <t>2023 BTS Sale, 23 May Sale, 25clearance, Activity_Active/Ballet, Category_Lounge, Category_Lounge/Tees&amp;Tanks, Category_Lounge/Tops, Collection_Valentine, Collection_Wolford, Feature_Essentials, hide-bis, HR-CX, LBD23, Need Sample, no-returns, Sale</t>
        </is>
      </c>
      <c r="J646" s="903" t="inlineStr">
        <is>
          <t>long-sleeves-top</t>
        </is>
      </c>
    </row>
    <row r="647" ht="70" customHeight="1" s="229">
      <c r="A647" s="928" t="inlineStr">
        <is>
          <t>NEIWAI x Wolford Sleeveless Top</t>
        </is>
      </c>
      <c r="B647" s="929" t="inlineStr">
        <is>
          <t>Loungewear</t>
        </is>
      </c>
      <c r="C647" s="930" t="n">
        <v>128</v>
      </c>
      <c r="D647" s="930" t="n">
        <v>76.8</v>
      </c>
      <c r="E647" s="936" t="inlineStr">
        <is>
          <t>Yes</t>
        </is>
      </c>
      <c r="F647" s="931" t="inlineStr">
        <is>
          <t>NEIWAI x Wolford. This limited-edition collaboration unites Eastern &amp; Western aesthetics for a high-quality fashion line focused on comfort, durability, and sustainability. The NEIWAI x Wolford Sleeveless Top's simple design and open back make it a versatile choice in any season. This item is FINAL SALE and cannot be returned or exchanged.</t>
        </is>
      </c>
      <c r="G647" s="932" t="inlineStr">
        <is>
          <t>• A comfortably slim waist-length fit. No sleeves for a completely unrestricted range of motion. • Crafted from a Modal-Spandex blend for superior mobility and comfort. • Size M is 19" in length.</t>
        </is>
      </c>
      <c r="H647" s="933" t="inlineStr">
        <is>
          <t>88% Modal, 12% Spandex • Care instructions: For best results, use a neutral detergent to hand wash with like colors. Do not soak longer than 5 minutes</t>
        </is>
      </c>
      <c r="I647" s="934" t="inlineStr">
        <is>
          <t>2023 BTS Sale, 23 May Sale, Activity_Active/Ballet, Category_Daywear, Category_Daywear/Top, Category_Lingerie, Category_Lounge, Category_Lounge/Tees&amp;Tanks, Category_Lounge/Top, Category_Underwear, Collection_Wolford, hide-bis, LBD23, Need Sample, no-returns, Sale</t>
        </is>
      </c>
      <c r="J647" s="935" t="inlineStr">
        <is>
          <t>sleveless-top</t>
        </is>
      </c>
    </row>
    <row r="648" ht="84" customHeight="1" s="229">
      <c r="A648" s="896" t="inlineStr">
        <is>
          <t>NEIWAI x Wolford Sheer Bodysuit</t>
        </is>
      </c>
      <c r="B648" s="897" t="inlineStr">
        <is>
          <t>Loungewear</t>
        </is>
      </c>
      <c r="C648" s="898" t="n">
        <v>258</v>
      </c>
      <c r="D648" s="898" t="n">
        <v>154.8</v>
      </c>
      <c r="E648" s="957" t="inlineStr">
        <is>
          <t>Yes</t>
        </is>
      </c>
      <c r="F648" s="899" t="inlineStr">
        <is>
          <t>NEIWAI x Wolford. This limited-edition collaboration unites Eastern &amp; Western aesthetics for a high-quality fashion line focused on comfort, durability, and sustainability. Every piece is designed to emphasize your self-expression - the NEIWAI x Wolford Sheer Bodysuit highlights and enhances your natural beauty with its flattering fit and chic neckline as it supports your every motion. This item is FINAL SALE and cannot be returned or exchanged.</t>
        </is>
      </c>
      <c r="G648" s="900" t="inlineStr">
        <is>
          <t>• Tailored from a skin-friendly Spandex-nylon blend for superior mobility and durability. Mesh sleeves &amp; side for improved airflow and breathability. • Convenient fastening between legs for ease of removal - invisible from the outside. • Size M is 28.4" in length. A functional one-piece that easily doubles as a stylish top.</t>
        </is>
      </c>
      <c r="H648" s="901" t="inlineStr">
        <is>
          <t>body: 91% recycled nylon, 9% Spandex; mesh: 88% nylon, 12% Spandex • Care instructions: For best results, use a neutral detergent to hand wash with like colors. Do not soak longer than 5 minutes</t>
        </is>
      </c>
      <c r="I648" s="902" t="inlineStr">
        <is>
          <t>2023 BTS Sale, 23 May Sale, 25clearance, Category_Daywear, Category_Lounge, Category_Lounge/Bodysuits, Category_Underwear/Tops, Category_Underwear/Tops/Bodysuits, Collection_Valentine, Collection_Wolford, hide-bis, HR-CX, LBD23, Need Sample, no-returns, Sale, Sized Bodysuit</t>
        </is>
      </c>
      <c r="J648" s="903" t="inlineStr">
        <is>
          <t>sheer-opaque-body</t>
        </is>
      </c>
    </row>
    <row r="649" ht="84" customHeight="1" s="229">
      <c r="A649" s="920" t="inlineStr">
        <is>
          <t>NEIWAI x Wolford Headband</t>
        </is>
      </c>
      <c r="B649" s="921" t="inlineStr">
        <is>
          <t>Accessories</t>
        </is>
      </c>
      <c r="C649" s="922" t="n">
        <v>68</v>
      </c>
      <c r="D649" s="922" t="n">
        <v>40.8</v>
      </c>
      <c r="E649" s="987" t="inlineStr">
        <is>
          <t>Yes</t>
        </is>
      </c>
      <c r="F649" s="923" t="inlineStr">
        <is>
          <t>NEIWAI x Wolford. This limited-edition collaboration unites Eastern &amp; Western aesthetics for a high-quality fashion line focused on comfort, durability, and sustainability. Every piece is designed to emphasize your self-expression - the NEIWAI x Wolford Headband is a refreshingly simple, elegant, &amp; multi-purpose accessory that keeps your hair back so that you can focus on what matters most. This item is FINAL SALE and cannot be returned or exchanged.</t>
        </is>
      </c>
      <c r="G649" s="924" t="inlineStr">
        <is>
          <t>• Cradle to Cradle ¬Æ Certified - sustainably produced for a cleaner environment. • Wide band with micro-velvet texture and high elasticity to fit comfortably for lengths of time. Suitable for a variety of hair volumes &amp; types. • Versatile &amp; multi-functional style - perfect for sport or daily use.</t>
        </is>
      </c>
      <c r="H649" s="925" t="inlineStr">
        <is>
          <t>70% Modal, 26% polyester, 4% Spandex • Sustainably produced, Cradle to Cradle¬Æ certified. • Care instructions: For best results, use a neutral detergent to hand wash with like colors. Do not soak longer than 5 minutes</t>
        </is>
      </c>
      <c r="I649" s="926" t="inlineStr">
        <is>
          <t>2023 BTS Sale, 23 May Sale, Activity_Active/Ballet, Activity_Active/Gym, Activity_Active/Outdoor, Activity_Active/Running, Category_Active/Accessories, Category_Daywear, Category_Lounge, Category_Lounge/Accessories, Collection_Wolford, hide-bis, LBD23, Need Sample, no-returns, Sale</t>
        </is>
      </c>
      <c r="J649" s="927" t="inlineStr">
        <is>
          <t>headband</t>
        </is>
      </c>
    </row>
    <row r="650" ht="70" customHeight="1" s="229">
      <c r="A650" s="928" t="inlineStr">
        <is>
          <t>NEIWAI x Wolford Aurora Skirt</t>
        </is>
      </c>
      <c r="B650" s="929" t="inlineStr">
        <is>
          <t>Loungewear</t>
        </is>
      </c>
      <c r="C650" s="930" t="n">
        <v>168</v>
      </c>
      <c r="D650" s="930" t="n">
        <v>100.8</v>
      </c>
      <c r="E650" s="936" t="inlineStr">
        <is>
          <t>Yes</t>
        </is>
      </c>
      <c r="F650" s="931" t="inlineStr">
        <is>
          <t>NEIWAI x Wolford. This limited-edition collaboration unites Eastern &amp; Western aesthetics for a high-quality fashion line focused on comfort, durability, and sustainability. The NEIWAI x Wolford Aurora Skirt is simple, yet elegant - a bold choice that flows with any style to empower the outfits of your choice. This item is FINAL SALE and cannot be returned or exchanged.</t>
        </is>
      </c>
      <c r="G650" s="932" t="inlineStr">
        <is>
          <t>• Cradle to Cradle ¬Æ Certified - sustainably produced for a cleaner environment. • A slimming fit, cut from a soft, ultra-flexible Modal-poly-Spandex blend. Double-layered at the waist with a slight ribbed texture. • Size M is 31.2" in length.</t>
        </is>
      </c>
      <c r="H650" s="933" t="inlineStr">
        <is>
          <t>70% Modal, 26% polyester, 4% Spandex • Sustainably produced, Cradle to Cradle¬Æ certified. • Care instructions: For best results, use a neutral detergent to hand wash with like colors. Do not soak longer than 5 minutes</t>
        </is>
      </c>
      <c r="I650" s="934" t="inlineStr">
        <is>
          <t>2023 BTS Sale, 23 May Sale, Category_Daywear, Category_Lounge, Category_Lounge/Bottoms, Category_Lounge/Bottoms/Elastic, Category_Lounge/Shorts, Collection_Wolford, hide-bis, LBD23, Need Sample, no-returns, Sale</t>
        </is>
      </c>
      <c r="J650" s="935" t="inlineStr">
        <is>
          <t>aurora-skirt</t>
        </is>
      </c>
    </row>
    <row r="651" ht="70" customHeight="1" s="229">
      <c r="A651" s="896" t="inlineStr">
        <is>
          <t>NEIWAI x Wolford Stirrup Leggings</t>
        </is>
      </c>
      <c r="B651" s="897" t="inlineStr">
        <is>
          <t>Loungewear</t>
        </is>
      </c>
      <c r="C651" s="898" t="n">
        <v>198</v>
      </c>
      <c r="D651" s="898" t="n">
        <v>118.8</v>
      </c>
      <c r="E651" s="957" t="inlineStr">
        <is>
          <t>Yes</t>
        </is>
      </c>
      <c r="F651" s="899" t="inlineStr">
        <is>
          <t>The limited-edition NEIWAI x Wolford collaboration unites Eastern &amp; Western aesthetics for a high-quality collection focused on comfort, durability, and sustainability. The Stirrup Leggings are designed to provide a comfortable and flattering fit that supports a full range of motion. This item is FINAL SALE and cannot be returned or exchanged.</t>
        </is>
      </c>
      <c r="G651" s="900" t="inlineStr">
        <is>
          <t>• Cradle to Cradle ¬Æ Certified - sustainably produced for a cleaner environment. • Crafted from an ultra-flexible, skin-friendly double-layer Modal-poly-Spandex blend for superior mobility and comfort. • A high-waisted, close elastic fit with stirrups to prevent slipping. • Inseam is 30" for Size M.</t>
        </is>
      </c>
      <c r="H651" s="901" t="inlineStr">
        <is>
          <t>70% Modal, 26% polyester, 4% Spandex • Sustainably produced, Cradle to Cradle¬Æ certified. • Care instructions: For best results, use a neutral detergent to hand wash with like colors. Do not soak longer than 5 minutes</t>
        </is>
      </c>
      <c r="I651" s="902" t="inlineStr">
        <is>
          <t>2023 BTS Sale, 23 May Sale, 25clearance, Category_Daywear, Category_Daywear/Pants, Category_Lingerie, Category_Lounge, Category_Lounge/Bottoms, Category_Lounge/Bottoms/Elastic, Category_Lounge/Pants, Category_Underwear, Collection_Wolford, hide-bis, HR-CX, LBD23, Need Sample, no-returns, Sale</t>
        </is>
      </c>
      <c r="J651" s="903" t="inlineStr">
        <is>
          <t>stirup-leggings</t>
        </is>
      </c>
    </row>
    <row r="652" ht="70" customHeight="1" s="229">
      <c r="A652" s="928" t="inlineStr">
        <is>
          <t>Merino Wool Pink Marble Boatneck Sweater</t>
        </is>
      </c>
      <c r="B652" s="929" t="inlineStr">
        <is>
          <t>Loungewear</t>
        </is>
      </c>
      <c r="C652" s="930" t="n">
        <v>138</v>
      </c>
      <c r="D652" s="930" t="n">
        <v>82.8</v>
      </c>
      <c r="E652" s="936" t="inlineStr">
        <is>
          <t>Yes</t>
        </is>
      </c>
      <c r="F652" s="931" t="inlineStr">
        <is>
          <t>Sometimes our autumn wardrobes need a splash of color! Our Merino Wool Pink Marble Boatneck Sweater is a versatile addition to your fall fashion rotation - made of 100% Merino wool with a fun marbled pink pattern to keep you cozy &amp; stylish in the cooler months! This item is final sale and cannot be returned or exchanged.</t>
        </is>
      </c>
      <c r="G652" s="932" t="inlineStr">
        <is>
          <t>• 100% Merino wool - naturally lightweight, warm, &amp; breathable. • Classic knit pattern, t ailored for a loose profile that gradually slims at the waist. • A perfect layering piece that adds a splash of color to any outfit - but also perfect when worn on its own!</t>
        </is>
      </c>
      <c r="H652" s="933" t="inlineStr">
        <is>
          <t>100% Merino sheep's wool • Care instructions: Professionally dry-cleaning recommended</t>
        </is>
      </c>
      <c r="I652" s="934" t="inlineStr">
        <is>
          <t>21FW 9.24, 21Winter Sale, 22 Spring Sale, Category_Daywear, Category_Daywear/Top, Category_Lounge, Category_Lounge/Knitwear, Category_Lounge/Sweaters&amp;Outerwear, Category_Lounge/Top, Collection_Knitted, Fabric_Lounge/Cashmere &amp; Wool, Function_Lounge/Casual, Function_Lounge/Essential/Mid &amp; Long Sleeve, no-returns</t>
        </is>
      </c>
      <c r="J652" s="935" t="inlineStr">
        <is>
          <t>merino-wool-boatneck-pink-marble-swirl-sweater</t>
        </is>
      </c>
    </row>
    <row r="653" ht="84" customHeight="1" s="229">
      <c r="A653" s="880" t="inlineStr">
        <is>
          <t>Nude Shape High Waist Brief - old</t>
        </is>
      </c>
      <c r="B653" s="881" t="inlineStr">
        <is>
          <t>Underwear</t>
        </is>
      </c>
      <c r="C653" s="882" t="n">
        <v>39</v>
      </c>
      <c r="D653" s="882" t="n">
        <v>23.4</v>
      </c>
      <c r="E653" s="937" t="inlineStr">
        <is>
          <t>Yes</t>
        </is>
      </c>
      <c r="F653" s="883" t="inlineStr">
        <is>
          <t>Double-layered fabric for double-layered comfort &amp; durability, o ur High Waist Shape Briefs are a super high-waist option for when you need a little extra abdominal comfort &amp; support! High-rise and close-fitting with hemlines that reduce friction against your clothes, these Spandex-blend briefs are your go-to underwear under your comfiest outfits. This item is FINAL SALE and cannot be returned or exchanged.</t>
        </is>
      </c>
      <c r="G653" s="884" t="inlineStr">
        <is>
          <t>• Ultra high-waist fit for maximum coverage &amp; a secure feel. • Soft, smooth, &amp; flexible nylon-Spandex blend, with a 100% cotton lining. • Available in three easy-to-match colors &amp; multiple sizes for a variety of body types.</t>
        </is>
      </c>
      <c r="H653" s="885" t="inlineStr">
        <is>
          <t>69% polyamide, 31% Lycra¬Æ Spandex; lining: 100% cotton. • Care instructions: For best results, g ently handwash with like colors in cold water. Soak no longer than 5 minutes</t>
        </is>
      </c>
      <c r="I653" s="886" t="inlineStr">
        <is>
          <t>2023 BTS Sale, 21FW 10.29, 23 Spring Sale, 23Oct Markdown, Category_Lingerie, Category_Lingerie/Brief, Category_Lingerie/Brief/High Waist, Category_Underwear, Category_Underwear/Bottoms, Category_Underwear/Bottoms/Panties, Category_Underwear/Bottoms/Panties/High Waist, Category_Underwear/Bottoms/Panties/Shapewear, Collection_Nude, Fabric_Underwear/Body Shaper, Fabric_Underwear/Lycra, hide-bis, HR-CX, LBD23, no-returns, Sale, XS - XL Brief</t>
        </is>
      </c>
      <c r="J653" s="887" t="inlineStr">
        <is>
          <t>high-waist-shape-brief-old</t>
        </is>
      </c>
    </row>
    <row r="654" ht="56" customHeight="1" s="229">
      <c r="A654" s="896" t="inlineStr">
        <is>
          <t>Barely Zero Padded Cami</t>
        </is>
      </c>
      <c r="B654" s="897" t="inlineStr">
        <is>
          <t>Loungewear</t>
        </is>
      </c>
      <c r="C654" s="898" t="n">
        <v>48</v>
      </c>
      <c r="D654" s="898" t="n">
        <v>48</v>
      </c>
      <c r="E654" s="897" t="inlineStr"/>
      <c r="F654" s="899" t="inlineStr">
        <is>
          <t>Introducing the Barely Zero Padded Cami - a close-fitting, full-coverage all-in-one bra &amp; undershirt! This versatile piece offers so many options both as a layering piece and on its own, making it a welcome addition to the Barely Zero family and a must-have in your wardrobe.</t>
        </is>
      </c>
      <c r="G654" s="900" t="inlineStr">
        <is>
          <t>• The Barely Zero Padded Cami comfortably fits anyone who wears a band size between 31.5"-39.5" and an A-D cup. • T ailored for a close, comfortable fit that doesn't dig in or show lines, even under tight clothing! Removable chest padding, no uncomfortable buckles. • Made from CloudFit¬©: a soft, ultra-elastic blend that's breathable &amp; moisture-wicking for all-day skin comfort. Now with improved odor reduction!</t>
        </is>
      </c>
      <c r="H654" s="901" t="inlineStr">
        <is>
          <t>70% CloudFit¬© nylon, 30% Spandex; shirt: 46% cotton, 27% CloudFit¬© nylon , 27% Spandex • To preserve and lengthen its wear-life, we strongly recommend handwashing your Barely Zero. Dissolve a gentle detergent in cold water (86 °F /30 °C max ) and fully immerse the underwear. Gently press/knead it, then rinse (soak no longer than 5 minutes)</t>
        </is>
      </c>
      <c r="I654" s="902" t="inlineStr">
        <is>
          <t>2022 Title Update, 21FW 9.24, Category_Lounge, Category_Lounge/Tees&amp;Tanks, Collection_2021 Barely Zero, Fabric_Lounge/Cotton, Function_Lounge/Essential, Function_Lounge/Essential/Cami</t>
        </is>
      </c>
      <c r="J654" s="903" t="inlineStr">
        <is>
          <t>barely-zero-padded-cami</t>
        </is>
      </c>
    </row>
    <row r="655" ht="42" customHeight="1" s="229">
      <c r="A655" s="928" t="inlineStr">
        <is>
          <t>Knitted Ribbed Turtleneck Sweater</t>
        </is>
      </c>
      <c r="B655" s="929" t="inlineStr">
        <is>
          <t>Loungewear</t>
        </is>
      </c>
      <c r="C655" s="930" t="n">
        <v>198</v>
      </c>
      <c r="D655" s="930" t="n">
        <v>118.8</v>
      </c>
      <c r="E655" s="936" t="inlineStr">
        <is>
          <t>Yes</t>
        </is>
      </c>
      <c r="F655" s="931" t="inlineStr">
        <is>
          <t>The Knitted Ribbed Turtleneck Sweater - the perfect timeless knitwear piece to keep you warm and comfortable all season long. This item is final sale and cannot be returned or exchanged.</t>
        </is>
      </c>
      <c r="G655" s="932" t="inlineStr">
        <is>
          <t>• 100% Merino wool - a naturally lightweight, warm, and breathable fiber. • Knit with a classic ribbed pattern and t ailored for a loose profile that gradually slims at the waist. • Size M is 24.4" in length.</t>
        </is>
      </c>
      <c r="H655" s="933" t="inlineStr">
        <is>
          <t>100% Merino sheep's wool • Care instructions: For home care, hand wash using a wool-safe detergent. Lay flat to dry. Professionally dry-clean as needed</t>
        </is>
      </c>
      <c r="I655" s="934" t="inlineStr">
        <is>
          <t>2023 BTS Sale, 21FW 9.17, 21Winter Sale, 22 Spring Sale, 25clearance, Category_Daywear, Category_Daywear/Top, Category_Lounge, Category_Lounge/Knitwear, Category_Lounge/Sweaters&amp;Outerwear, Category_Lounge/Top, Collection_Holiday Red, Collection_Knitted, Fabric_Lounge/Cashmere &amp; Wool, hide-bis, LBD23, no-returns, Outerwear, Sale</t>
        </is>
      </c>
      <c r="J655" s="935" t="inlineStr">
        <is>
          <t>ribbed-turtleneck-sweater</t>
        </is>
      </c>
    </row>
    <row r="656" ht="56" customHeight="1" s="229">
      <c r="A656" s="888" t="inlineStr">
        <is>
          <t>Essential Thermal Underwear Pants</t>
        </is>
      </c>
      <c r="B656" s="889" t="inlineStr">
        <is>
          <t>Underwear</t>
        </is>
      </c>
      <c r="C656" s="890" t="n">
        <v>38</v>
      </c>
      <c r="D656" s="890" t="n">
        <v>19</v>
      </c>
      <c r="E656" s="985" t="inlineStr">
        <is>
          <t>Yes</t>
        </is>
      </c>
      <c r="F656" s="891" t="inlineStr">
        <is>
          <t>Hide an extra layer of warmth under any cold-weather outfit! These Thermal Underwear Pants are made of our innovative WARM MATCH¬Æ fabric blend for a cozy fit that's essential to keeping you warm &amp; comfortable when you need it most. This item is final sale and cannot be returned or exchanged.</t>
        </is>
      </c>
      <c r="G656" s="892" t="inlineStr">
        <is>
          <t>• WARM MATCH¬Æ: our own special blend of TENCEL‚Ñ¢ Modal and other fabrics, known for its soft texture, breathability, and heat-retention. • Elastic waistband and cuffs. A close, nearly seamless &amp; flexible fit that comfortably sits under any other garment. • Get the matching pants for a full set that's cozy as a warm layer under other outfits or as something comfy to wear around the house!</t>
        </is>
      </c>
      <c r="H656" s="893" t="inlineStr">
        <is>
          <t>66% acrylic blend, 28% TENCEL‚Ñ¢ Modal, 6% Spandex • Care instructions: For best results, hand wash with like colors in cold water</t>
        </is>
      </c>
      <c r="I656" s="894" t="inlineStr">
        <is>
          <t>21FW 9.24, 21Winter Sale, 22 Spring Sale, 22FW 50OFF, 23 Spring Sale, Category_Lounge, Category_Lounge/Bottoms, Category_Lounge/Pants, Category_Lounge/Thermal, Category_Underwear/Bottoms, Category_Underwear/Bottoms/Thermal, Collection_Essential, Collection_Essential/Lingerie, Collection_Essential/Loungewear, Fabric_Lounge/Thermal, Fabric_Underwear/Tencel Modal, Fabric_Underwear/Thermal, Function_Lounge/Essential, Function_Lounge/Essential/Pants, hide-bis, no-returns, Sale</t>
        </is>
      </c>
      <c r="J656" s="895" t="inlineStr">
        <is>
          <t>thermal-underwear-pants</t>
        </is>
      </c>
    </row>
    <row r="657" ht="56" customHeight="1" s="229">
      <c r="A657" s="880" t="inlineStr">
        <is>
          <t>Essential Thermal Underwear Top</t>
        </is>
      </c>
      <c r="B657" s="881" t="inlineStr">
        <is>
          <t>Underwear</t>
        </is>
      </c>
      <c r="C657" s="882" t="n">
        <v>38</v>
      </c>
      <c r="D657" s="882" t="n">
        <v>19</v>
      </c>
      <c r="E657" s="937" t="inlineStr">
        <is>
          <t>Yes</t>
        </is>
      </c>
      <c r="F657" s="883" t="inlineStr">
        <is>
          <t>Hide an extra layer of warmth under any cold-weather outfit! This Thermal Underwear Top are made of our innovative WARM MATCH¬Æ fabric blend for a cozy fit that's essential to keeping you warm &amp; comfortable when you need it most. This item is final sale and cannot be returned or exchanged.</t>
        </is>
      </c>
      <c r="G657" s="884" t="inlineStr">
        <is>
          <t>• WARM MATCH¬Æ: our own special blend of TENCEL‚Ñ¢ Modal and other fabrics, known for its soft texture, breathability, and heat-retention. • A close, nearly seamless elastic fit that comfortably sits under any other garment. • Get the matching pants for a full set that's cozy as a warm layer under other outfits or as something comfy to wear around the house!</t>
        </is>
      </c>
      <c r="H657" s="885" t="inlineStr">
        <is>
          <t>66% acrylic blend, 28% TENCEL‚Ñ¢ Modal, 6% Spandex • Care instructions: For best results, hand wash with like colors in cold water</t>
        </is>
      </c>
      <c r="I657" s="886" t="inlineStr">
        <is>
          <t>hide-bis, no-returns</t>
        </is>
      </c>
      <c r="J657" s="887" t="inlineStr">
        <is>
          <t>thermal-underwear-top</t>
        </is>
      </c>
    </row>
    <row r="658" ht="42" customHeight="1" s="229">
      <c r="A658" s="904" t="inlineStr">
        <is>
          <t>Ballet Longsleeve Tee</t>
        </is>
      </c>
      <c r="B658" s="905" t="inlineStr">
        <is>
          <t>Active</t>
        </is>
      </c>
      <c r="C658" s="906" t="n">
        <v>88</v>
      </c>
      <c r="D658" s="906" t="n">
        <v>44</v>
      </c>
      <c r="E658" s="956" t="inlineStr">
        <is>
          <t>Yes</t>
        </is>
      </c>
      <c r="F658" s="907" t="inlineStr">
        <is>
          <t>A top as elegant as the motions of your dance. The Ballet Longsleeve Tee is designed to enhance movement, from its modern, minimalist cut to its breathable fabric blend. This item is FINAL SALE and cannot be returned or exchanged.</t>
        </is>
      </c>
      <c r="G658" s="908" t="inlineStr">
        <is>
          <t>• Loose cut &amp; chic design - a refined look to complement every motion! • Designed for ballet/dance, yoga, &amp; other forms of low-impact activity. • Size M is 19.4" in length.</t>
        </is>
      </c>
      <c r="H658" s="909" t="inlineStr">
        <is>
          <t>91% cupro, 9% Spandex • Care instructions: For best results, hand wash with like colors in cold water</t>
        </is>
      </c>
      <c r="I658" s="910" t="inlineStr">
        <is>
          <t>2023 BTS Sale, 21FW 9.24, 21Winter Sale, 22 Spring Sale, 23 May Sale, 23 Spring Sale, 25clearance, Activity_Active/Ballet, Activity_Active/Ballet&amp;Dance, Activity_Active/Dance, Activity_Active/Gym, Activity_Active/Outdoor, Category_Active, Category_Active/Ballet, Category_Active/Tops, Category_Daywear, Category_Daywear/Top, Category_Lounge, Category_Lounge/Tops, Collection_Chocolate, Fabric_Active/Cupro, hide-bis, HR-CX, LBD23, no-returns, Sale, Tariff Final Sale</t>
        </is>
      </c>
      <c r="J658" s="911" t="inlineStr">
        <is>
          <t>ballet-longsleeve-tee</t>
        </is>
      </c>
    </row>
    <row r="659" ht="56" customHeight="1" s="229">
      <c r="A659" s="896" t="inlineStr">
        <is>
          <t>Knitted Coat</t>
        </is>
      </c>
      <c r="B659" s="897" t="inlineStr">
        <is>
          <t>Loungewear</t>
        </is>
      </c>
      <c r="C659" s="898" t="n">
        <v>315</v>
      </c>
      <c r="D659" s="898" t="n">
        <v>157.5</v>
      </c>
      <c r="E659" s="957" t="inlineStr">
        <is>
          <t>Yes</t>
        </is>
      </c>
      <c r="F659" s="899" t="inlineStr">
        <is>
          <t>Our Knitted Coat is your new favorite versatile piece of autumn outerwear - m ade from a warm wool-blend, this elegant piece pushes the boundaries of loungewear &amp; outerwear. Cozy enough to wear at home, casually stylish enough to wear on the go! This item is final sale and cannot be returned or exchanged.</t>
        </is>
      </c>
      <c r="G659" s="900" t="inlineStr">
        <is>
          <t>• Warm, thick-knit wool blend - perfectly suited for indoors &amp; outdoors! • Long sleeves with semi-elastic cuffs. Belt closure. • Size M is 43.3" in length.</t>
        </is>
      </c>
      <c r="H659" s="901" t="inlineStr">
        <is>
          <t>36% alpaca wool, 32% sheep's wool, 27% polyamide, 5% Spandex • Care instructions: Professional dry-cleaning recommended</t>
        </is>
      </c>
      <c r="I659" s="902" t="inlineStr">
        <is>
          <t>2023 BTS Sale, 21FW 9.24, 21Winter Sale, 22 Spring Sale, 23Oct Markdown, 25clearance, Category_Daywear, Category_Daywear/FayeWong, Category_Lounge, Category_Lounge/Knitwear, Category_Lounge/Outerwear, Category_Lounge/Sweaters&amp;Outerwear, Category_Lounge/Tops, Collection_Chocolate, Collection_Faye Wong, Collection_Knitted, Fabric_Lounge/Cashmere &amp; Wool, Fabric_Lounge/Kintwear, hide-bis, HR-CX, LBD23, no-returns, Outerwear, Sale</t>
        </is>
      </c>
      <c r="J659" s="903" t="inlineStr">
        <is>
          <t>knitted-coat</t>
        </is>
      </c>
    </row>
    <row r="660" ht="42" customHeight="1" s="229">
      <c r="A660" s="928" t="inlineStr">
        <is>
          <t>Boundless Sweatpants</t>
        </is>
      </c>
      <c r="B660" s="929" t="inlineStr">
        <is>
          <t>Loungewear</t>
        </is>
      </c>
      <c r="C660" s="930" t="n">
        <v>198</v>
      </c>
      <c r="D660" s="930" t="n">
        <v>99</v>
      </c>
      <c r="E660" s="936" t="inlineStr">
        <is>
          <t>Yes</t>
        </is>
      </c>
      <c r="F660" s="931" t="inlineStr">
        <is>
          <t>Our Boundless Sweatpants are exactly what you need to be cozy, comfortable, and take your lounge time to the next level. This item is final sale and cannot be returned or exchanged.</t>
        </is>
      </c>
      <c r="G660" s="932" t="inlineStr">
        <is>
          <t>• An elevated casual fit that's perfect for the couch, yet perfectly presentable for going out. • Merino wool blend - warm, soft, &amp; breathable, perfect for staying cozy on a cool day in! • Size M is 38.3" in length. Features elastic waistband and cuffs, with loose legs and deep functional pockets.</t>
        </is>
      </c>
      <c r="H660" s="933" t="inlineStr">
        <is>
          <t>82% Merino sheep's wool, 16% nylon, 2% Spandex • Care instructions: For best results, hand wash in cold water with like colors using a light detergent</t>
        </is>
      </c>
      <c r="I660" s="934" t="inlineStr">
        <is>
          <t>2023 BTS Sale, 21FW 9.17, 21Winter Sale, 22 Spring Sale, 23Oct Markdown, Category_Daywear, Category_Daywear/Pants, Category_Lounge, Category_Lounge/Bottoms, Category_Lounge/Bottoms/Elastic, Category_Lounge/Pants, Collection_Boundless, Collection_Chocolate, Fabric_Lounge/Cashmere &amp; Wool, hide-bis, LBD23, no-returns, Sale</t>
        </is>
      </c>
      <c r="J660" s="935" t="inlineStr">
        <is>
          <t>boundless-sweat-pants</t>
        </is>
      </c>
    </row>
    <row r="661" ht="70" customHeight="1" s="229">
      <c r="A661" s="896" t="inlineStr">
        <is>
          <t>Boundless Fleece Jacket</t>
        </is>
      </c>
      <c r="B661" s="897" t="inlineStr">
        <is>
          <t>Loungewear</t>
        </is>
      </c>
      <c r="C661" s="898" t="n">
        <v>135</v>
      </c>
      <c r="D661" s="898" t="n">
        <v>65</v>
      </c>
      <c r="E661" s="957" t="inlineStr">
        <is>
          <t>Yes</t>
        </is>
      </c>
      <c r="F661" s="899" t="inlineStr">
        <is>
          <t>Our Boundless Fleece Jacket is a versatile outer layer designed to keep you warm &amp; cozy at home and beyond. This long-sleeved zip-up jacket is a mature top-layer style that elevates the style of even a casual outfit - an instant staple of your autumn &amp; winter wardrobe! This item is final sale and cannot be returned or exchanged.</t>
        </is>
      </c>
      <c r="G661" s="900" t="inlineStr">
        <is>
          <t>• Elastic cuffs &amp; lower hem. Double-ended zipper for a customizable style. • Advanced blend of fabrics for warmth, softness, flexibility, and overall comfort. • Throw it over anything for a look that's cozy yet refined, perfect for the office, classroom, and beyond.</t>
        </is>
      </c>
      <c r="H661" s="901" t="inlineStr">
        <is>
          <t>31% viscose, 21% acrylic fiber, 19% cotton, 16% polyester, 10% Spandex, 3% cashmere • Care instructions: For best results, hand wash with a light detergent in cold water</t>
        </is>
      </c>
      <c r="I661" s="902" t="inlineStr">
        <is>
          <t>G2 Sample Sale, hide-bis, no-returns</t>
        </is>
      </c>
      <c r="J661" s="903" t="inlineStr">
        <is>
          <t>boundless-fleece-jacket-sample-2</t>
        </is>
      </c>
    </row>
    <row r="662" ht="70" customHeight="1" s="229">
      <c r="A662" s="928" t="inlineStr">
        <is>
          <t>Essential Ribbed Cami</t>
        </is>
      </c>
      <c r="B662" s="929" t="inlineStr">
        <is>
          <t>Loungewear</t>
        </is>
      </c>
      <c r="C662" s="930" t="n">
        <v>28</v>
      </c>
      <c r="D662" s="930" t="n">
        <v>19.6</v>
      </c>
      <c r="E662" s="936" t="inlineStr">
        <is>
          <t>Yes</t>
        </is>
      </c>
      <c r="F662" s="931" t="inlineStr">
        <is>
          <t>The Essential Ribbed Cami - a necessary layering piece for any woman who wants to build complex &amp; stylish outfits. Made from a soft blend of cotton, TENCEL Modal, and Lycra Spandex, this cute cami is light on the skin and easy to wear - by far the comfiest &amp; most stylable new top in your wardrobe! This item is final sale and cannot be returned or exchanged.</t>
        </is>
      </c>
      <c r="G662" s="932" t="inlineStr">
        <is>
          <t>• Simple, elegant design. Elastic straps. • Breathable, soft fabric blend - neverending comfort! • Perfect as a layering piece, yet stylish enough to stand on its own.</t>
        </is>
      </c>
      <c r="H662" s="933" t="inlineStr">
        <is>
          <t>47% cotton, 45% TENCEL Modal, 8% Lycra Spandex • Care instructions: For best results, hand wash with like colors in cold water using a light detergent</t>
        </is>
      </c>
      <c r="I662" s="934" t="inlineStr">
        <is>
          <t>21FW 9.17, 21Winter Sale, 22 Spring Sale, Category_Lounge, Category_Lounge/Tees&amp;Tanks, Category_Lounge/Top, Collection_Chocolate, Collection_Essential, Collection_Essential/Lingerie, Collection_Essential/Lounge, Fabric_Lounge/Cotton, Function_Lounge/Essential/Cami, hide-bis, no-returns, Sale</t>
        </is>
      </c>
      <c r="J662" s="935" t="inlineStr">
        <is>
          <t>foundation-ribbed-cami</t>
        </is>
      </c>
    </row>
    <row r="663" ht="42" customHeight="1" s="229">
      <c r="A663" s="896" t="inlineStr">
        <is>
          <t>Boundless Longsleeve Tee</t>
        </is>
      </c>
      <c r="B663" s="897" t="inlineStr">
        <is>
          <t>Loungewear</t>
        </is>
      </c>
      <c r="C663" s="898" t="n">
        <v>48</v>
      </c>
      <c r="D663" s="898" t="n">
        <v>28.8</v>
      </c>
      <c r="E663" s="957" t="inlineStr">
        <is>
          <t>Yes</t>
        </is>
      </c>
      <c r="F663" s="899" t="inlineStr">
        <is>
          <t>The Boundless Longsleeve Tee is a luxuriously soft, relaxed top that's perfect for layering and transitional weather. This item is final sale and cannot be returned or exchanged.</t>
        </is>
      </c>
      <c r="G663" s="900" t="inlineStr">
        <is>
          <t>• Long sleeves . Classic crewneck collar. • Made from our softest cotton with a little Spandex blended in for extra stretch. • A versatile top that looks great on its own or layers well with any outfit!</t>
        </is>
      </c>
      <c r="H663" s="901" t="inlineStr">
        <is>
          <t>89% cotton, 13% Spandex • Care instructions: For best results, hand wash using a light detergent with like colors in cold water</t>
        </is>
      </c>
      <c r="I663" s="902" t="inlineStr">
        <is>
          <t>2023 BTS Sale, 21FW 9.10, 21Winter Sale, 22 Spring Sale, Category_Daywear, Category_Daywear/Top, Category_Lounge, Category_Lounge/Tees&amp;Tanks, Category_Lounge/Top, Collection_Boundless, Fabric_Lounge/Cotton, Feature_Essentials, hide-bis, LBD23, no-returns, Sale, Spring Palette</t>
        </is>
      </c>
      <c r="J663" s="903" t="inlineStr">
        <is>
          <t>boundless-longsleeve-tee</t>
        </is>
      </c>
    </row>
    <row r="664" ht="56" customHeight="1" s="229">
      <c r="A664" s="928" t="inlineStr">
        <is>
          <t>Essential Ribbed Longsleeve T-Shirt</t>
        </is>
      </c>
      <c r="B664" s="929" t="inlineStr">
        <is>
          <t>Loungewear</t>
        </is>
      </c>
      <c r="C664" s="930" t="n">
        <v>48</v>
      </c>
      <c r="D664" s="930" t="n">
        <v>28.8</v>
      </c>
      <c r="E664" s="936" t="inlineStr">
        <is>
          <t>Yes</t>
        </is>
      </c>
      <c r="F664" s="931" t="inlineStr">
        <is>
          <t>The Essential Ribbed Longsleeve T-Shirt - a timeless, comfortable style with endless versatility. As elegant as it is comfortable, a quality long sleeve tee like this is a cornerstone of any fall wardrobe! This item is final sale and cannot be returned or exchanged.</t>
        </is>
      </c>
      <c r="G664" s="932" t="inlineStr">
        <is>
          <t>• Classic crewneck collar, long sleeves. • Made from a soft cotton-Modal blend, with just a little Spandex for extra stretch. • Size M is 18.9" in length. Cropped and streamlined fit makes for easy layering.</t>
        </is>
      </c>
      <c r="H664" s="933" t="inlineStr">
        <is>
          <t>47% cotton, 45% TENCEL Modal, 8% Lycra Spandex • Care instructions: For best results, hand wash with like colors in cold water using a light detergent</t>
        </is>
      </c>
      <c r="I664" s="934" t="inlineStr">
        <is>
          <t>2023 BTS Sale, 21FW 9.17, 21Winter Sale, 22 Spring Sale, 22FW 40OFF, Category_Lounge, Category_Lounge/Tees&amp;Tanks, Category_Lounge/Top, Collection_Chocolate, Collection_Essential, Collection_Essential/Lounge, Fabric_Lounge/Cotton, Feature_Essentials, Function_Lounge/Essential, hide-bis, LBD23, no-returns, Sale</t>
        </is>
      </c>
      <c r="J664" s="935" t="inlineStr">
        <is>
          <t>foundation-ribbed-longsleeve-t-shirt</t>
        </is>
      </c>
    </row>
    <row r="665" ht="56" customHeight="1" s="229">
      <c r="A665" s="896" t="inlineStr">
        <is>
          <t>Boundless Cropped Pants</t>
        </is>
      </c>
      <c r="B665" s="897" t="inlineStr">
        <is>
          <t>Loungewear</t>
        </is>
      </c>
      <c r="C665" s="898" t="n">
        <v>78</v>
      </c>
      <c r="D665" s="898" t="n">
        <v>39</v>
      </c>
      <c r="E665" s="957" t="inlineStr">
        <is>
          <t>Yes</t>
        </is>
      </c>
      <c r="F665" s="899" t="inlineStr">
        <is>
          <t>Our Boundless Cropped Pants are knitted from a thick cotton blend to be cozy, comfortable, yet effortlessly stylish. A classic cut and high-waisted style, these are the perfect pants to match any outfit in cooler weather! This item is final sale and cannot be returned or exchanged.</t>
        </is>
      </c>
      <c r="G665" s="900" t="inlineStr">
        <is>
          <t>• Versatile style - cozy at home, stylish anywhere else! • Size M is 38.2" in length. Full-length, classic high-waisted fit, button closure, &amp; functional pockets. • Warm cotton blend.</t>
        </is>
      </c>
      <c r="H665" s="901" t="inlineStr">
        <is>
          <t>87% cotton, 13% polyester • Care instructions: Machine wash on gentle cycle in cold water, tumble dry on low heat or line dry</t>
        </is>
      </c>
      <c r="I665" s="902" t="inlineStr">
        <is>
          <t>2023 BTS Sale, 21FW 9.17, 21Winter Sale, 22 Spring Sale, 22FW 40OFF, 23Oct Markdown, 25clearance, Category_Daywear, Category_Daywear/Pants, Category_Lounge, Category_Lounge/Bottoms, Category_Lounge/Bottoms/Non-Elastic, Category_Lounge/Pants, Collection_Boundless, Fabric_Lounge/Cotton, Feature_Essentials, hide-bis, HR-CX, LBD23, no-returns, Non-Elastic Lounge Bottoms, Sale</t>
        </is>
      </c>
      <c r="J665" s="903" t="inlineStr">
        <is>
          <t>boundless-cropped-pants</t>
        </is>
      </c>
    </row>
    <row r="666" ht="56" customHeight="1" s="229">
      <c r="A666" s="928" t="inlineStr">
        <is>
          <t>Boundless Fleece V Neck Sweater</t>
        </is>
      </c>
      <c r="B666" s="929" t="inlineStr">
        <is>
          <t>Loungewear</t>
        </is>
      </c>
      <c r="C666" s="930" t="n">
        <v>69</v>
      </c>
      <c r="D666" s="930" t="n">
        <v>41.4</v>
      </c>
      <c r="E666" s="936" t="inlineStr">
        <is>
          <t>Yes</t>
        </is>
      </c>
      <c r="F666" s="931" t="inlineStr">
        <is>
          <t>The Boundless Fl eece V-Neck Sweater - a cozy, easy-to-layer top that's perfectly suited for cooler months! Made from a soft cotton blend to keep you cozy &amp; comfortable all day long. This item is final sale and cannot be returned or exchanged.</t>
        </is>
      </c>
      <c r="G666" s="932" t="inlineStr">
        <is>
          <t>• Elastic cuffs and lower hem. Classic V-neck collar. • Made from a breathable cotton-poly blend for comfort &amp; durability. • A versatile top that looks great on its own or layers well with any outfit!</t>
        </is>
      </c>
      <c r="H666" s="933" t="inlineStr">
        <is>
          <t>87% cotton, 13% polyester; elastic: 97% cotton, 3% Spandex • Care instructions: For best results, hand wash with a light detergent in cold water</t>
        </is>
      </c>
      <c r="I666" s="934" t="inlineStr">
        <is>
          <t>21FW 9.17, 21Winter Sale, 22 Spring Sale, Category_Daywear, Category_Daywear/Top, Category_Lounge, Category_Lounge/Knitwear, Category_Lounge/Sweaters&amp;Outerwear, Category_Lounge/Sweatshirts, Category_Lounge/Top, Collection_Boundless, Collection_Chocolate, Fabric_Lounge/Cotton, Function_Lounge/Essential, Function_Lounge/Essential/Mid &amp; Long Sleeve, hide-bis, no-returns, Sale</t>
        </is>
      </c>
      <c r="J666" s="935" t="inlineStr">
        <is>
          <t>boundless-fleece-v-neck-sweater</t>
        </is>
      </c>
    </row>
    <row r="667" ht="56" customHeight="1" s="229">
      <c r="A667" s="896" t="inlineStr">
        <is>
          <t>Boundless Fleece Zip-Up Hoodie</t>
        </is>
      </c>
      <c r="B667" s="897" t="inlineStr">
        <is>
          <t>Loungewear</t>
        </is>
      </c>
      <c r="C667" s="898" t="n">
        <v>78</v>
      </c>
      <c r="D667" s="898" t="n">
        <v>46.8</v>
      </c>
      <c r="E667" s="957" t="inlineStr">
        <is>
          <t>Yes</t>
        </is>
      </c>
      <c r="F667" s="899" t="inlineStr">
        <is>
          <t>The Boundless Fleece Zip-Up Hoodie - our elevated take on the classic that's earned its place in any wardrobe. A style for the ages - this long-sleeved zip-up hoodie is a loose, cozy fit that's perfect for fall weather! This item is final sale and cannot be returned or exchanged.</t>
        </is>
      </c>
      <c r="G667" s="900" t="inlineStr">
        <is>
          <t>• Elastic cuffs and lower hem. Wear it open or close it up with its sturdy zipper. • Made from a cotton-poly breathable blend for comfort &amp; durability. • A versatile top layer that looks great over any outfit!</t>
        </is>
      </c>
      <c r="H667" s="901" t="inlineStr">
        <is>
          <t>87% cotton, 13% polyester; elastic: 97% cotton, 3% Spandex • Care instructions: For best results, hand wash with a light detergent in cold water</t>
        </is>
      </c>
      <c r="I667" s="902" t="inlineStr">
        <is>
          <t>21FW 9.17, 21Winter Sale, 22 Spring Sale, Category_Daywear, Category_Daywear/Jacket, Category_Daywear/Top, Category_Lounge, Category_Lounge/Cardigan&amp;Jacket, Category_Lounge/Knitwear, Category_Lounge/Outerwear, Category_Lounge/Sweaters&amp;Outerwear, Category_Lounge/Top, Collection_Boundless, Collection_Chocolate, Fabric_Lounge/Cotton, hide-bis, no-returns, Sale, US Inventory, US Main</t>
        </is>
      </c>
      <c r="J667" s="903" t="inlineStr">
        <is>
          <t>boundless-fleece-zip-up-hoodie</t>
        </is>
      </c>
    </row>
    <row r="668" ht="56" customHeight="1" s="229">
      <c r="A668" s="888" t="inlineStr">
        <is>
          <t>Belle Lace Mid-Waist Brief</t>
        </is>
      </c>
      <c r="B668" s="889" t="inlineStr">
        <is>
          <t>Underwear</t>
        </is>
      </c>
      <c r="C668" s="890" t="n">
        <v>28</v>
      </c>
      <c r="D668" s="890" t="n">
        <v>16.8</v>
      </c>
      <c r="E668" s="985" t="inlineStr">
        <is>
          <t>Yes</t>
        </is>
      </c>
      <c r="F668" s="891" t="inlineStr">
        <is>
          <t>The Belle Lace Mid-Waist Brief: where classic design meets contemporary comfort. This brief provides full coverage with refined lace accents - great as an elevated everyday option. Fit tip: If you're in between sizes, we recommend sizing up. This item is final sale and cannot be returned or exchanged.</t>
        </is>
      </c>
      <c r="G668" s="892" t="inlineStr">
        <is>
          <t>• Classic &amp; practical mid-waist cut hugs your hips for lasting comfort. • Flexible Spandex blend with a 100% cotton lining. • Elegant style &amp; comfort to elevate your underwear drawer!</t>
        </is>
      </c>
      <c r="H668" s="893" t="inlineStr">
        <is>
          <t>74% polyamide, 26% Spandex; lining: 100% cotton • Care instructions: For best results, hand wash in cold water with like colors (allow to soak no longer than 5 minutes). Do not iron or tumble dry</t>
        </is>
      </c>
      <c r="I668" s="894" t="inlineStr">
        <is>
          <t>2023 BTS Sale, 21FW 9.10, 21Winter Sale, 22 Spring Sale, 22FW 40OFF, 25clearance, Categeory_Underwear, Category_Lingerie, Category_Lingerie/Brief, Category_Lingerie/Brief/Mid Waist, Category_Underwear, Category_Underwear/Bottoms, Category_Underwear/Bottoms/Panties, Category_Underwear/Bottoms/Panties/Mid Waist, Collection_Belle Lace, Fabric_Underwear/Lace, Feature_Essentials, Few Size Brief, hide-bis, HR-CX, LBD23, no-returns, Sale, Tariff Final Sale</t>
        </is>
      </c>
      <c r="J668" s="895" t="inlineStr">
        <is>
          <t>lace-brief</t>
        </is>
      </c>
    </row>
    <row r="669" ht="56" customHeight="1" s="229">
      <c r="A669" s="880" t="inlineStr">
        <is>
          <t>Belle Lace Wireless Bra</t>
        </is>
      </c>
      <c r="B669" s="881" t="inlineStr">
        <is>
          <t>Underwear</t>
        </is>
      </c>
      <c r="C669" s="882" t="n">
        <v>48</v>
      </c>
      <c r="D669" s="882" t="n">
        <v>24</v>
      </c>
      <c r="E669" s="937" t="inlineStr">
        <is>
          <t>Yes</t>
        </is>
      </c>
      <c r="F669" s="883" t="inlineStr">
        <is>
          <t>The Belle Lace Wireless Bra delivers full coverage and support with refined lace accents and a vintage look - perfect as an everyday bra but also well-suited for special occasions! Fit tip: If you're in between sizes, we recommend sizing up. This item is FINAL SALE and cannot be returned or exchanged</t>
        </is>
      </c>
      <c r="G669" s="884" t="inlineStr">
        <is>
          <t>• Double-row buckle &amp; straps for extra stability and support. • Full-bodied construction, flexible Spandex blend, &amp; removable padding. • Elegant style &amp; comfort to elevate your underwear drawer!</t>
        </is>
      </c>
      <c r="H669" s="885" t="inlineStr">
        <is>
          <t>lace: 74% polyamide, 26% Spandex; base: 70% nylon, 30% Spandex • Care instructions: For best results, hand wash in cold water with like colors (allow to soak no longer than 5 minutes). Do not iron or tumble dry</t>
        </is>
      </c>
      <c r="I669" s="886" t="inlineStr">
        <is>
          <t>2023 BTS Sale, 21FW 9.10, 21Winter Sale, 22 Spring Sale, 22FW 40OFF, 25clearance, 25DEC 50OFF, 25DEC SALE, Categeory_Underwear, Category_Bras/High Support, Category_Bras/Plunge, Category_Lingerie/Wireless Bra, Category_Underwear, Category_Underwear/Tops, Category_Underwear/Tops/Wireless Bra, Category_Underwear/Tops/Wireless Bra/Seamless, Collection_Belle Lace, Fabric_Underwear/Lace, Feature_Essentials, Few Size Bra, hide-bis, HR-CX, LBD23, no-returns, Sale, Tariff Final Sale</t>
        </is>
      </c>
      <c r="J669" s="887" t="inlineStr">
        <is>
          <t>lace-bra</t>
        </is>
      </c>
    </row>
    <row r="670" ht="70" customHeight="1" s="229">
      <c r="A670" s="928" t="inlineStr">
        <is>
          <t>Classic Reversible Merino Wool Sweater</t>
        </is>
      </c>
      <c r="B670" s="929" t="inlineStr">
        <is>
          <t>Loungewear</t>
        </is>
      </c>
      <c r="C670" s="930" t="n">
        <v>118</v>
      </c>
      <c r="D670" s="930" t="n">
        <v>70.8</v>
      </c>
      <c r="E670" s="936" t="inlineStr">
        <is>
          <t>Yes</t>
        </is>
      </c>
      <c r="F670" s="931" t="inlineStr">
        <is>
          <t>The Classic Reversible Merino Wool Sweater - a versatile addition to your autumn wardrobe that'll keep you cozy &amp; stylish in the cooler months! Wear it how you like it: this sweater's scoop collar is tailored to be reversible, giving you the option of a higher or lower neckline - the choice is yours. This item is final sale and cannot be returned or exchanged.</t>
        </is>
      </c>
      <c r="G670" s="932" t="inlineStr">
        <is>
          <t>• 100% Merino wool - a naturally lightweight, warm, and breathable fiber. • Classic knit pattern, reversible neckline, and t ailored for a loose profile that gradually slims at the waist. • A perfect layering piece that's more than capable of being worn on its own!</t>
        </is>
      </c>
      <c r="H670" s="933" t="inlineStr">
        <is>
          <t>100% Merino sheep's wool • Care instructions: For home care, hand wash using a wool-safe detergent. Lay flat to dry. Professionally dry-clean as needed</t>
        </is>
      </c>
      <c r="I670" s="934" t="inlineStr">
        <is>
          <t>21FW 9.17, 21Winter Sale, 22 Spring Sale, Category_Daywear, Category_Daywear/Top, Category_Lounge, Category_Lounge/Knitwear, Category_Lounge/Sweaters&amp;Outerwear, Category_Lounge/Top, Collection_Classic, Collection_Knitted, Fabric_Lounge/Cashmere &amp; Wool, Feature_Essentials, no-returns, Sale</t>
        </is>
      </c>
      <c r="J670" s="935" t="inlineStr">
        <is>
          <t>2-way-merino-wool-sweater</t>
        </is>
      </c>
    </row>
    <row r="671" ht="56" customHeight="1" s="229">
      <c r="A671" s="896" t="inlineStr">
        <is>
          <t>Classic Merino Wool Sleeveless Turtleneck</t>
        </is>
      </c>
      <c r="B671" s="897" t="inlineStr">
        <is>
          <t>Loungewear</t>
        </is>
      </c>
      <c r="C671" s="898" t="n">
        <v>155</v>
      </c>
      <c r="D671" s="898" t="n">
        <v>77.5</v>
      </c>
      <c r="E671" s="957" t="inlineStr">
        <is>
          <t>Yes</t>
        </is>
      </c>
      <c r="F671" s="899" t="inlineStr">
        <is>
          <t>The Classic Merino Wool Sleeveless Turtleneck - an easily layered &amp; freeing iteration of classic turtleneck knitwear! Made from 100% Merino wool and knit in a chic jacquard pattern, throw a jacket over this flattering top for an instant autumn outfit. This item is final sale and cannot be returned or exchanged.</t>
        </is>
      </c>
      <c r="G671" s="900" t="inlineStr">
        <is>
          <t>• 100% Merino wool - a naturally lightweight, warm, and breathable fiber. • Knit with a stylish jacquard pattern and t ailored for a loose profile that gradually slims at the waist. • Size M is 24" in length.</t>
        </is>
      </c>
      <c r="H671" s="901" t="inlineStr">
        <is>
          <t>100% Merino wool • Care instructions: For home care, hand wash using a wool-safe detergent. Lay flat to dry. Professionally dry-clean as needed</t>
        </is>
      </c>
      <c r="I671" s="902" t="inlineStr">
        <is>
          <t>2023 BTS Sale, 21FW 9.17, 21Winter Sale, 22 Spring Sale, 23Oct Markdown, Category_Daywear, Category_Daywear/Top, Category_Lounge, Category_Lounge/Knitwear, Category_Lounge/Sweaters&amp;Outerwear, Category_Lounge/Tops, Collection_Classic, Collection_Knitted, Fabric_Lounge/Cashmere &amp; Wool, hide-bis, HR-CX, LBD23, no-returns, Outerwear, Sale, Tariff Final Sale</t>
        </is>
      </c>
      <c r="J671" s="903" t="inlineStr">
        <is>
          <t>merino-wool-jacquard-turtleneck-vest</t>
        </is>
      </c>
    </row>
    <row r="672" ht="56" customHeight="1" s="229">
      <c r="A672" s="928" t="inlineStr">
        <is>
          <t>Classic Merino Wool Jacquard Turtleneck Sweater</t>
        </is>
      </c>
      <c r="B672" s="929" t="inlineStr">
        <is>
          <t>Loungewear</t>
        </is>
      </c>
      <c r="C672" s="930" t="n">
        <v>199</v>
      </c>
      <c r="D672" s="930" t="n">
        <v>119.4</v>
      </c>
      <c r="E672" s="936" t="inlineStr">
        <is>
          <t>Yes</t>
        </is>
      </c>
      <c r="F672" s="931" t="inlineStr">
        <is>
          <t>The Classic Merino Wool Jacquard Turtleneck Sweater - your new favorite piece of stylish knitwear this season! Made from 100% Merino wool and knit in a chic jacquard pattern, this classic turtleneck is a timelessly elegant design &amp; fall fashion staple.</t>
        </is>
      </c>
      <c r="G672" s="932" t="inlineStr">
        <is>
          <t>• 100% Merino wool - a naturally lightweight, warm, and breathable fiber. • Knit with a stylish jacquard pattern and t ailored for a loose profile that gradually slims at the waist. • Perfect as a layering piece but more than capable of being worn on its own!</t>
        </is>
      </c>
      <c r="H672" s="933" t="inlineStr">
        <is>
          <t>100% Merino sheep's wool • Care instructions: For home care, hand wash using a wool-safe detergent. Lay flat to dry. Professionally dry-clean as needed</t>
        </is>
      </c>
      <c r="I672" s="934" t="inlineStr">
        <is>
          <t>2023 BTS Sale, 21FW 9.17, 24JuneSale, 25clearance, Category_Daywear, Category_Daywear/Top, Category_Lounge, Category_Lounge/Knitwear, Category_Lounge/Sweaters&amp;Outerwear, Category_Lounge/Tops, Collection_Classic, Collection_Knitted, Fabric_Lounge/Cashmere &amp; Wool, HR-CX, LBD23, no-returns, Outerwear, US Inventory</t>
        </is>
      </c>
      <c r="J672" s="935" t="inlineStr">
        <is>
          <t>merino-wool-jacquard-turtleneck-sweater</t>
        </is>
      </c>
    </row>
    <row r="673" ht="56" customHeight="1" s="229">
      <c r="A673" s="896" t="inlineStr">
        <is>
          <t>Classic Silk Pajama Bottom</t>
        </is>
      </c>
      <c r="B673" s="897" t="inlineStr">
        <is>
          <t>Loungewear</t>
        </is>
      </c>
      <c r="C673" s="898" t="n">
        <v>198</v>
      </c>
      <c r="D673" s="898" t="n">
        <v>118.8</v>
      </c>
      <c r="E673" s="957" t="inlineStr">
        <is>
          <t>Yes</t>
        </is>
      </c>
      <c r="F673" s="899" t="inlineStr">
        <is>
          <t>Truly luxurious sleep is just a click away. Our Classic Silk Pajama Bottom is m ade from 100% mulberry silk for deeper sleep, comfortable weekends, and a happier you - because you deserve it. This item is final sale and cannot be returned or exchanged.</t>
        </is>
      </c>
      <c r="G673" s="900" t="inlineStr">
        <is>
          <t>• E lastic drawstring waistband, straight full-length legs. • 100% mulberry silk - the highest quality silk in the world. • A comfortably loose fit &amp; the finest fabric make for a PJ set you'll never want to change out of!</t>
        </is>
      </c>
      <c r="H673" s="901" t="inlineStr">
        <is>
          <t>100% mulberry silk • Care instructions: Professional dry-cleaning recommended</t>
        </is>
      </c>
      <c r="I673" s="902" t="inlineStr">
        <is>
          <t>21FW 9.3, 22 Spring Sale, 22FW 40OFF, Category_Lounge, Category_Lounge/Bottoms, Category_Lounge/Pajamas &amp; Robes, Category_Lounge/Pants, Collection_Classic, Collection_Self Silk, Collection_Valentine, Fabric_Lounge/Mulberry Silk, Fabric_Lounge/Silk, Feature_Essentials, Function_Lounge/Essential/Pants, Function_Lounge/Sleep/Pajama, hide-bis, no-returns</t>
        </is>
      </c>
      <c r="J673" s="903" t="inlineStr">
        <is>
          <t>womens-silk-pajama-bottom</t>
        </is>
      </c>
    </row>
    <row r="674" ht="56" customHeight="1" s="229">
      <c r="A674" s="928" t="inlineStr">
        <is>
          <t>Classic Silk Pajama Top</t>
        </is>
      </c>
      <c r="B674" s="929" t="inlineStr">
        <is>
          <t>Loungewear</t>
        </is>
      </c>
      <c r="C674" s="930" t="n">
        <v>198</v>
      </c>
      <c r="D674" s="930" t="n">
        <v>99</v>
      </c>
      <c r="E674" s="936" t="inlineStr">
        <is>
          <t>Yes</t>
        </is>
      </c>
      <c r="F674" s="931" t="inlineStr">
        <is>
          <t>Truly luxurious sleep is just a click away. Our Classic Silk Pajama Top is m ade from 100% mulberry silk for deeper sleep, comfortable weekends, and a happier you - because you deserve it. This item is final sale and cannot be returned or exchanged.</t>
        </is>
      </c>
      <c r="G674" s="932" t="inlineStr">
        <is>
          <t>• Classic flat collar , long flowing sleeves, &amp; color-matched buttons. • 100% mulberry silk - the highest quality silk in the world. • A comfortably loose fit &amp; the finest fabric make for a PJ set you'll never want to change out of!</t>
        </is>
      </c>
      <c r="H674" s="933" t="inlineStr">
        <is>
          <t>100% mulberry silk • Care instructions: Professional dry-cleaning recommended</t>
        </is>
      </c>
      <c r="I674" s="934" t="inlineStr">
        <is>
          <t>2023 BTS Sale, 21FW 9.3, 22 Spring Sale, 22FW 40OFF, 23 May Sale, Category_Lounge, Category_Lounge/Pajamas &amp; Robes, Category_Lounge/Pajamas &amp; Robes/Top, Category_Lounge/Top, Collection_Classic, Collection_Self Silk, Collection_Valentine, Fabric_Lounge/Silk, Feature_Essentials, Function_Lounge/Sleep, Function_Lounge/Sleep/Pajama, hide-bis, no-returns, Sale</t>
        </is>
      </c>
      <c r="J674" s="935" t="inlineStr">
        <is>
          <t>womens-silk-pajama-top</t>
        </is>
      </c>
    </row>
    <row r="675" ht="56" customHeight="1" s="229">
      <c r="A675" s="958" t="inlineStr">
        <is>
          <t>Classic Men's Silk Pajama Bottom</t>
        </is>
      </c>
      <c r="B675" s="959" t="inlineStr">
        <is>
          <t>Men</t>
        </is>
      </c>
      <c r="C675" s="960" t="n">
        <v>198</v>
      </c>
      <c r="D675" s="960" t="n">
        <v>118.8</v>
      </c>
      <c r="E675" s="984" t="inlineStr">
        <is>
          <t>Yes</t>
        </is>
      </c>
      <c r="F675" s="961" t="inlineStr">
        <is>
          <t>Truly luxurious sleep is just a click away. Our Classic Men's Silk Pajama Bottom - part of our first pajama set for men - is m ade from 100% mulberry silk for deeper sleep, comfortable weekends, and a happier, more relaxed you! This item is final sale and cannot be returned or exchanged.</t>
        </is>
      </c>
      <c r="G675" s="962" t="inlineStr">
        <is>
          <t>• E lastic drawstring waistband, straight ankle-length legs. • 100% mulberry silk - decadently soft, the highest quality silk in the world. • A comfortably loose fit &amp; the finest fabric make for a PJ set you'll never want to change out of!</t>
        </is>
      </c>
      <c r="H675" s="963" t="inlineStr">
        <is>
          <t>100% mulberry silk • Care instructions: Professional dry-cleaning recommended</t>
        </is>
      </c>
      <c r="I675" s="964" t="inlineStr">
        <is>
          <t>21FW 9.3, 22 Spring Sale, 22FW 40OFF, Category_Lounge, Category_Lounge/Bottoms, Category_Lounge/Pajamas &amp; Robes, Category_Lounge/Pants, Category_Men, Category_Men/Bottoms, Category_Men/Pajamas, Category_Men/Pajams, Collection_Classic, Collection_Men, Collection_Self Silk, Collection_Valentine, Fabric_Lounge/Mulberry Silk, Fabric_Lounge/Silk, Function_Lounge/Sleep, Function_Lounge/Sleep/Pajama, hide-bis, no-returns, Sale</t>
        </is>
      </c>
      <c r="J675" s="965" t="inlineStr">
        <is>
          <t>mens-silk-pajama-bottom</t>
        </is>
      </c>
    </row>
    <row r="676" ht="56" customHeight="1" s="229">
      <c r="A676" s="938" t="inlineStr">
        <is>
          <t>Classic Men's Silk Pajama Top</t>
        </is>
      </c>
      <c r="B676" s="939" t="inlineStr">
        <is>
          <t>Men</t>
        </is>
      </c>
      <c r="C676" s="940" t="n">
        <v>208</v>
      </c>
      <c r="D676" s="940" t="n">
        <v>124.8</v>
      </c>
      <c r="E676" s="941" t="inlineStr">
        <is>
          <t>Yes</t>
        </is>
      </c>
      <c r="F676" s="942" t="inlineStr">
        <is>
          <t>Truly luxurious sleep is just a click away. Our Classic Men's Silk Pajama Top - part of our first pajama set for men - is m ade from 100% mulberry silk for deeper sleep, comfortable weekends, and a happier, more relaxed you! This item is final sale and cannot be returned or exchanged.</t>
        </is>
      </c>
      <c r="G676" s="943" t="inlineStr">
        <is>
          <t>• Classic flat collar , long sleeves, &amp; color-matched buttons. • 100% mulberry silk - decadently soft, the highest quality silk in the world. • A comfortably loose fit &amp; the finest fabric make for a PJ set you'll never want to change out of!</t>
        </is>
      </c>
      <c r="H676" s="944" t="inlineStr">
        <is>
          <t>100% mulberry silk • Care instructions: Professional dry-cleaning recommended</t>
        </is>
      </c>
      <c r="I676" s="945" t="inlineStr">
        <is>
          <t>21FW 9.3, 22 Spring Sale, 22FW 40OFF, Category_Lounge, Category_Lounge/Pajamas &amp; Robes, Category_Lounge/Pajamas &amp; Robes/Top, Category_Lounge/Top, Category_Men, Category_Men/Pajamas, Category_Men/Pajams, Collection_Classic, Collection_Men, Collection_Self Silk, Collection_Valentine, Fabric_Lounge/Mulberry Silk, Fabric_Lounge/Silk, Function_Lounge/Sleep/Pajama, hide-bis, no-returns, Sale</t>
        </is>
      </c>
      <c r="J676" s="946" t="inlineStr">
        <is>
          <t>mens-silk-pajama-top</t>
        </is>
      </c>
    </row>
    <row r="677" ht="70" customHeight="1" s="229">
      <c r="A677" s="888" t="inlineStr">
        <is>
          <t>Essential Seamless High-Waist Brief</t>
        </is>
      </c>
      <c r="B677" s="889" t="inlineStr">
        <is>
          <t>Underwear</t>
        </is>
      </c>
      <c r="C677" s="890" t="n">
        <v>25</v>
      </c>
      <c r="D677" s="890" t="n">
        <v>17.5</v>
      </c>
      <c r="E677" s="985" t="inlineStr">
        <is>
          <t>Yes</t>
        </is>
      </c>
      <c r="F677" s="891" t="inlineStr">
        <is>
          <t>Our daily lives and peace of mind depend so much on comfort. That's why it's so important to have high-quality underwear - it's the foundation of physical comfort. The Essential Collection's Seamless High-Waist Brief is the perfect bottom piece for maximum coverage &amp; comfort - high-quality, reliable underwear that you can depend on, day in and day out.</t>
        </is>
      </c>
      <c r="G677" s="892" t="inlineStr">
        <is>
          <t>• Virtually seamless - shows no lines, even under tight clothes like leggings! • High-waist cut. A maximum-coverage fit &amp; secure feel. Soft, smooth, &amp; flexible nylon-Spandex blend, with a 100% cotton gusset for health &amp; comfort. • Available in multiple sizes for a variety of body types &amp; three classic colors.</t>
        </is>
      </c>
      <c r="H677" s="893" t="inlineStr">
        <is>
          <t>70% nylon, 30% Lycra¬Æ Spandex; lining: 100% cotton. • Care instructions: For best results, g ently handwash with like colors in cold water. Soak no longer than 5 minutes</t>
        </is>
      </c>
      <c r="I677" s="894" t="inlineStr">
        <is>
          <t>21FW 9.3, 21Winter Sale, 22 Spring Sale, Category_Lingerie, Category_Lingerie/Brief, Category_Lingerie/Brief/High Waist, Category_Underwear, Category_Underwear/Bottoms, Category_Underwear/Bottoms/Panties, Category_Underwear/Bottoms/Panties/High Waist, Collection_Essential, Collection_Essential/Lingerie, Feature_Essentials, hide-bis, HR-CX, no-returns, Sale, Size_L, Size_M, Size_S, Size_XS, XS - XL Brief</t>
        </is>
      </c>
      <c r="J677" s="895" t="inlineStr">
        <is>
          <t>foundation-seamless-high-waist-brief</t>
        </is>
      </c>
    </row>
    <row r="678" ht="84" customHeight="1" s="229">
      <c r="A678" s="880" t="inlineStr">
        <is>
          <t>Essential Seamless Mid-Waist Brief</t>
        </is>
      </c>
      <c r="B678" s="881" t="inlineStr">
        <is>
          <t>Underwear</t>
        </is>
      </c>
      <c r="C678" s="882" t="n">
        <v>25</v>
      </c>
      <c r="D678" s="882" t="n">
        <v>12.5</v>
      </c>
      <c r="E678" s="937" t="inlineStr">
        <is>
          <t>Yes</t>
        </is>
      </c>
      <c r="F678" s="883" t="inlineStr">
        <is>
          <t>Our daily lives and peace of mind depend so much on comfort. That's why it's so important to have high-quality underwear - it's the foundation of physical comfort. The Essential Collection's Seamless Mid-Waist Brief is the perfect bottom piece for full coverage &amp; comfort - high-quality, reliable underwear that you can depend on, day in and day out. This item is final sale and cannot be returned or exchanged.</t>
        </is>
      </c>
      <c r="G678" s="884" t="inlineStr">
        <is>
          <t>• Virtually seamless - shows no lines, even under tight clothes like leggings! • Mid-waist cut. A full-coverage fit &amp; classically relaxed feel. Soft, smooth, &amp; flexible nylon-Spandex blend, with a 100% cotton gusset for health &amp; comfort. • Available in multiple sizes for a variety of body types &amp; three classic colors.</t>
        </is>
      </c>
      <c r="H678" s="885" t="inlineStr">
        <is>
          <t>47%Cotton 46% Modal 7% Spandex; lining: 100% cotton. • Care instructions: For best results, g ently handwash with like colors in cold water. Soak no longer than 5 minutes</t>
        </is>
      </c>
      <c r="I678" s="886" t="inlineStr">
        <is>
          <t>21FW 9.3, 21Winter Sale, 22 Spring Sale, 22FW 50OFF, Category_Lingerie, Category_Lingerie/Brief, Category_Lingerie/Brief/Mid Waist, Category_Underwear, Category_Underwear/Bottoms, Category_Underwear/Bottoms/Panties, Category_Underwear/Bottoms/Panties/Mid Waist, Collection_Essential, Collection_Essential/Lingerie, Fabric_Underwear/Tencel Modal, Feature_Essentials, hide-bis, HR-CX, no-returns, Sale, Size_L, Size_M, Size_S, Size_XS, XS - XL Brief</t>
        </is>
      </c>
      <c r="J678" s="887" t="inlineStr">
        <is>
          <t>foundation-seamless-mid-waist-brief</t>
        </is>
      </c>
    </row>
    <row r="679" ht="70" customHeight="1" s="229">
      <c r="A679" s="912" t="inlineStr">
        <is>
          <t>Voyage Gathered Swimsuit</t>
        </is>
      </c>
      <c r="B679" s="913" t="inlineStr">
        <is>
          <t>Active</t>
        </is>
      </c>
      <c r="C679" s="914" t="n">
        <v>98</v>
      </c>
      <c r="D679" s="914" t="n">
        <v>39.2</v>
      </c>
      <c r="E679" s="955" t="inlineStr">
        <is>
          <t>Yes</t>
        </is>
      </c>
      <c r="F679" s="915" t="inlineStr">
        <is>
          <t>Soak in style! The Voyage Gathered Swimsuit is a one-piece wonder of swimwear. Designed &amp; tailored using our UV-resistant Sumatra¬© fabric blend, this swimsuit is the best choice for a modest fit poolside or at the beach. Please note the fabric can have a sheer finish when exposed to water. This item is final sale and cannot be returned or exchanged .</t>
        </is>
      </c>
      <c r="G679" s="916" t="inlineStr">
        <is>
          <t>• Deep V-neck front, U-shaped back, detachable chest padding. A timeless swimwear style! • One-piece construction, adjustable ring tie-buckle straps. Chic and functional! • Contains Spandex for freedom of movement, comfortable elastic fit, &amp; uninterrupted coverage.</t>
        </is>
      </c>
      <c r="H679" s="917" t="inlineStr">
        <is>
          <t>81% polyamide, 19% Lycra ¬© Spandex; lining: 100% polyamide • Care instructions: Using a light detergent, h and wash with like colors in cold water. Do not soak longer than 5 minutes</t>
        </is>
      </c>
      <c r="I679" s="918" t="inlineStr">
        <is>
          <t>2023 BTS Sale, 21FW 9.3, 21Winter Sale, 22 Spring Sale, 23Oct Markdown, 25clearance, Activity_Active/Swim, Category_Active, Category_Active/Swimwear, Category_Active/Swimwear/One_Piece, Collection_Voyage, Final Sale, hide-bis, HR-CX, LBD23, Need Sample, no-returns, Sale, Tariff Final Sale</t>
        </is>
      </c>
      <c r="J679" s="919" t="inlineStr">
        <is>
          <t>voyage-gathered-swimsuit</t>
        </is>
      </c>
    </row>
    <row r="680" ht="70" customHeight="1" s="229">
      <c r="A680" s="888" t="inlineStr">
        <is>
          <t>Barely Zero Wavy Waistline Brief</t>
        </is>
      </c>
      <c r="B680" s="889" t="inlineStr">
        <is>
          <t>Underwear</t>
        </is>
      </c>
      <c r="C680" s="890" t="n">
        <v>12</v>
      </c>
      <c r="D680" s="890" t="n">
        <v>12</v>
      </c>
      <c r="E680" s="889" t="inlineStr"/>
      <c r="F680" s="891" t="inlineStr">
        <is>
          <t>The Barely Zero Wavy Waistline Brief's distinctive waistband pattern &amp; fun colors set it apart from the rest of the Barely Zero Collection - who knew comfort could be so cute? Fit tip: based on customer feedback, this brief best fits customers who wear up to a size S in underwear. For a wider size range, check out the Barely Zero Mid Waist Brief 2.0 !</t>
        </is>
      </c>
      <c r="G680" s="892" t="inlineStr">
        <is>
          <t>• H ighly elastic CloudFit fabric adapts to your body for medium coverage and second-skin comfort. • Free your body: breathable, moisture-wicking, odor-reducing, and highly elastic for a close fit with no bunching or chafing. • Subtly tailored to have virtually no lines, even under tight clothing, and doesn't curl with time or repeated wear! 100% cotton lining for added comfort.</t>
        </is>
      </c>
      <c r="H680" s="893" t="inlineStr">
        <is>
          <t>67% CloudFit nylon, 33% Spandex; 100% cotton lining. • T o lengthen its wear-life, we recommend handwashing your Barely Zero. D issolve a gentle detergent in cold water (86 °F /30 °C max ) and fully immerse the underwear. Gently press/knead it, then rinse (soak no longer than 5 minutes). H ang or lay flat to dry in a cool, shaded place. If you choose to use a washing machine, please use a laundry bag</t>
        </is>
      </c>
      <c r="I680" s="894" t="inlineStr">
        <is>
          <t>2022 Title Update, 21FW 9.3, BZ Petite Brief, Category_Lingerie, Category_Lingerie/Brief, Category_Underwear, Category_Underwear/Bottoms, Category_Underwear/Bottoms/Panties, Category_Underwear/Bottoms/Panties/Low Waist, Collection_2021 Barely Zero, Collection_Barely Zero, Collection_Barely Zero/Underwear, Feature_Essentials, hide-bis, HR-CX, LBD23</t>
        </is>
      </c>
      <c r="J680" s="895" t="inlineStr">
        <is>
          <t>barely-zero-wavy-brief</t>
        </is>
      </c>
    </row>
    <row r="681" ht="70" customHeight="1" s="229">
      <c r="A681" s="904" t="inlineStr">
        <is>
          <t>Ballet Ruched Bra Top(old)</t>
        </is>
      </c>
      <c r="B681" s="905" t="inlineStr">
        <is>
          <t>Active</t>
        </is>
      </c>
      <c r="C681" s="906" t="n">
        <v>98</v>
      </c>
      <c r="D681" s="906" t="n">
        <v>58.8</v>
      </c>
      <c r="E681" s="956" t="inlineStr">
        <is>
          <t>Yes</t>
        </is>
      </c>
      <c r="F681" s="907" t="inlineStr">
        <is>
          <t>Maintaining proper form &amp; balance requires support for every pli√©, saut √© , &amp; pirouette. The Ballet Ruched Bra Top is a performance-focused design that supports your inner dancer with comfortable chest support that doesn't hinder fluid motion and an elegant, confidence-boosting style. This item is FINAL SALE and cannot be returned or exchanged.</t>
        </is>
      </c>
      <c r="G681" s="908" t="inlineStr">
        <is>
          <t>• Quick-drying &amp; flexible Spandex blend for mobility. Side ruching for a classic style and touch of elegance. • V-neckline, elastic straps, and removable padding. • Designed for ballet, yoga, or light sports.</t>
        </is>
      </c>
      <c r="H681" s="909" t="inlineStr">
        <is>
          <t>77% nylon, 23% Spandex • Lining: 75% nylon, 25% Spandex • Care instructions: For best results, hand wash with like colors in cold water</t>
        </is>
      </c>
      <c r="I681" s="910" t="inlineStr">
        <is>
          <t>2023 BTS Sale, 21FW 9.3, 21Winter Sale, 22 Spring Sale, 22FW 40OFF, Activity_Active/Ballet, Activity_Active/Ballet&amp;Dance, Activity_Active/Dance, B1 Sports Bra, Category_Active, Category_Active/Ballet, Category_Active/Sport Bra &amp; Top, Category_Active/Sports Bra, Fabric_Active/2-Way-Stretchy, hide-bis, LBD23, Need Sample, no-returns, Sale, Size_L, Size_M, Size_S, Size_XS</t>
        </is>
      </c>
      <c r="J681" s="911" t="inlineStr">
        <is>
          <t>ballet-ruched-bra-top-old</t>
        </is>
      </c>
    </row>
    <row r="682" ht="84" customHeight="1" s="229">
      <c r="A682" s="880" t="inlineStr">
        <is>
          <t>Self Silk Brief</t>
        </is>
      </c>
      <c r="B682" s="881" t="inlineStr">
        <is>
          <t>Underwear</t>
        </is>
      </c>
      <c r="C682" s="882" t="n">
        <v>25</v>
      </c>
      <c r="D682" s="882" t="n">
        <v>15</v>
      </c>
      <c r="E682" s="937" t="inlineStr">
        <is>
          <t>Yes</t>
        </is>
      </c>
      <c r="F682" s="883" t="inlineStr">
        <is>
          <t>Introducing Self Silk, a new collection featuring bras &amp; briefs made using real mulberry silk - the finest silk for the softest underwear! You'll reach for these mid-waist briefs on those days when you know you need more comfort than usual. Their light, smooth texture makes all the difference - when it comes to real physical luxury, there's just no substitute for real silk. This item is final sale and cannot be returned or exchanged.</t>
        </is>
      </c>
      <c r="G682" s="884" t="inlineStr">
        <is>
          <t>• Real mulberry silk is so light &amp; soft that it almost feels like liquid; blended with a small amount of Spandex for flexibility. • T ailored to sit comfortably on the hips without riding up or digging in. • Classic mid-waist fit , side-mesh for added mobility, &amp; 100% cotton lining for health and comfort.</t>
        </is>
      </c>
      <c r="H682" s="885" t="inlineStr">
        <is>
          <t>97% mulberry silk, 3% Spandex; mesh: 80% nylon, 20% Spandex; lining: 100% cotton. • Care instructions: Hand wash only. For best results, use special silk detergent. Lay flat to dry. If necessary, professionally dry clean</t>
        </is>
      </c>
      <c r="I682" s="886" t="inlineStr">
        <is>
          <t>2023 BTS Sale, 21FW 9.3, 21Winter Sale, 22 Spring Sale, 22FW 40OFF, Category_Lingerie, Category_Lingerie/Brief, Category_Underwear, Category_Underwear/Bottoms, Category_Underwear/Bottoms/Panties, Category_Underwear/Bottoms/Panties/Mid Waist, Collection_Self Silk, Collection_Self Silk/Lingerie, Collection_Valentine, Fabric_Lingerie/Silk, Fabric_Underwear/Silk, Feature_Essentials, hide-bis, HR-CX, LBD23, no-returns, Sale, Size_M, Size_S, Size_XS, XS - XL Brief</t>
        </is>
      </c>
      <c r="J682" s="887" t="inlineStr">
        <is>
          <t>self-silk-silk-brief</t>
        </is>
      </c>
    </row>
    <row r="683" ht="70" customHeight="1" s="229">
      <c r="A683" s="888" t="inlineStr">
        <is>
          <t>Self Silk Bra</t>
        </is>
      </c>
      <c r="B683" s="889" t="inlineStr">
        <is>
          <t>Underwear</t>
        </is>
      </c>
      <c r="C683" s="890" t="n">
        <v>68</v>
      </c>
      <c r="D683" s="890" t="n">
        <v>40.8</v>
      </c>
      <c r="E683" s="985" t="inlineStr">
        <is>
          <t>Yes</t>
        </is>
      </c>
      <c r="F683" s="891" t="inlineStr">
        <is>
          <t>The Self Silk Collection's bras &amp; briefs are made using mulberry silk - the finest silk in the world! This 5/8 cup bra is the perfect for days when you know you need more comfort than usual. Its light, smooth texture makes all the difference - when it comes to real luxury, there's no substitute for silk. This item is final sale and cannot be returned or exchanged.</t>
        </is>
      </c>
      <c r="G683" s="892" t="inlineStr">
        <is>
          <t>• Real mulberry silk is so light &amp; soft that it almost feels like liquid; blended with a small amount of Spandex for flexibility. • Wireless &amp; tailored with seams that don't pinch or dig in. • Classic fit , adjustable straps, and removable padding.</t>
        </is>
      </c>
      <c r="H683" s="893" t="inlineStr">
        <is>
          <t>90% mulberry silk, 10% Spandex; padding: 80% nylon, 20% Spandex. • Care instructions: Hand wash only. For best results, use special silk detergent. Lay flat to dry. If necessary, professionally dry clean</t>
        </is>
      </c>
      <c r="I683" s="894" t="inlineStr">
        <is>
          <t>2023 BTS Sale, 21FW 9.3, 21Winter Sale, 22 Spring Sale, 22FW 40OFF, 23SS A3 Size Bra, Category_Bras/Bralettes, Category_Bras/Light Support, Category_Bras/Plunge, Category_Lingerie, Category_Lingerie/Wireless Bra, Category_Underwear, Category_Underwear/Tops, Category_Underwear/Tops/Wireless Bra, Category_Underwear/Tops/Wireless Bra/Demi, Category_Underwear/Tops/Wireless Bra/Soft-Cup, Category_Underwear/Tops/Wireless Bra/Triangle, Collection_Self Silk, Collection_Self Silk/Lingerie, Collection_Valentine, Cup_A_C, Fabric_Lingerie/Silk, hide-bis, HR-CX, LBD23, no-returns, Sale, Size_L, Size_M, Size_S, Size_XS</t>
        </is>
      </c>
      <c r="J683" s="895" t="inlineStr">
        <is>
          <t>self-silk-silk-bra</t>
        </is>
      </c>
    </row>
    <row r="684" ht="56" customHeight="1" s="229">
      <c r="A684" s="896" t="inlineStr">
        <is>
          <t>Classic Cozy Pajama Pants 2.0</t>
        </is>
      </c>
      <c r="B684" s="897" t="inlineStr">
        <is>
          <t>Loungewear</t>
        </is>
      </c>
      <c r="C684" s="898" t="n">
        <v>68</v>
      </c>
      <c r="D684" s="898" t="n">
        <v>40.8</v>
      </c>
      <c r="E684" s="957" t="inlineStr">
        <is>
          <t>Yes</t>
        </is>
      </c>
      <c r="F684" s="899" t="inlineStr">
        <is>
          <t>We spend one-third of our lives in bed. In the right pajamas, you'll enjoy every minute of it! Our Classic Cozy Pajama Pants are m ade from a TENCEL‚Ñ¢ Modal blend that's silky soft - quite literally the PJs of your dreams. This item is FINAL SALE and cannot be returned or exchanged.</t>
        </is>
      </c>
      <c r="G684" s="900" t="inlineStr">
        <is>
          <t>• A comfortable, relaxed fit that's perfect for sleeping in late. Go ahead, hit the "snooze" button again. • TENCEL‚Ñ¢ Modal-based fabric blend that's l ightweight &amp; breathable. Feels like a cross between silk &amp; cashmere! • Size M is 37.4" in length. Features straight legs, an elastic waistband, and color-matched decorative buttons.</t>
        </is>
      </c>
      <c r="H684" s="901" t="inlineStr">
        <is>
          <t>57% Modal, 20% viscose, 19% acrylic, 4% Spandex • Care instructions: For best results, machine wash on gentle cycle. Tumble dry on low heat or hang to dry</t>
        </is>
      </c>
      <c r="I684" s="902" t="inlineStr">
        <is>
          <t>2022 Title Update, 2023 BTS Sale, 21FW 8.27, 23 Spring Sale, 23Oct Markdown, Category_Lounge, Category_Lounge/Bottoms, Category_Lounge/Bottoms/Elastic, Category_Lounge/Pajamas &amp; Robes, Category_Lounge/Pajamas &amp; Robes/Bottoms, Category_Lounge/Pants, Collection_Classic, Fabric_Lounge/Tencel Modal, Feature_Essentials, Function_Lounge/Sleep, Function_Lounge/Sleep/Pajama, hide-bis, LBD23, Need Sample, no-returns, Sale, Size_L, Size_M, Size_S</t>
        </is>
      </c>
      <c r="J684" s="903" t="inlineStr">
        <is>
          <t>classic-cozy-pajama-pants-v2</t>
        </is>
      </c>
    </row>
    <row r="685" ht="56" customHeight="1" s="229">
      <c r="A685" s="928" t="inlineStr">
        <is>
          <t>Classic Cozy Button-Up Pajama Top 2.0</t>
        </is>
      </c>
      <c r="B685" s="929" t="inlineStr">
        <is>
          <t>Loungewear</t>
        </is>
      </c>
      <c r="C685" s="930" t="n">
        <v>88</v>
      </c>
      <c r="D685" s="930" t="n">
        <v>52.8</v>
      </c>
      <c r="E685" s="936" t="inlineStr">
        <is>
          <t>Yes</t>
        </is>
      </c>
      <c r="F685" s="931" t="inlineStr">
        <is>
          <t>We spend one-third of our lives in bed. In the right pajamas, you'll enjoy every minute of it! Our Classic Cozy Button-Up Pajama Top is m ade to make your time in bed as comfortable as possible - these are quite literally the PJs of your dreams! This item is FINAL SALE and cannot be returned or exchanged.</t>
        </is>
      </c>
      <c r="G685" s="932" t="inlineStr">
        <is>
          <t>• A comfortably relaxed fit that's perfect for sleeping in late. Go ahead, hit the "snooze" button again. • TENCEL‚Ñ¢ Modal-based fabric blend - l ightweight &amp; breathable, feels like a cross between silk &amp; cashmere! • Size M is 25" in length. Features a chic French lapel collar , drop-shoulder sleeves, a chest pocket, and color-matched buttons.</t>
        </is>
      </c>
      <c r="H685" s="933" t="inlineStr">
        <is>
          <t>57% Modal, 20% viscose, 19% acrylic, 4% Spandex • Care instructions: For best results, machine wash on gentle cycle. Tumble dry on low heat or hang to dry</t>
        </is>
      </c>
      <c r="I685" s="934" t="inlineStr">
        <is>
          <t>2022 Title Update, 2023 BTS Sale, 21FW 8.27, 23 Spring Sale, 23Oct Markdown, 25clearance, Category_Lounge, Category_Lounge/Pajamas &amp; Robes, Category_Lounge/Pajamas &amp; Robes/Top, Category_Lounge/Tops, Collection_Classic, Fabric_Lounge/Tencel Modal, Function_Lounge/Casual, Function_Lounge/Essential, Function_Lounge/Essential/Mid &amp; Long Sleeve, Function_Lounge/Sleep, Function_Lounge/Sleep/Pajama, hide-bis, HR-CX, LBD23, Need Sample, no-returns, Sale, Size_L, Size_M, Size_S, Tariff Final Sale, US Inventory</t>
        </is>
      </c>
      <c r="J685" s="935" t="inlineStr">
        <is>
          <t>classic-cozy-button-up-pajama-top-v2</t>
        </is>
      </c>
    </row>
    <row r="686" ht="56" customHeight="1" s="229">
      <c r="A686" s="896" t="inlineStr">
        <is>
          <t>Essential Crew Neck Sweater</t>
        </is>
      </c>
      <c r="B686" s="897" t="inlineStr">
        <is>
          <t>Loungewear</t>
        </is>
      </c>
      <c r="C686" s="898" t="n">
        <v>118</v>
      </c>
      <c r="D686" s="898" t="n">
        <v>70.8</v>
      </c>
      <c r="E686" s="957" t="inlineStr">
        <is>
          <t>Yes</t>
        </is>
      </c>
      <c r="F686" s="899" t="inlineStr">
        <is>
          <t>Our Essential Crew Neck Sweater is your new go-to top for cool autumn days. Made from 100% wool, this cozy style staple pairs well with anything - a perfect addition to your fall wardrobe. This item is final sale and cannot be returned or exchanged.</t>
        </is>
      </c>
      <c r="G686" s="900" t="inlineStr">
        <is>
          <t>• Classic ribbed knit sweater with crew neckline. Hem extends just below the waist; will you wear it casual or tuck it in? • A flattering fit for any body type, and pairs well with any pants or jacket. • Genuine sheep's wool - soft, warm, yet breathable.</t>
        </is>
      </c>
      <c r="H686" s="901" t="inlineStr">
        <is>
          <t>100% wool • Care instructions: For best results, g ently hand wash using special wool detergent. Do not machine wash. Lay flat to dry in a cool ventilated place</t>
        </is>
      </c>
      <c r="I686" s="902" t="inlineStr">
        <is>
          <t>21FW 8.27, 21Winter Sale, 22 Spring Sale, Category_Daywear, Category_Daywear/Top, Category_Lounge, Category_Lounge/Knitwear, Category_Lounge/Sweaters&amp;Outerwear, Category_Lounge/Top, Collection_Knitted, Fabric_Lounge/Cashmere &amp; Wool, Fabric_Lounge/Merino Wool, Feature_Essentials, no-returns</t>
        </is>
      </c>
      <c r="J686" s="903" t="inlineStr">
        <is>
          <t>essential-crew-neck-sweater</t>
        </is>
      </c>
    </row>
    <row r="687" ht="56" customHeight="1" s="229">
      <c r="A687" s="880" t="inlineStr">
        <is>
          <t>Nude Skin Mid Waist Brief</t>
        </is>
      </c>
      <c r="B687" s="881" t="inlineStr">
        <is>
          <t>Underwear</t>
        </is>
      </c>
      <c r="C687" s="882" t="n">
        <v>30</v>
      </c>
      <c r="D687" s="882" t="n">
        <v>15</v>
      </c>
      <c r="E687" s="937" t="inlineStr">
        <is>
          <t>Yes</t>
        </is>
      </c>
      <c r="F687" s="883" t="inlineStr">
        <is>
          <t>Your choice in underwear sets the foundation for your entire day - so why choose a brief that rides up or chafes? Introducing the Nude Skin Mid-Waist Brief: underwear that makes you feel as natural &amp; at-ease as you do in your own skin! This item is final sale and cannot be returned or exchanged.</t>
        </is>
      </c>
      <c r="G687" s="884" t="inlineStr">
        <is>
          <t>• Breathable. Silky smooth. 100% cotton lining for added health &amp; comfort. • Mid-waist cut. A close, full-coverage fit &amp; natural feel. • Available in multiple sizes &amp; five easy-to-match colors.</t>
        </is>
      </c>
      <c r="H687" s="885" t="inlineStr">
        <is>
          <t>70% nylon, 30% Lycra¬Æ Spandex; lining: 100% cotton. • Care instructions: For best results, g ently handwash with like colors in cold water. Do not soak longer than 5 minutes</t>
        </is>
      </c>
      <c r="I687" s="886" t="inlineStr">
        <is>
          <t>2023 BTS Sale, 21FW 8.27, 21Winter Sale, 22 Spring Sale, 22FW 40OFF, 23Oct Markdown, Category_Lingerie, Category_Lingerie/Brief, Category_Lingerie/Brief/Mid Waist, Category_Underwear, Category_Underwear/Bottoms, Category_Underwear/Bottoms/Panties, Category_Underwear/Bottoms/Panties/Mid Waist, Collection_Nude, Fabric_Underwear/Lycra, Feature_Essentials, hide-bis, HR-CX, LBD23, no-returns, Sale, Size_L, Size_M, Size_S, Size_XS, XS - XL Brief</t>
        </is>
      </c>
      <c r="J687" s="887" t="inlineStr">
        <is>
          <t>nude-skin-mid-waist-brief</t>
        </is>
      </c>
    </row>
    <row r="688" ht="70" customHeight="1" s="229">
      <c r="A688" s="912" t="inlineStr">
        <is>
          <t>Urban Sport High Waist Full Length Leggings</t>
        </is>
      </c>
      <c r="B688" s="913" t="inlineStr">
        <is>
          <t>Active</t>
        </is>
      </c>
      <c r="C688" s="914" t="n">
        <v>68</v>
      </c>
      <c r="D688" s="914" t="n">
        <v>40.8</v>
      </c>
      <c r="E688" s="955" t="inlineStr">
        <is>
          <t>Yes</t>
        </is>
      </c>
      <c r="F688" s="915" t="inlineStr">
        <is>
          <t>Whether you're interested in fitness or fashion, the NEIWAI ACTIVE Urban Sport High Waist Full-Length Leggings are the ultimate in stylish yet supportive activewear. With their wide, high-waisted band &amp; comfortable Spandex-blend fabric, these leggings are ready to support you whether you're headed to the gym or anywhere else! This item is final sale and cannot be returned or exchanged.</t>
        </is>
      </c>
      <c r="G688" s="916" t="inlineStr">
        <is>
          <t>• Skin-friendly, breathable, &amp; moisture-wicking fabric blend. • Tight yet flexible for a close, comfortable fit &amp; flattering silhouette. • High-waisted, full-length black leggings - one of the most versatile lower body style pieces there is! • Inseam is 30" for Size M.</t>
        </is>
      </c>
      <c r="H688" s="917" t="inlineStr">
        <is>
          <t>51% nylon, 49% Spandex • Care instructions: For best results, hand wash with like colors in cold water. Use light detergent; do not scrub or allow to soak for longer than 10 minutes</t>
        </is>
      </c>
      <c r="I688" s="918" t="inlineStr">
        <is>
          <t>21FW 8.27, 21Winter Sale, 22 Spring Sale, 22FW 40OFF, Activity_Active/Gym, Activity_Active/Outdoor, Activity_Active/Pilates, Activity_Active/Running, Activity_Active/Yoga, Category_Active, Category_Active/Leggings, Category_Active/Leggings &amp; Skirt, Collection_Urban Sport, Fabric_Active/2-Way-Stretchy, hide-bis, no-returns, Sale</t>
        </is>
      </c>
      <c r="J688" s="919" t="inlineStr">
        <is>
          <t>hight-waist-full-length-legging</t>
        </is>
      </c>
    </row>
    <row r="689" ht="56" customHeight="1" s="229">
      <c r="A689" s="966" t="inlineStr">
        <is>
          <t>Barely Zero Curve Bra Trio</t>
        </is>
      </c>
      <c r="B689" s="967" t="inlineStr">
        <is>
          <t>Bundle3</t>
        </is>
      </c>
      <c r="C689" s="968" t="n">
        <v>35</v>
      </c>
      <c r="D689" s="968" t="n">
        <v>26.66</v>
      </c>
      <c r="E689" s="969" t="inlineStr">
        <is>
          <t>Yes</t>
        </is>
      </c>
      <c r="F689" s="970" t="inlineStr">
        <is>
          <t>This bundle includes three Barely Zero Curve Bras - tailored to better adapt to those of us with more curves! An extended band &amp; cup size range give you a little extra room while still ensuring a close, personal fit for your body that adapts to natural weight fluctuation and changes over time.</t>
        </is>
      </c>
      <c r="G689" s="971" t="inlineStr">
        <is>
          <t>• Comfortably fits anyone who wears a band size between 37.5"-43.5" and an A-DDD cup - online bra shopping has never been easier! • T ailored for a close, comfortable fit that doesn't dig in or show lines, even under tight clothing! Removable chest padding, no uncomfortable buckles. • Made from CloudFit¬©: a soft, ultra-elastic blend that's breathable &amp; moisture-wicking for all-day skin comfort. Now with improved odor reduction!</t>
        </is>
      </c>
      <c r="H689" s="972" t="inlineStr">
        <is>
          <t>68% CloudFit¬© nylon blend, 32% Spandex • To preserve and lengthen its wear-life, we strongly recommend handwashing your Barely Zero. Dissolve a gentle detergent in cold water (86 °F /30 °C max ) and fully immerse the underwear. Gently press/knead it, then rinse (soak no longer than 5 minutes)</t>
        </is>
      </c>
      <c r="I689" s="973" t="inlineStr">
        <is>
          <t>2022 Title Update, Bundle Collection, bundle_2_2021-barely-zero-your-size-is-the-size-classic-wireless-bra-bundle, bundle_3_2021-barely-zero-your-size-is-the-size-classic-wireless-bra-trio, BZ Curve Bra, Categeory_Underwear, Category_Bras/Everyday, Category_Bras/Medium Support, Category_Lingerie, Category_Lingerie/Wireless Bra, Category_Underwear, Category_Underwear/Tops, Category_Underwear/Tops/Wireless Bra, Category_Underwear/Tops/Wireless Bra/Seamless, Collection_2021 Barely Zero, Collection_Barely Zero/Bras, Cup_B_D, Cup_C_Plus, Feature_Essentials</t>
        </is>
      </c>
      <c r="J689" s="974" t="inlineStr">
        <is>
          <t>barely-zero-curve-bra-trio</t>
        </is>
      </c>
    </row>
    <row r="690" ht="56" customHeight="1" s="229">
      <c r="A690" s="966" t="inlineStr">
        <is>
          <t>Barely Zero Curve Bra Bundle</t>
        </is>
      </c>
      <c r="B690" s="967" t="inlineStr">
        <is>
          <t>Bundle</t>
        </is>
      </c>
      <c r="C690" s="968" t="n">
        <v>35</v>
      </c>
      <c r="D690" s="968" t="n">
        <v>30</v>
      </c>
      <c r="E690" s="969" t="inlineStr">
        <is>
          <t>Yes</t>
        </is>
      </c>
      <c r="F690" s="970" t="inlineStr">
        <is>
          <t>This bundle includes two Barely Zero Curve Bras - tailored to better adapt to those of us with more curves! An extended band &amp; cup size range give you a little extra room while still ensuring a close, personal fit for your body that adapts to natural weight fluctuation and changes over time.</t>
        </is>
      </c>
      <c r="G690" s="971" t="inlineStr">
        <is>
          <t>• Comfortably fits anyone who wears a band size between 37.5"-43.5" and an A-DDD cup - online bra shopping has never been easier! • T ailored for a close, comfortable fit that doesn't dig in or show lines, even under tight clothing! Removable chest padding, no uncomfortable buckles. • Made from CloudFit¬©: a soft, ultra-elastic blend that's breathable &amp; moisture-wicking for all-day skin comfort. Now with improved odor reduction!</t>
        </is>
      </c>
      <c r="H690" s="972" t="inlineStr">
        <is>
          <t>68% CloudFit¬© nylon blend, 32% Spandex • To preserve and lengthen its wear-life, we strongly recommend handwashing your Barely Zero. Dissolve a gentle detergent in cold water (86 °F /30 °C max ) and fully immerse the underwear. Gently press/knead it, then rinse (soak no longer than 5 minutes)</t>
        </is>
      </c>
      <c r="I690" s="973" t="inlineStr">
        <is>
          <t>2022 Title Update, Bundle Collection, bundle_2_2021-barely-zero-your-size-is-the-size-classic-wireless-bra-bundle, bundle_3_2021-barely-zero-your-size-is-the-size-classic-wireless-bra-trio, BZ Curve Bra, Categeory_Underwear, Category_Bras/Everyday, Category_Bras/Medium Support, Category_Lingerie, Category_Lingerie/Wireless Bra, Category_Underwear, Category_Underwear/Tops, Category_Underwear/Tops/Wireless Bra, Category_Underwear/Tops/Wireless Bra/Seamless, Collection_2021 Barely Zero, Collection_Barely Zero/Bras, Cup_B_D, Cup_C_Plus, Feature_Essentials</t>
        </is>
      </c>
      <c r="J690" s="974" t="inlineStr">
        <is>
          <t>barely-zero-curve-bra-bundle</t>
        </is>
      </c>
    </row>
    <row r="691" ht="56" customHeight="1" s="229">
      <c r="A691" s="975" t="inlineStr">
        <is>
          <t>Pure Comfort 5/8 Cup Bandeau Bra 2.0 Trio</t>
        </is>
      </c>
      <c r="B691" s="976" t="inlineStr">
        <is>
          <t>Bundle3</t>
        </is>
      </c>
      <c r="C691" s="977" t="n">
        <v>38</v>
      </c>
      <c r="D691" s="977" t="n">
        <v>38</v>
      </c>
      <c r="E691" s="976" t="inlineStr"/>
      <c r="F691" s="979" t="inlineStr">
        <is>
          <t>This bundle contains three Pure Comfort 5/8 Cup Bandeau 2.0 Bras - the latest iteration of our must-have B-D cup bra! Tailored using top-quality fabrics, this dependable t-shirt bra is designed to ensure your comfort and confidence through continuous use this spring and beyond.</t>
        </is>
      </c>
      <c r="G691" s="980" t="inlineStr">
        <is>
          <t>• Signature blend of soft, eco-friendly fabrics: TENCEL‚Ñ¢ Modal, Supima¬Æ cotton, &amp; LYCRA¬Æ Spandex. Perfect for skin comfort &amp; mobility! • Fully adjustable straps; converts to traditional, halter, and crisscross styles. Steel-free rings for added support. • Front key-hole for improved ventilation.</t>
        </is>
      </c>
      <c r="H691" s="981" t="inlineStr">
        <is>
          <t>46% TENCEL‚Ñ¢ Modal, 44% Supima¬Æ cotton, 10% LYCRA¬Æ Spandex; padded lining: 100% cotton. • Care instructions: For best results, hand wash in cold water. Lay flat to dry. Do not iron</t>
        </is>
      </c>
      <c r="I691" s="982" t="inlineStr">
        <is>
          <t>Collection_2021 Pure Comfort, SML Size Bra</t>
        </is>
      </c>
      <c r="J691" s="983" t="inlineStr">
        <is>
          <t>pure-comfort-5-8-cup-bandeau-bra-v2-trio</t>
        </is>
      </c>
    </row>
    <row r="692" ht="56" customHeight="1" s="229">
      <c r="A692" s="975" t="inlineStr">
        <is>
          <t>Pure Comfort 5/8 Cup Bandeau Bra 2.0 Bundle</t>
        </is>
      </c>
      <c r="B692" s="976" t="inlineStr">
        <is>
          <t>Bundle</t>
        </is>
      </c>
      <c r="C692" s="977" t="n">
        <v>38</v>
      </c>
      <c r="D692" s="977" t="n">
        <v>35</v>
      </c>
      <c r="E692" s="978" t="inlineStr">
        <is>
          <t>Yes</t>
        </is>
      </c>
      <c r="F692" s="979" t="inlineStr">
        <is>
          <t>This bundle contains two Pure Comfort 5/8 Cup Bandeau 2.0 Bras - the latest iteration of our must-have B-D cup bra! Tailored using top-quality fabrics, this dependable t-shirt bra is designed to ensure your comfort and confidence through continuous use this spring and beyond.</t>
        </is>
      </c>
      <c r="G692" s="980" t="inlineStr">
        <is>
          <t>• Signature blend of soft, eco-friendly fabrics: TENCEL‚Ñ¢ Modal, Supima¬Æ cotton, &amp; LYCRA¬Æ Spandex. Perfect for skin comfort &amp; mobility! • Fully adjustable straps; converts to traditional, halter, and crisscross styles. Steel-free rings for added support. • Front key-hole for improved ventilation.</t>
        </is>
      </c>
      <c r="H692" s="981" t="inlineStr">
        <is>
          <t>46% TENCEL‚Ñ¢ Modal, 44% Supima¬Æ cotton, 10% LYCRA¬Æ Spandex; padded lining: 100% cotton. • Care instructions: For best results, hand wash in cold water. Lay flat to dry. Do not iron</t>
        </is>
      </c>
      <c r="I692" s="982" t="inlineStr">
        <is>
          <t>2022 Title Update, Bundle Collection, Categeory_Underwear, Category_Bras/Cotton, Category_Bras/Everyday, Category_Bras/Medium Support, Category_Bras/Plunge, Category_Lingerie, Category_Lingerie/Wireless Bra, Category_Lingerie/Wireless Bra/Bandeau, Category_Underwear, Category_Underwear/Tops, Category_Underwear/Tops/Wireless Bra, Category_Underwear/Tops/Wireless Bra/Bandeau, Collection_2021 Pure Comfort, Collection_2021 Pure Comfort/Bra, Feature_Essentials, Pure Comfort Size Bra, SML Size Bra</t>
        </is>
      </c>
      <c r="J692" s="983" t="inlineStr">
        <is>
          <t>pure-comfort-5-8-cup-bandeau-bra-v2-bundle</t>
        </is>
      </c>
    </row>
    <row r="693" ht="56" customHeight="1" s="229">
      <c r="A693" s="966" t="inlineStr">
        <is>
          <t>Barely Zero Spaghetti Strap Wireless Bra + Brief Special Pack</t>
        </is>
      </c>
      <c r="B693" s="967" t="inlineStr">
        <is>
          <t>Bundle3</t>
        </is>
      </c>
      <c r="C693" s="968" t="n">
        <v>54</v>
      </c>
      <c r="D693" s="968" t="n">
        <v>41</v>
      </c>
      <c r="E693" s="969" t="inlineStr">
        <is>
          <t>Yes</t>
        </is>
      </c>
      <c r="F693" s="970" t="inlineStr">
        <is>
          <t>This limited-time bundle includes three Spaghetti Strap Wireless Bras &amp; Mid-Waist Briefs from our Barely Zero series - each adapts to your body better than ever before. Fit tip: based on customer feedback, this brief best fits customers who wear up to a size M in underwear.</t>
        </is>
      </c>
      <c r="G693" s="971" t="inlineStr">
        <is>
          <t>• Comfortably fits a wide range of bra and brief sizes -please see the size guide for more detailed sizing guidance. • T ailored for a close, comfortable fit that doesn't dig in or show lines, even under tight clothing! Removable chest padding, no uncomfortable buckles. Briefs include 100% cotton lining. • Made from CloudFit: a soft, ultra-elastic blend that's breathable &amp; moisture-wicking for all-day skin comfort. Now with improved odor reduction!</t>
        </is>
      </c>
      <c r="H693" s="972" t="inlineStr">
        <is>
          <t>68% CloudFit nylon blend, 32% Spandex; brief lining: 100% cotton</t>
        </is>
      </c>
      <c r="I693" s="973" t="inlineStr">
        <is>
          <t>2022 Title Update, Bundle Collection, BZ Spaghetti Bra, BZ Spaghetti Set, Categeory_Underwear, Category_Bras/Everyday, Category_Bras/Medium Support, Category_Lingerie, Category_Lingerie/Fayewong, Category_Lingerie/Wireless Bra, Category_Underwear, Category_Underwear/Bottoms/Panties/Mid Waist, Category_Underwear/Tops, Category_Underwear/Tops/Wireless Bra, Category_Underwear/Tops/Wireless Bra/Seamless, Collection_2021 Barely Zero, Collection_Barely Zero/Bras, Collection_Barely Zero/Underwear, Collection_Holiday Red, Cup_A_C, Cup_B_D, Cup_C_Plus, HR-CX</t>
        </is>
      </c>
      <c r="J693" s="974" t="inlineStr">
        <is>
          <t>barely-zero-spaghetti-strap-wireless-bra-brief-set-bundle-trio</t>
        </is>
      </c>
    </row>
    <row r="694" ht="56" customHeight="1" s="229">
      <c r="A694" s="975" t="inlineStr">
        <is>
          <t>Barely Zero Classic Wireless Bra 2.0 + Brief Set Special Pack</t>
        </is>
      </c>
      <c r="B694" s="976" t="inlineStr">
        <is>
          <t>Bundle3</t>
        </is>
      </c>
      <c r="C694" s="977" t="n">
        <v>54</v>
      </c>
      <c r="D694" s="977" t="n">
        <v>41</v>
      </c>
      <c r="E694" s="978" t="inlineStr">
        <is>
          <t>Yes</t>
        </is>
      </c>
      <c r="F694" s="979" t="inlineStr">
        <is>
          <t>This bundle includes three Classic Wireless Bras &amp; Mid-Waist Briefs from our Barely Zero series - each adapts to your body better than ever before. Fit tip: based on customer feedback, this brief best fits customers who wear up to a size M in underwear.</t>
        </is>
      </c>
      <c r="G694" s="980" t="inlineStr">
        <is>
          <t>• Comfortably fits a wide range of bra sizes - the ultimate bra for nursing, fluctuating sizes, and easy gifting! Please see the size guide for more detailed sizing guidance. • T ailored for a close, comfortable fit that doesn't dig in or show lines, even under tight clothing! Removable chest padding, no uncomfortable buckles. Briefs include 100% cotton lining. • Made from CloudFit: a soft, ultra-elastic blend that's breathable &amp; moisture-wicking for all-day skin comfort. Now with improved odor reduction!</t>
        </is>
      </c>
      <c r="H694" s="981" t="inlineStr">
        <is>
          <t>68% CloudFit nylon blend, 32% Spandex; brief lining: 100% cotton • To preserve and lengthen its wear-life, we strongly recommend handwashing your Barely Zero. Dissolve a gentle detergent in cold water (86 °F /30 °C max ) and fully immerse the underwear. Gently press/knead it, then rinse (soak no longer than 5 minutes)</t>
        </is>
      </c>
      <c r="I694" s="982" t="inlineStr">
        <is>
          <t>2022 Title Update, Bundle Collection, BZ Classic Bra, BZ Classic Set, Categeory_Underwear, Category_Bras/Everyday, Category_Bras/Medium Support, Category_Lingerie, Category_Lingerie/Fayewong, Category_Lingerie/Wireless Bra, Category_Underwear, Category_Underwear/Bottoms/Panties/Mid Waist, Category_Underwear/Tops, Category_Underwear/Tops/Wireless Bra, Category_Underwear/Tops/Wireless Bra/Seamless, Collection_2021 Barely Zero, Collection_Barely Zero/Bras, Collection_Barely Zero/Underwear, Collection_Holiday Red, Cup_A_C, Cup_B_D, Cup_C_Plus, HR-CX</t>
        </is>
      </c>
      <c r="J694" s="983" t="inlineStr">
        <is>
          <t>barely-zero-classic-wireless-bra-v2-brief-set-bundle-trio</t>
        </is>
      </c>
    </row>
    <row r="695" ht="56" customHeight="1" s="229">
      <c r="A695" s="888" t="inlineStr">
        <is>
          <t>Barely Zero Lace Bra</t>
        </is>
      </c>
      <c r="B695" s="889" t="inlineStr">
        <is>
          <t>Underwear</t>
        </is>
      </c>
      <c r="C695" s="890" t="n">
        <v>68</v>
      </c>
      <c r="D695" s="890" t="n">
        <v>40.8</v>
      </c>
      <c r="E695" s="985" t="inlineStr">
        <is>
          <t>Yes</t>
        </is>
      </c>
      <c r="F695" s="891" t="inlineStr">
        <is>
          <t>The close, adaptive fit you know and love - now with an elegant textured lace pattern accent. Fit tip: This one-size bra runs slightly tighter/smaller than the Barely Zero Classic Wireless Bra and Spaghetti Strap Wireless Bra. This item is FINAL SALE and cannot be returned or exchanged.</t>
        </is>
      </c>
      <c r="G695" s="892" t="inlineStr">
        <is>
          <t>• Comfortably fits a wide range of bra sizes - the ultimate bra for nursing, fluctuating sizes, and easy gifting! Please see the size guide for more detailed sizing guidance. • T ailored for a close, comfortable fit that doesn't dig in or show lines, even under tight clothing! Removable chest padding. • Made from CloudFit: a soft, ultra-elastic blend that's breathable &amp; moisture-wicking for all-day skin comfort. Now with improved odor reduction!</t>
        </is>
      </c>
      <c r="H695" s="893" t="inlineStr">
        <is>
          <t>70% CloudFit nylon, 30% Spandex; Lace: 59% CloudFit nylon , 41% Spandex</t>
        </is>
      </c>
      <c r="I695" s="894" t="inlineStr">
        <is>
          <t>2022 Title Update, 2023 BTS Sale, 21FW 10.8, 22FW 30OFF, 24JuneSale, BZ Classic Bra, Categeory_Underwear, Category_Bras/Everyday, Category_Bras/Medium Support, Category_Bras/Plunge, Category_Lingerie, Category_Lingerie/Wireless Bra, Category_Underwear, Category_Underwear/Tops, Category_Underwear/Tops/Wireless Bra, Category_Underwear/Tops/Wireless Bra/Seamless, Collection_2021 Barely Zero, Collection_Barely Zero, Collection_Barely Zero/Bras, Feature_Essentials, hide-bis, HR-CX, LBD23, no-returns, Sale, Size_L, Size_M, Size_S, Size_XS, Tariff Final Sale</t>
        </is>
      </c>
      <c r="J695" s="895" t="inlineStr">
        <is>
          <t>barely-zero-lace-bra</t>
        </is>
      </c>
    </row>
    <row r="696" ht="56" customHeight="1" s="229">
      <c r="A696" s="880" t="inlineStr">
        <is>
          <t>Barely Zero Curve Bra</t>
        </is>
      </c>
      <c r="B696" s="881" t="inlineStr">
        <is>
          <t>Underwear</t>
        </is>
      </c>
      <c r="C696" s="882" t="n">
        <v>49</v>
      </c>
      <c r="D696" s="882" t="n">
        <v>49</v>
      </c>
      <c r="E696" s="881" t="inlineStr"/>
      <c r="F696" s="883" t="inlineStr">
        <is>
          <t>Barely Zero Curve: made to better adapt to those of us with more curves! An extended band &amp; cup size range gives you extra room while still ensuring a close, personal fit for your body that adapts to natural weight fluctuation and changes over time.</t>
        </is>
      </c>
      <c r="G696" s="884" t="inlineStr">
        <is>
          <t>• Comfortably fits anyone whose full bust measurement is between 37.5" and 43.5" and A-DDD cup - the ultimate bra for nursing, fluctuating sizes, and easy gifting! Please visit the size chart for more details • T ailored for a close, comfortable fit that doesn't dig in or show lines, even under tight clothing! Removable chest padding, no uncomfortable buckles. • Made from CloudFit: a soft, ultra-elastic blend that's breathable &amp; moisture-wicking for all-day skin comfort. Now with improved odor reduction!</t>
        </is>
      </c>
      <c r="H696" s="885" t="inlineStr">
        <is>
          <t>68% CloudFit nylon blend, 32% Spandex • To preserve and lengthen its wear-life, we strongly recommend handwashing your Barely Zero. Dissolve a gentle detergent in cold water (86 °F /30 °C max ) and fully immerse the underwear. Gently press/knead it, then rinse (soak no longer than 5 minutes)</t>
        </is>
      </c>
      <c r="I696" s="886" t="inlineStr">
        <is>
          <t>2022 Title Update, BZ Curve Bra, Categeory_Underwear, Category_Bras/Everyday, Category_Bras/High Support, Category_Bras/Nursing, Category_Lingerie, Category_Lingerie/Wireless Bra, Category_Underwear, Category_Underwear/Tops, Category_Underwear/Tops/Wireless Bra, Category_Underwear/Tops/Wireless Bra/Seamless, Collection_Barely Zero, Collection_Barely Zero/Bras, Cup_B_D, Cup_C_Plus, Feature_Best Seller, US Inventory</t>
        </is>
      </c>
      <c r="J696" s="887" t="inlineStr">
        <is>
          <t>barely-zero-curve-bra</t>
        </is>
      </c>
    </row>
    <row r="697" ht="56" customHeight="1" s="229">
      <c r="A697" s="966" t="inlineStr">
        <is>
          <t>Pure Comfort Soft Modal Triangle Bra 2.0 Trio</t>
        </is>
      </c>
      <c r="B697" s="967" t="inlineStr">
        <is>
          <t>Bundle3</t>
        </is>
      </c>
      <c r="C697" s="968" t="n">
        <v>38</v>
      </c>
      <c r="D697" s="968" t="n">
        <v>33</v>
      </c>
      <c r="E697" s="969" t="inlineStr">
        <is>
          <t>Yes</t>
        </is>
      </c>
      <c r="F697" s="970" t="inlineStr">
        <is>
          <t>The bra trusted by over 2 million women around the world returns! This bundle includes three of our Pure Comfort Soft Modal Triangle 2.0 Bras, each bringing the same unmatched, lasting comfort that made them one of our most popular bras ever - and now in three new spring colors!</t>
        </is>
      </c>
      <c r="G697" s="971" t="inlineStr">
        <is>
          <t>• Signature blend of soft, eco-friendly fabrics: TENCEL‚Ñ¢ Modal, Supima¬Æ cotton, &amp; LYCRA¬Æ Spandex. Perfect for skin comfort &amp; mobility! • Completely wireless, with removable padding for easy washing and front key-hole for improved ventilation. • Fully adjustable straps; converts to traditional, halter, and crisscross styles. Back clasp closure.</t>
        </is>
      </c>
      <c r="H697" s="972" t="inlineStr">
        <is>
          <t>46% TENCEL‚Ñ¢ Modal, 44% Supima¬Æ cotton, 10% LYCRA¬Æ Spandex; padded lining: 100% cotton. • Care instructions: For best results, hand wash in cold water. Lay flat to dry. Do not iron</t>
        </is>
      </c>
      <c r="I697" s="973" t="inlineStr">
        <is>
          <t>2022 Title Update, Bundle Collection, Categeory_Underwear, Category_Bras/Cotton, Category_Bras/Everyday, Category_Bras/Medium Support, Category_Bras/Plunge, Category_Lingerie, Category_Lingerie/Wireless Bra, Category_Lingerie/Wireless Bra/Triangle, Category_Underwear, Category_Underwear/Tops, Category_Underwear/Tops/Wireless Bra, Category_Underwear/Tops/Wireless Bra/Triangle, Collection_2021 Pure Comfort, Collection_2021 Pure Comfort/Bra, Feature_Essentials, Pure Comfort Size Bra, SML Size Bra</t>
        </is>
      </c>
      <c r="J697" s="974" t="inlineStr">
        <is>
          <t>pure-comfort-soft-modal-triangle-bra-v2-trio</t>
        </is>
      </c>
    </row>
    <row r="698" ht="56" customHeight="1" s="229">
      <c r="A698" s="966" t="inlineStr">
        <is>
          <t>Pure Comfort Soft Modal Triangle Bra 2.0 Bundle</t>
        </is>
      </c>
      <c r="B698" s="967" t="inlineStr">
        <is>
          <t>Bundle</t>
        </is>
      </c>
      <c r="C698" s="968" t="n">
        <v>38</v>
      </c>
      <c r="D698" s="968" t="n">
        <v>35</v>
      </c>
      <c r="E698" s="969" t="inlineStr">
        <is>
          <t>Yes</t>
        </is>
      </c>
      <c r="F698" s="970" t="inlineStr">
        <is>
          <t>The bra trusted by over 2 million women around the world returns! This bundle includes two of our Pure Comfort Soft Modal Triangle 2.0 Bras, each bringing the same unmatched, lasting comfort that made them one of our most popular bras ever - and now in three new spring colors!</t>
        </is>
      </c>
      <c r="G698" s="971" t="inlineStr">
        <is>
          <t>• Signature blend of soft, eco-friendly fabrics: TENCEL‚Ñ¢ Modal, Supima¬Æ cotton, &amp; LYCRA¬Æ Spandex. Perfect for skin comfort &amp; mobility! • Completely wireless, with removable padding for easy washing and front key-hole for improved ventilation. • Fully adjustable straps; converts to traditional, halter, and crisscross styles. Back clasp closure.</t>
        </is>
      </c>
      <c r="H698" s="972" t="inlineStr">
        <is>
          <t>46% TENCEL‚Ñ¢ Modal, 44% Supima¬Æ cotton, 10% LYCRA¬Æ Spandex; padded lining: 100% cotton. • Care instructions: For best results, hand wash in cold water. Lay flat to dry. Do not iron</t>
        </is>
      </c>
      <c r="I698" s="973" t="inlineStr">
        <is>
          <t>2022 Title Update, Bundle Collection, Categeory_Underwear, Category_Bras/Cotton, Category_Bras/Everyday, Category_Bras/Medium Support, Category_Bras/Plunge, Category_Lingerie, Category_Lingerie/Wireless Bra, Category_Lingerie/Wireless Bra/Triangle, Category_Underwear, Category_Underwear/Tops, Category_Underwear/Tops/Wireless Bra, Category_Underwear/Tops/Wireless Bra/Triangle, Collection_2021 Pure Comfort, Collection_2021 Pure Comfort/Bra, Feature_Essentials, Pure Comfort Size Bra, SML Size Bra</t>
        </is>
      </c>
      <c r="J698" s="974" t="inlineStr">
        <is>
          <t>pure-comfort-soft-modal-triangle-bra-v2-bundle</t>
        </is>
      </c>
    </row>
    <row r="699" ht="70" customHeight="1" s="229">
      <c r="A699" s="888" t="inlineStr">
        <is>
          <t>Metallic Yarn Low Waist Brief</t>
        </is>
      </c>
      <c r="B699" s="889" t="inlineStr">
        <is>
          <t>Underwear</t>
        </is>
      </c>
      <c r="C699" s="890" t="n">
        <v>18</v>
      </c>
      <c r="D699" s="890" t="n">
        <v>9</v>
      </c>
      <c r="E699" s="985" t="inlineStr">
        <is>
          <t>Yes</t>
        </is>
      </c>
      <c r="F699" s="891" t="inlineStr">
        <is>
          <t>The Metallic Yarn Low Waist Brief is the fun and comfortable companion to its matching bra - together, this set adds a flashy flair to your wardrobe that will boost your confidence in any outfit! This brief sits just above your hips for a satisfying fit that complements your figure and features a cotton lining for added comfort. This item is final sale and cannot be returned or exchanged.</t>
        </is>
      </c>
      <c r="G699" s="892" t="inlineStr">
        <is>
          <t>• Low-waisted fit, moderate coverage. • Subtle embroidered details at edges. • Pair with the matching bra for a complete set!</t>
        </is>
      </c>
      <c r="H699" s="893" t="inlineStr">
        <is>
          <t>78% nylon, 22% LYCRA¬Æ Spandex; details are 88% nylon, 12% Spandex. Cotton lining at bottom. • Care instructions: For best results, gently hand wash in cold water with a light detergent. Do not wring, twist, or allow to soak for longer than 10 minutes. Lay flat to dry in a cool place. Ironing not recommended</t>
        </is>
      </c>
      <c r="I699" s="894" t="inlineStr">
        <is>
          <t>22FW 50OFF, Category_Lingerie, Category_Lingerie/Brief, Category_Lingerie/Brief/Low Waist, Category_Underwear, Category_Underwear/Bottoms, Category_Underwear/Bottoms/Panties, Category_Underwear/Bottoms/Panties/Low Waist, Collection_Valentine, Fabric_Underwear/Lycra, Feature_Essentials, hide-bis, HR-CX, Need Sample, no-returns, Sale, XS - XL Brief</t>
        </is>
      </c>
      <c r="J699" s="895" t="inlineStr">
        <is>
          <t>metallica-yarn-low-waist-brief</t>
        </is>
      </c>
    </row>
    <row r="700" ht="84" customHeight="1" s="229">
      <c r="A700" s="880" t="inlineStr">
        <is>
          <t>Metallic Yarn Deep-V Bra</t>
        </is>
      </c>
      <c r="B700" s="881" t="inlineStr">
        <is>
          <t>Underwear</t>
        </is>
      </c>
      <c r="C700" s="882" t="n">
        <v>48</v>
      </c>
      <c r="D700" s="882" t="n">
        <v>24</v>
      </c>
      <c r="E700" s="937" t="inlineStr">
        <is>
          <t>Yes</t>
        </is>
      </c>
      <c r="F700" s="883" t="inlineStr">
        <is>
          <t>Deep cut, high gloss, and ready for your moment in the spotlight - the Metallic Yarn Deep-V Bra is flashy, fun, yet comfortable &amp; supportive for any day in or night out. Perfect for low-cut dresses and halters, this bra will shine like a diamond in your wardrobe! Features a deep V in the front and a full-width band that hooks at the back for dependable stability. This item is final sale and cannot be returned or exchanged.</t>
        </is>
      </c>
      <c r="G700" s="884" t="inlineStr">
        <is>
          <t>• Non-removable cotton padding in the cups for plenty of coverage and cushioning. • Fully a djustable and detachable back straps can be worn straight or crossed. • The perfect bra for wearing with elegant gowns, low-cut shirts, or even on its own for a chic look under a jacket. Pair with the matching brief for a complete set!</t>
        </is>
      </c>
      <c r="H700" s="885" t="inlineStr">
        <is>
          <t>78% nylon, 22% LYCRA¬Æ Spandex; straps &amp; details are 88% nylon, 12% Spandex. • Care instructions: For best results, gently hand wash in cold water with a light detergent. Do not wring, twist, or allow to soak for longer than 10 minutes. Lay flat to dry in a cool place. Ironing not recommended</t>
        </is>
      </c>
      <c r="I700" s="886" t="inlineStr">
        <is>
          <t>2023 BTS Sale, 22 Spring Sale, 22FW 50OFF, C2 Size Bra, Category_Bras/Bralettes, Category_Bras/Light Support, Category_Bras/Plunge, Category_Lingerie, Category_Lingerie/Wireless Bra, Category_Underwear, Category_Underwear/Tops, Category_Underwear/Tops/Wireless Bra, Category_Underwear/Tops/Wireless Bra/Soft-Cup, Feature_Essentials, hide-bis, LBD23, Need Sample, no-returns, Sale</t>
        </is>
      </c>
      <c r="J700" s="887" t="inlineStr">
        <is>
          <t>metallica-yarn-deep-v-bra</t>
        </is>
      </c>
    </row>
    <row r="701" ht="56" customHeight="1" s="229">
      <c r="A701" s="888" t="inlineStr">
        <is>
          <t>Pure Comfort 5/8 Cup Bandeau Bra 2.0</t>
        </is>
      </c>
      <c r="B701" s="889" t="inlineStr">
        <is>
          <t>Underwear</t>
        </is>
      </c>
      <c r="C701" s="890" t="n">
        <v>38</v>
      </c>
      <c r="D701" s="890" t="n">
        <v>38</v>
      </c>
      <c r="E701" s="889" t="inlineStr"/>
      <c r="F701" s="891" t="inlineStr">
        <is>
          <t>The Pure Comfort 5/8 Cup Bandeau Bra 2.0 - the latest iteration of our must-have A-C cup bra! Tailored using top-quality fabrics, this dependable t-shirt bra is designed to ensure your comfort and confidence through continuous use this spring and beyond.</t>
        </is>
      </c>
      <c r="G701" s="892" t="inlineStr">
        <is>
          <t>• Signature blend of soft, eco-friendly fabrics: TENCEL‚Ñ¢ Modal, Supima¬Æ cotton, &amp; LYCRA¬Æ Spandex. Perfect for skin comfort &amp; mobility! • Built-in cups for shaping and support. Fully adjustable straps convert to racerback style. • Front key-hole for improved ventilation.</t>
        </is>
      </c>
      <c r="H701" s="893" t="inlineStr">
        <is>
          <t>46% TENCEL‚Ñ¢ Modal, 44% Supima¬Æ cotton, 10% LYCRA¬Æ Spandex; padded lining: 100% cotton. • Care instructions: For best results, hand wash in cold water. Lay flat to dry. Do not iron</t>
        </is>
      </c>
      <c r="I701" s="894" t="inlineStr">
        <is>
          <t>2022 Title Update, 22SS 1.21, Categeory_Underwear, Category_Bras/Cotton, Category_Bras/Everyday, Category_Bras/Medium Support, Category_Bras/Plunge, Category_Lingerie, Category_Lingerie/Wireless Bra, Category_Lingerie/Wireless Bra/Bandeau, Category_Underwear, Category_Underwear/Tops, Category_Underwear/Tops/Wireless Bra, Category_Underwear/Tops/Wireless Bra/Bandeau, Collection_2021 Pure Comfort, Collection_2021 Pure Comfort/Bra, Collection_Holiday Red, Fabric_Underwear/Cotton, Feature_Best Seller, Feature_Essentials, Flexport Stock, LBD23, Need Sample, Pure Comfort Size Bra, SML Size Bra, US Inventory, US Main</t>
        </is>
      </c>
      <c r="J701" s="895" t="inlineStr">
        <is>
          <t>pure-comfort-5-8-cup-bandeau-bra-v2</t>
        </is>
      </c>
    </row>
    <row r="702" ht="42" customHeight="1" s="229">
      <c r="A702" s="880" t="inlineStr">
        <is>
          <t>Pure Comfort Soft Modal Triangle Bra 2.0</t>
        </is>
      </c>
      <c r="B702" s="881" t="inlineStr">
        <is>
          <t>Underwear</t>
        </is>
      </c>
      <c r="C702" s="882" t="n">
        <v>38</v>
      </c>
      <c r="D702" s="882" t="n">
        <v>38</v>
      </c>
      <c r="E702" s="881" t="inlineStr"/>
      <c r="F702" s="883" t="inlineStr">
        <is>
          <t>The bra trusted by over 2 million women around the world returns! Our Pure Comfort Soft Modal Triangle Bra 2.0 brings the same unmatched, lasting comfort that made this one of our most popular bras ever - now in three new spring colors!</t>
        </is>
      </c>
      <c r="G702" s="884" t="inlineStr">
        <is>
          <t>• Signature blend of soft, eco-friendly fabrics: TENCEL‚Ñ¢ Modal, Supima¬Æ cotton, &amp; LYCRA¬Æ Spandex. Perfect for skin comfort &amp; mobility! • Completely wireless, with removable padding for easy washing and front key-hole for improved ventilation. • Fully adjustable straps convert to racerback style. Back clasp closure.</t>
        </is>
      </c>
      <c r="H702" s="885" t="inlineStr">
        <is>
          <t>46% TENCEL‚Ñ¢ Modal, 44% Supima¬Æ cotton, 10% LYCRA¬Æ Spandex; padded lining: 100% cotton. • Care instructions: For best results, hand wash in cold water. Lay flat to dry. Do not iron</t>
        </is>
      </c>
      <c r="I702" s="886" t="inlineStr">
        <is>
          <t>2022 Title Update, 22SS 1.21, Categeory_Underwear, Category_Bras/Cotton, Category_Bras/Everyday, Category_Bras/Medium Support, Category_Bras/Plunge, Category_Lingerie, Category_Lingerie/Wireless Bra, Category_Lingerie/Wireless Bra/Triangle, Category_Underwear, Category_Underwear/Tops, Category_Underwear/Tops/Wireless Bra, Category_Underwear/Tops/Wireless Bra/Triangle, Collection_2021 Pure Comfort, Collection_2021 Pure Comfort/Bra, Collection_Holiday Red, Fabric_Underwear/Cotton, Feature_Best Seller, Feature_Essentials, feedonomics_exclude, Flexport Stock, LBD23, Need Sample, Pure Comfort Size Bra, SML Size Bra, US Inventory, US Main</t>
        </is>
      </c>
      <c r="J702" s="887" t="inlineStr">
        <is>
          <t>pure-comfort-soft-modal-triangle-bra-v2</t>
        </is>
      </c>
    </row>
    <row r="703" ht="42" customHeight="1" s="229">
      <c r="A703" s="904" t="inlineStr">
        <is>
          <t>ACTIVE SCULPT Full-Length Leggings</t>
        </is>
      </c>
      <c r="B703" s="905" t="inlineStr">
        <is>
          <t>Active</t>
        </is>
      </c>
      <c r="C703" s="906" t="n">
        <v>108</v>
      </c>
      <c r="D703" s="906" t="n">
        <v>43.2</v>
      </c>
      <c r="E703" s="956" t="inlineStr">
        <is>
          <t>Yes</t>
        </is>
      </c>
      <c r="F703" s="907" t="inlineStr">
        <is>
          <t>The Active Sculpt Leggings are a workout staple that provide a touch of edge with a side mesh inlay. This item is FINAL SALE and cannot be returned or exchanged.</t>
        </is>
      </c>
      <c r="G703" s="908" t="inlineStr">
        <is>
          <t>• Features a small pocket in the waistband. • Tailored from a moisture-wicking, skin-friendly Spandex blend. • High-waisted design offers a supportive and flattering fit. • Inseam is 25" for Size M.</t>
        </is>
      </c>
      <c r="H703" s="909" t="inlineStr">
        <is>
          <t>82% polyamide, 18% Spandex • Care instructions: For best results, hand wash with like colors in cold water</t>
        </is>
      </c>
      <c r="I703" s="910" t="inlineStr">
        <is>
          <t>2023 BTS Sale, 21SS Sale, 22 Spring Sale, 22FW 50OFF, 23Oct Markdown, Activity_Active/Gym, Activity_Active/Outdoor, Activity_Active/Pilates, Activity_Active/Running, Activity_Active/Yoga, Category_Active, Category_Active/Leggings, Category_Active/Leggings &amp; Skirt, Collection_Active Sculpt, Fabric_Active/2-Way-Stretchy, hide-bis, LBD23, Need Sample, no-returns, Sale, Spring Palette</t>
        </is>
      </c>
      <c r="J703" s="911" t="inlineStr">
        <is>
          <t>active-sculpt-full-length-leggings</t>
        </is>
      </c>
    </row>
    <row r="704" ht="56" customHeight="1" s="229">
      <c r="A704" s="912" t="inlineStr">
        <is>
          <t>ACTIVE SCULPT Shorts</t>
        </is>
      </c>
      <c r="B704" s="913" t="inlineStr">
        <is>
          <t>Active</t>
        </is>
      </c>
      <c r="C704" s="914" t="n">
        <v>88</v>
      </c>
      <c r="D704" s="914" t="n">
        <v>35.2</v>
      </c>
      <c r="E704" s="955" t="inlineStr">
        <is>
          <t>Yes</t>
        </is>
      </c>
      <c r="F704" s="915" t="inlineStr">
        <is>
          <t>Sculpt your ideal figure &amp; pursue your athletic dreams in ACTIVE SCULPT Shorts! High-waisted for light compression &amp; extra support, the ultra-fine Spandex blend is soft on skin, yet flexible &amp; durable enough to support all your active goals. This item is final sale and cannot be returned or exchanged.</t>
        </is>
      </c>
      <c r="G704" s="916" t="inlineStr">
        <is>
          <t>• Ultra-fine Lycra Spandex blend is wrinkle-resistant, moisture-wicking, and dries quickly! • 10" inseam, stops just above the knee with enough coverage for high-motion activity. • Size M is 17.5" in length.</t>
        </is>
      </c>
      <c r="H704" s="917" t="inlineStr">
        <is>
          <t>82% p olyamide , 18% Spandex • Care instructions: Gently hand wash with like colors in cold water. Use a light detergent and do not scrub or allow to soak for longer than 10 minutes</t>
        </is>
      </c>
      <c r="I704" s="918" t="inlineStr">
        <is>
          <t>2023 BTS Sale, 21SS Sale, 22 Spring Sale, 22FW 50OFF, 23Oct Markdown, Activity_Active/Gym, Activity_Active/Jogging, Activity_Active/Outdoor, Activity_Active/Pilates, Activity_Active/Running, Activity_Active/Yoga, Category_Active, Category_Active/Leggings, Category_Active/Leggings &amp; Skirt, Category_Active/Shorts, Collection_Active Sculpt, Fabric_Active/2-Way-Stretchy, hide-bis, LBD23, Need Sample, no-returns, Sale, Spring Palette</t>
        </is>
      </c>
      <c r="J704" s="919" t="inlineStr">
        <is>
          <t>active-sculpt-shorts</t>
        </is>
      </c>
    </row>
    <row r="705" ht="70" customHeight="1" s="229">
      <c r="A705" s="904" t="inlineStr">
        <is>
          <t>ACTIVE SCULPT Racerback High Support Bra</t>
        </is>
      </c>
      <c r="B705" s="905" t="inlineStr">
        <is>
          <t>Active</t>
        </is>
      </c>
      <c r="C705" s="906" t="n">
        <v>78</v>
      </c>
      <c r="D705" s="906" t="n">
        <v>39</v>
      </c>
      <c r="E705" s="956" t="inlineStr">
        <is>
          <t>Yes</t>
        </is>
      </c>
      <c r="F705" s="907" t="inlineStr">
        <is>
          <t>The NEIWAI ACTIVE SCULPT Racerback Bra is the perfect sports bra for kicking your workout routine into high gear! Features expanding side-mesh for improved mobility and ventilation. This bra offers strong support &amp; stability - excellent for high-impact activity! This item is final sale and cannot be returned or exchanged.</t>
        </is>
      </c>
      <c r="G705" s="908" t="inlineStr">
        <is>
          <t>• Woven Spandex blend is comfortable yet durable, and extremely supportive. Available in three colors to match your favorite workout gear! • Wide shoulder straps and Y-shaped back strap for greater distribution and freedom of movement. • Plenty of coverage means it's the only top layer you need - better airflow during intense workouts!</t>
        </is>
      </c>
      <c r="H705" s="909" t="inlineStr">
        <is>
          <t>Body: 72% nylon, 28% Spandex; Mesh: 70% nylon, 30% Spandex • Care instructions: Gently hand wash (do not twist or knead vigorously) with like colors in cold water with a gentle detergent</t>
        </is>
      </c>
      <c r="I705" s="910" t="inlineStr">
        <is>
          <t>21SS Sale, 22 Spring Sale, 22FW 50OFF, Activity_Active/Dance, Activity_Active/Gym, Activity_Active/Jogging, Activity_Active/Outdoor, Activity_Active/Pilates, Activity_Active/Running, Activity_Active/Yoga, B1 Sports Bra, Category_Active, Category_Active/Ballet, Category_Active/Sport Bra &amp; Top, Category_Active/Sports Bra, Collection_Active Sculpt, Fabric_Active/2-Way-Stretchy, Feature_Essentials, hide-bis, Need Sample, no-returns, Sale, Spring Palette</t>
        </is>
      </c>
      <c r="J705" s="911" t="inlineStr">
        <is>
          <t>active-sculpt-racerback-bra</t>
        </is>
      </c>
    </row>
    <row r="706" ht="56" customHeight="1" s="229">
      <c r="A706" s="912" t="inlineStr">
        <is>
          <t>ACTIVE SCULPT Triple Strap Crop Moderate Support Bra Top</t>
        </is>
      </c>
      <c r="B706" s="913" t="inlineStr">
        <is>
          <t>Active</t>
        </is>
      </c>
      <c r="C706" s="914" t="n">
        <v>88</v>
      </c>
      <c r="D706" s="914" t="n">
        <v>35.2</v>
      </c>
      <c r="E706" s="955" t="inlineStr">
        <is>
          <t>Yes</t>
        </is>
      </c>
      <c r="F706" s="915" t="inlineStr">
        <is>
          <t>The Active Sculpt Triple Strap Crop Top is the ultimate in fashionable support. This sports bra features three M-type straps - so that every workout is comfortable &amp; properly supported. Ideal for moderate-impact exercise! This item is final sale and cannot be returned or exchanged.</t>
        </is>
      </c>
      <c r="G706" s="916" t="inlineStr">
        <is>
          <t>• Made from a moisture-wicking Spandex blend. • Wide shoulder straps and M-type straps for greater distribution and freedom of movement. • Waist-length - plenty of coverage means it's the only top layer you need!</t>
        </is>
      </c>
      <c r="H706" s="917" t="inlineStr">
        <is>
          <t>72% nylon, 18% Spandex • Care instructions: Gently hand wash (do not twist or knead vigorously) with like colors in cold water with a gentle detergent</t>
        </is>
      </c>
      <c r="I706" s="918" t="inlineStr">
        <is>
          <t>2023 BTS Sale, 21SS Sale, 22 Spring Sale, 22FW 50OFF, 23Oct Markdown, Activity_Active/Dance, Activity_Active/Gym, Activity_Active/Outdoor, Activity_Active/Running, B1 Sports Bra, Category_Active, Category_Active/Sport Bra &amp; Top, Category_Active/Sports Bra, Collection_Active Sculpt, Fabric_Active/2-Way-Stretchy, Feature_Essentials, hide-bis, LBD23, Need Sample, no-returns, Sale, Spring Palette</t>
        </is>
      </c>
      <c r="J706" s="919" t="inlineStr">
        <is>
          <t>active-sculpt-triple-strap-crop-bra</t>
        </is>
      </c>
    </row>
    <row r="707" ht="70" customHeight="1" s="229">
      <c r="A707" s="904" t="inlineStr">
        <is>
          <t>ACTIVE SCULPT Light Support Bra</t>
        </is>
      </c>
      <c r="B707" s="905" t="inlineStr">
        <is>
          <t>Active</t>
        </is>
      </c>
      <c r="C707" s="906" t="n">
        <v>68</v>
      </c>
      <c r="D707" s="906" t="n">
        <v>27.2</v>
      </c>
      <c r="E707" s="956" t="inlineStr">
        <is>
          <t>Yes</t>
        </is>
      </c>
      <c r="F707" s="907" t="inlineStr">
        <is>
          <t>The NEIWAI ACTIVE SCULPT Light Support Bra offers moderate support and excellent comfort as you pursue your active goals at your own pace! Features a cooling V-neck for greater ventilation - this is the ideal sports bra for low-impact activities like yoga, long walks, and dance. This item is final sale and cannot be returned or exchanged.</t>
        </is>
      </c>
      <c r="G707" s="908" t="inlineStr">
        <is>
          <t>• Woven Spandex blend is comfortable yet durable. Available in three colors to match your favorite workout gear! • Thin spaghetti straps allow for uninhibited freedom of movement and minimum friction. • Elegantly tailored as a bra and as the only top layer you need - better airflow &amp; breathability during your routine!</t>
        </is>
      </c>
      <c r="H707" s="909" t="inlineStr">
        <is>
          <t>72% nylon, 28% Spandex • Care instructions: Gently hand wash (do not twist or knead vigorously) with like colors in cold water with a gentle detergent</t>
        </is>
      </c>
      <c r="I707" s="910" t="inlineStr">
        <is>
          <t>2023 BTS Sale, 21SS Sale, 22 Spring Sale, 22FW 50OFF, 23Oct Markdown, Activity_Active/Gym, Activity_Active/Outdoor, Activity_Active/Pilates, Activity_Active/Yoga, B1 Sports Bra, Category_Active, Category_Active/Ballet, Category_Active/Sport Bra &amp; Top, Category_Active/Sports Bra, Collection_Active Sculpt, Fabric_Active/2-Way-Stretchy, Feature_Essentials, hide-bis, LBD23, Need Sample, no-returns, Sale</t>
        </is>
      </c>
      <c r="J707" s="911" t="inlineStr">
        <is>
          <t>active-sculpt-light-support-bra</t>
        </is>
      </c>
    </row>
    <row r="708" ht="70" customHeight="1" s="229">
      <c r="A708" s="888" t="inlineStr">
        <is>
          <t>Nude Shape Low Waist Briefs - 4 Pack</t>
        </is>
      </c>
      <c r="B708" s="889" t="inlineStr">
        <is>
          <t>Underwear</t>
        </is>
      </c>
      <c r="C708" s="890" t="n">
        <v>68</v>
      </c>
      <c r="D708" s="890" t="n">
        <v>34</v>
      </c>
      <c r="E708" s="985" t="inlineStr">
        <is>
          <t>Yes</t>
        </is>
      </c>
      <c r="F708" s="891" t="inlineStr">
        <is>
          <t>This 4-pack of Nude Shape Low Waist Briefs from our Nude Shape Collection are cut from an ultra-fine, highly elastic Lycra¬Æ Spandex blend. They're soft and delicate to the touch, light and breathable for all-day comfort, and flexible enough to carry you through each of your day's activities! This item is final sale and cannot be returned or exchanged.</t>
        </is>
      </c>
      <c r="G708" s="892" t="inlineStr">
        <is>
          <t>• Soft. Breathable. Flexible. Everything you need in your everyday underwear! • Low profile, low-waist cut. Perfect for wearing under shorts or summer dresses. • Available in four colors in bundled 4-pack for added value.</t>
        </is>
      </c>
      <c r="H708" s="893" t="inlineStr">
        <is>
          <t>72% nylon, 28% Lycra¬Æ Spandex • Care instructions: Gently handwash using light detergent with like colors in cold water. Do not allow to soak for longer than 5 minutes</t>
        </is>
      </c>
      <c r="I708" s="894" t="inlineStr">
        <is>
          <t>2023 BTS Sale, 21SS Sale, 22 Spring Sale, 22FW 50OFF, Bundle Collection, Category_Lingerie, Category_Lingerie/Brief, Category_Lingerie/Brief/Low Waist, Category_Underwear, Category_Underwear/Bottoms, Category_Underwear/Bottoms/Panties, Category_Underwear/Bottoms/Panties/Low Waist, Collection_Nude, Fabric_Underwear/Lycra, Feature_Essentials, hide-bis, HR-CX, LBD23, no-returns, Sale, Spring Palette, XS - XL Brief</t>
        </is>
      </c>
      <c r="J708" s="895" t="inlineStr">
        <is>
          <t>nude-shape-low-waist-brief-4pack</t>
        </is>
      </c>
    </row>
    <row r="709" ht="42" customHeight="1" s="229">
      <c r="A709" s="880" t="inlineStr">
        <is>
          <t>Pure Comfort Mid Waist Briefs - 3 Pack</t>
        </is>
      </c>
      <c r="B709" s="881" t="inlineStr">
        <is>
          <t>Underwear</t>
        </is>
      </c>
      <c r="C709" s="882" t="n">
        <v>30</v>
      </c>
      <c r="D709" s="882" t="n">
        <v>30</v>
      </c>
      <c r="E709" s="881" t="inlineStr"/>
      <c r="F709" s="883" t="inlineStr">
        <is>
          <t>These Pure Comfort M id Waist Briefs are made from a blend of premium TENCEL‚Ñ¢ Modal, Supima¬Æ cotton, and Lycra ¬Æ Spandex. This 3-pack makes feeling Pure Comfort all day, every day easier than ever!</t>
        </is>
      </c>
      <c r="G709" s="884" t="inlineStr">
        <is>
          <t>• Enhanced blend of TENCEL‚Ñ¢ Modal for softness, Supima¬Æ cotton for superior absorption and breathability, and Lycra ¬Æ Spandex for flexibility. • Classic mid-waist cut sits just below hips for moderate coverage. • Fine trim details at leg and waistline. 100% Supima¬Æ cotton lining.</t>
        </is>
      </c>
      <c r="H709" s="885" t="inlineStr">
        <is>
          <t>45% TENCEL‚Ñ¢ Modal, 44% Supima¬Æ cotton, 11% Lycra¬Æ Spandex; 100% cotton lining. • Care instructions: For best results, gently hand wash with like colors using a light detergent in cold water</t>
        </is>
      </c>
      <c r="I709" s="886" t="inlineStr">
        <is>
          <t>Categeory_Underwear, Category_2021 Pure Comfort/Brief, Category_Lingerie, Category_Lingerie/Brief, Category_Lingerie/Brief/Mid Waist, Category_Underwear, Category_Underwear/Bottoms, Category_Underwear/Bottoms/Panties, Category_Underwear/Bottoms/Panties/Mid Waist, Collection_2021 Pure Comfort, Collection_Pure Comfort, Fabric_Underwear/Cotton, Fabric_Underwear/Tencel Modal, Feature_Essentials, hide-bis, HR-CX</t>
        </is>
      </c>
      <c r="J709" s="887" t="inlineStr">
        <is>
          <t>2021-pure-comfort-midwaist-briefs-3pack</t>
        </is>
      </c>
    </row>
    <row r="710" ht="28" customHeight="1" s="229">
      <c r="A710" s="888" t="inlineStr">
        <is>
          <t>Pure Comfort Mid Waist Brief</t>
        </is>
      </c>
      <c r="B710" s="889" t="inlineStr">
        <is>
          <t>Underwear</t>
        </is>
      </c>
      <c r="C710" s="890" t="n">
        <v>12</v>
      </c>
      <c r="D710" s="890" t="n">
        <v>12</v>
      </c>
      <c r="E710" s="889" t="inlineStr"/>
      <c r="F710" s="891" t="inlineStr">
        <is>
          <t>Our Pure Comfort Mid Waist Brief: the same unmatched, lasting comfort that made this one of our most popular briefs ever, now in three new spring colors!</t>
        </is>
      </c>
      <c r="G710" s="892" t="inlineStr">
        <is>
          <t>• Made from premium fabric imported from Italy, ultra-soft with the proper stretch. • Subtle mesh structure for improved ventilation- perfect for summer. • Classic mid to high-rise cut for moderate coverage and all-day comfort!</t>
        </is>
      </c>
      <c r="H710" s="893" t="inlineStr">
        <is>
          <t>83% cotton,10% nylon,7% Spandex; lining: 100% cotton. • Care instructions: For best results, hand wash in cold water. Lay flat to dry. Do not iron</t>
        </is>
      </c>
      <c r="I710" s="894" t="inlineStr">
        <is>
          <t>2022 Title Update, 22SS 2.11, Categeory_Underwear, Category_2021 Pure Comfort/Brief, Category_Lingerie, Category_Lingerie/Brief, Category_Lingerie/Brief/Mid Waist, Category_Underwear, Category_Underwear/Bottoms, Category_Underwear/Bottoms/Panties, Category_Underwear/Bottoms/Panties/Mid Waist, Collection_2021 Pure Comfort, Collection_Holiday Red, Fabric_Underwear/Cotton, Fabric_Underwear/Tencel Modal, Feature_Best Seller, Feature_Essentials, HR-CX, LBD23, Tariff Final Sale, XS - XL Brief</t>
        </is>
      </c>
      <c r="J710" s="895" t="inlineStr">
        <is>
          <t>pure-comfort-midwaist-brief</t>
        </is>
      </c>
    </row>
    <row r="711" ht="56" customHeight="1" s="229">
      <c r="A711" s="912" t="inlineStr">
        <is>
          <t>Urban Sport Side Slit Jogger</t>
        </is>
      </c>
      <c r="B711" s="913" t="inlineStr">
        <is>
          <t>Active</t>
        </is>
      </c>
      <c r="C711" s="914" t="n">
        <v>108</v>
      </c>
      <c r="D711" s="914" t="n">
        <v>43.2</v>
      </c>
      <c r="E711" s="955" t="inlineStr">
        <is>
          <t>Yes</t>
        </is>
      </c>
      <c r="F711" s="915" t="inlineStr">
        <is>
          <t>Step back into your exercise routine with the new NEIWAI ACTIVE Side Slit Jogger. The ultimate in breathability &amp; flexibility as you run, stretch, and dance your way to an active lifestyle! This item is final sale and cannot be returned or exchanged.</t>
        </is>
      </c>
      <c r="G711" s="916" t="inlineStr">
        <is>
          <t>• Tightly woven four-way stretch fabric for better elasticity; also blocks UV light for outdoor protection. • Matte cloth with a woven texture. Light and comfortable, with a side slit for enhanced airflow and breathability! • Size M is 36.6" in length. Elastic leg cuffs &amp; waistband; rear umbrella tailoring for a modern silhouette.</t>
        </is>
      </c>
      <c r="H711" s="917" t="inlineStr">
        <is>
          <t>Body materials: 88% polyester, 12% Spandex • Leg Cuffs &amp; Waistband: 72% nylon, 28% Spandex • Care instructions: Gently hand wash with like colors using light detergent in cold water, allowing to soak no longer than 5 minutes. Do not knead or twist vigorously</t>
        </is>
      </c>
      <c r="I711" s="918" t="inlineStr">
        <is>
          <t>2023 BTS Sale, 21SS Sale, 22 Spring Sale, 22FW 50OFF, 23Oct Markdown, Activity_Active/Gym, Activity_Active/Jogging, Activity_Active/Outdoor, Activity_Active/Running, Category_Active, Category_Active/Joggers, Category_Active/Leggings &amp; Skirt, Collection_Urban Sport, hide-bis, LBD23, Need Sample, no-returns, Sale, Spring Palette</t>
        </is>
      </c>
      <c r="J711" s="919" t="inlineStr">
        <is>
          <t>slide-slit-jogger</t>
        </is>
      </c>
    </row>
    <row r="712" ht="28" customHeight="1" s="229">
      <c r="A712" s="904" t="inlineStr">
        <is>
          <t>Urban Sport Running Shorts</t>
        </is>
      </c>
      <c r="B712" s="905" t="inlineStr">
        <is>
          <t>Active</t>
        </is>
      </c>
      <c r="C712" s="906" t="n">
        <v>68</v>
      </c>
      <c r="D712" s="906" t="n">
        <v>34</v>
      </c>
      <c r="E712" s="956" t="inlineStr">
        <is>
          <t>Yes</t>
        </is>
      </c>
      <c r="F712" s="907" t="inlineStr">
        <is>
          <t>Flexibility, breathability, and durability - everything you need in dependable running shorts. This item is final sale and cannot be returned or exchanged.</t>
        </is>
      </c>
      <c r="G712" s="908" t="inlineStr">
        <is>
          <t>• Tightly woven matte four-way stretch fabric also blocks UV light for outdoor protection. • F ashionable mesh jacquard pattern - stylish, yet also light and comfortable on the skin! • Inner lining for greater support &amp; mobility, with a rear pocket for carrying small belongings.</t>
        </is>
      </c>
      <c r="H712" s="909" t="inlineStr">
        <is>
          <t>Body materials: 88% polyester, 12% Spandex • Inner Lining &amp; Waistband: 72% nylon, 28% Spandex • Care instructions: Gently hand wash with like colors using light detergent in cold water, allowing to soak no longer than 5 minutes. Do not knead or twist vigorously</t>
        </is>
      </c>
      <c r="I712" s="910" t="inlineStr">
        <is>
          <t>2023 BTS Sale, 21SS Sale, 22 Spring Sale, 22FW 50OFF, Activity_Active/Gym, Activity_Active/Jogging, Activity_Active/Outdoor, Activity_Active/Running, Canada, Category_Active, Category_Active/Joggers, Category_Active/Leggings &amp; Skirt, Category_Active/Shorts, Collection_Urban Sport, hide-bis, LBD23, Need Sample, no-returns, Sale</t>
        </is>
      </c>
      <c r="J712" s="911" t="inlineStr">
        <is>
          <t>running-shorts</t>
        </is>
      </c>
    </row>
    <row r="713" ht="56" customHeight="1" s="229">
      <c r="A713" s="928" t="inlineStr">
        <is>
          <t>Summer Moonlight Shorts</t>
        </is>
      </c>
      <c r="B713" s="929" t="inlineStr">
        <is>
          <t>Loungewear</t>
        </is>
      </c>
      <c r="C713" s="930" t="n">
        <v>68</v>
      </c>
      <c r="D713" s="930" t="n">
        <v>27.2</v>
      </c>
      <c r="E713" s="936" t="inlineStr">
        <is>
          <t>Yes</t>
        </is>
      </c>
      <c r="F713" s="931" t="inlineStr">
        <is>
          <t>Comfortable shorts on a warm summer evening - does it get any better than that? These shorts are generously tailored using an exquisitely soft fabric blend and are perfect for relaxing at home. This item is final sale and cannot be returned or exchanged.</t>
        </is>
      </c>
      <c r="G713" s="932" t="inlineStr">
        <is>
          <t>• Skin-friendly TENCEL‚Ñ¢ Modal blend is light and breathable - perfect for summer evenings. • Ribbed texture, elastic waistband with adjustable drawstring closure. • Pairs perfectly with our Summer Moonlight Padded Camisole &amp; other Summer Moonlight pieces!</t>
        </is>
      </c>
      <c r="H713" s="933" t="inlineStr">
        <is>
          <t>61% cotton, 35% Modal, 4% Spandex • Care instructions: Gently hand wash using light detergent (do not twist) with like colors in cold water. Do not soak for longer than 10 minutes. Lay flat to dry, not in direct sunlight</t>
        </is>
      </c>
      <c r="I713" s="934" t="inlineStr">
        <is>
          <t>2023 BTS Sale, 21SS Sale, 22 Spring Sale, 22FW 50OFF, 23Oct Markdown, 25clearance, Category_Lounge, Category_Lounge/Bottoms, Category_Lounge/Bottoms/Elastic, Category_Lounge/Pajamas &amp; Robes, Category_Lounge/Pajamas &amp; Robes/Bottoms, Collection_Classic, Collection_SummerMoonlight, Fabric_Lounge/Cotton, Feature_Essentials, Flexport Stock, Function_Lounge/Casual, Function_Lounge/Essential, Function_Lounge/Sleep, Function_Lounge/Sleep/Pajama, hide-bis, HR-CX, LBD23, no-returns, Sale, US Inventory</t>
        </is>
      </c>
      <c r="J713" s="935" t="inlineStr">
        <is>
          <t>shorts</t>
        </is>
      </c>
    </row>
    <row r="714" ht="42" customHeight="1" s="229">
      <c r="A714" s="896" t="inlineStr">
        <is>
          <t>Summer Moonlight Padded Camisole</t>
        </is>
      </c>
      <c r="B714" s="897" t="inlineStr">
        <is>
          <t>Loungewear</t>
        </is>
      </c>
      <c r="C714" s="898" t="n">
        <v>68</v>
      </c>
      <c r="D714" s="898" t="n">
        <v>27.2</v>
      </c>
      <c r="E714" s="957" t="inlineStr">
        <is>
          <t>Yes</t>
        </is>
      </c>
      <c r="F714" s="899" t="inlineStr">
        <is>
          <t>It doesn't get much more comfortable than a simple tank. This Padded Camisole features exquisitely soft fabric and a padded lining for carefree wear. This item is final sale and cannot be returned or exchanged.</t>
        </is>
      </c>
      <c r="G714" s="900" t="inlineStr">
        <is>
          <t>• Skin-friendly TENCEL‚Ñ¢ Modal blend is light and breathable - perfect for summer evenings. • Ribbed texture, semi-elastic, no uncomfortable buckle on the shoulder straps. • Size M is 24.2" in length. Pairs perfectly with our Summer Moonlight Shorts!</t>
        </is>
      </c>
      <c r="H714" s="901" t="inlineStr">
        <is>
          <t>Outer: 61% cotton, 35% Modal, 4% Spandex; Padding: 92% Modal, 6% Spandex, 2% polyester • Care instructions: Gently hand wash using light detergent (do not twist) with like colors in cold water. Do not soak for longer than 10 minutes. Lay flat to dry, not in direct sunlight</t>
        </is>
      </c>
      <c r="I714" s="902" t="inlineStr">
        <is>
          <t>2023 BTS Sale, 21SS Sale, 22 Spring Sale, 22FW 50OFF, 23Oct Markdown, 25clearance, Category_Lounge, Category_Lounge/Pajamas &amp; Robes, Category_Lounge/Pajamas &amp; Robes/Top, Category_Lounge/Tops, Collection_Classic, Collection_SummerMoonlight, Fabric_Lounge/Cotton, Feature_Essentials, Flexport Stock, Function_Lounge/Sleep, Function_Lounge/Sleep/Pajama, hide-bis, HR-CX, LBD23, no-returns, Sale, US Inventory</t>
        </is>
      </c>
      <c r="J714" s="903" t="inlineStr">
        <is>
          <t>padded-camisole</t>
        </is>
      </c>
    </row>
    <row r="715" ht="56" customHeight="1" s="229">
      <c r="A715" s="928" t="inlineStr">
        <is>
          <t>NEIWAI X SAVISLOOK Shell Print Maxi Dress</t>
        </is>
      </c>
      <c r="B715" s="929" t="inlineStr">
        <is>
          <t>Loungewear</t>
        </is>
      </c>
      <c r="C715" s="930" t="n">
        <v>168</v>
      </c>
      <c r="D715" s="930" t="n">
        <v>100.8</v>
      </c>
      <c r="E715" s="936" t="inlineStr">
        <is>
          <t>Yes</t>
        </is>
      </c>
      <c r="F715" s="931" t="inlineStr">
        <is>
          <t>Take an air of breezy beauty everywhere you go this season - this chic Shell Print Maxi Dress from our NEIWAI x SAVISLOOK collaboration is the sundress you'll wear all summer long. This item is FINAL SALE and cannot be returned or exchanged.</t>
        </is>
      </c>
      <c r="G715" s="932" t="inlineStr">
        <is>
          <t>• Made using a light, soft Modal blend - breathable and wrinkle-resistant, with a flattering drape. • Elegant cut with wrinkled cinch details that add texture to the silhouette of the dress. • Size M is 37.8" in length. High slit for ease of movement.</t>
        </is>
      </c>
      <c r="H715" s="933" t="inlineStr">
        <is>
          <t>o uter: 76% Modal, 24% polyester • Care instructions: Gently hand wash with like colors in cold water, allowing to soak no longer than 5 minutes. Do not use harsh detergents, or twist/scrub fabric</t>
        </is>
      </c>
      <c r="I715" s="934" t="inlineStr">
        <is>
          <t>2023 BTS Sale, 23 May Sale, 25clearance, Category_Daywear, Category_Daywear/Dress, Category_Daywear/Savislook, Category_Lounge/Dress&amp;Jumpsuit, Collection_SAVISLOOK, Flexport Stock, hide-bis, HR-CX, LBD23, no-returns, Sale, Tariff Final Sale, US Inventory</t>
        </is>
      </c>
      <c r="J715" s="935" t="inlineStr">
        <is>
          <t>savi-shell-print-dress</t>
        </is>
      </c>
    </row>
    <row r="716" ht="56" customHeight="1" s="229">
      <c r="A716" s="896" t="inlineStr">
        <is>
          <t>NEIWAI X SAVISLOOK  Maxi Dress</t>
        </is>
      </c>
      <c r="B716" s="897" t="inlineStr">
        <is>
          <t>Loungewear</t>
        </is>
      </c>
      <c r="C716" s="898" t="n">
        <v>168</v>
      </c>
      <c r="D716" s="898" t="n">
        <v>84</v>
      </c>
      <c r="E716" s="957" t="inlineStr">
        <is>
          <t>Yes</t>
        </is>
      </c>
      <c r="F716" s="899" t="inlineStr">
        <is>
          <t>Take an air of easy elegance everywhere you go this season - this fine Vanilla One-Piece Maxi Dress from our NEIWAI x SAVISLOOK collaboration is the sundress you'll wear for any &amp; every occasion this summer. This item is FINAL SALE and cannot be returned or exchanged.</t>
        </is>
      </c>
      <c r="G716" s="900" t="inlineStr">
        <is>
          <t>• Made using a light, soft Modal blend - breathable and wrinkle-resistant, with a flattering drape. • Elegant cut with gathered details that add texture. • Size M is 32.9" in length. High side slit for ease of movement.</t>
        </is>
      </c>
      <c r="H716" s="901" t="inlineStr">
        <is>
          <t>o uter: 76% Modal, 24% polyester • Care instructions: Gently hand wash with like colors in cold water, allowing to soak no longer than 5 minutes. Do not use harsh detergents, or twist/scrub fabric</t>
        </is>
      </c>
      <c r="I716" s="902" t="inlineStr">
        <is>
          <t>2023 BTS Sale, 23 May Sale, 25clearance, 25DEC 50OFF, 25DEC SALE, Category_Daywear, Category_Daywear/Dress, Category_Daywear/Savislook, Category_Lounge, Category_Lounge/Dress&amp;Jumpsuit, Collection_SAVISLOOK, Flexport Stock, hide-bis, HR-CX, LBD23, no-returns, Sale, US Inventory</t>
        </is>
      </c>
      <c r="J716" s="903" t="inlineStr">
        <is>
          <t>savi-vanilla-dress</t>
        </is>
      </c>
    </row>
    <row r="717" ht="56" customHeight="1" s="229">
      <c r="A717" s="912" t="inlineStr">
        <is>
          <t>NEIWAI X SAVISLOOK Swimsuit</t>
        </is>
      </c>
      <c r="B717" s="913" t="inlineStr">
        <is>
          <t>Active</t>
        </is>
      </c>
      <c r="C717" s="914" t="n">
        <v>138</v>
      </c>
      <c r="D717" s="914" t="n">
        <v>69</v>
      </c>
      <c r="E717" s="955" t="inlineStr">
        <is>
          <t>Yes</t>
        </is>
      </c>
      <c r="F717" s="915" t="inlineStr">
        <is>
          <t>The NEIWAI x SAVISLOOK one-piece swimsuit is perfect for sitting sea-side or just heading down to the pool. Designed and produced in Italy using light, soft fabrics, this one-piece is an excellent modest style that will never go out of fashion. This item is FINAL SALE and cannot be returned or exchanged.</t>
        </is>
      </c>
      <c r="G717" s="916" t="inlineStr">
        <is>
          <t>• Deep V-neck with adjustable cross-strapping and U-shaped back. • Detachable chest padding; solid one-piece construction. • Double-sided elasticity for freedom of movement &amp; uninterrupted coverage.</t>
        </is>
      </c>
      <c r="H717" s="917" t="inlineStr">
        <is>
          <t>o uter: 67% nylon, 23% Spandex, 10% polyester; Inner: 82% nylon, 18% Spandex • Care instructions: Gently hand wash with like colors in cold water, allowing to soak no longer than 5 minutes. Do not use harsh detergents, or twist/scrub fabric</t>
        </is>
      </c>
      <c r="I717" s="918" t="inlineStr">
        <is>
          <t>2023 BTS Sale, 23 May Sale, 25clearance, 25DEC 50OFF, 25DEC SALE, Activity_Active/Swim, Category_Active, Category_Active/Bodysuits, Category_Active/Swimwear, Category_Active/Swimwear/One_Piece, Collection_SAVISLOOK, Collection_SAVISLOOK/SWIMWEAR, hide-bis, HR-CX, LBD23, Need Sample, no-returns, Sale, Tariff Final Sale</t>
        </is>
      </c>
      <c r="J717" s="919" t="inlineStr">
        <is>
          <t>savi-swimsuit</t>
        </is>
      </c>
    </row>
    <row r="718" ht="70" customHeight="1" s="229">
      <c r="A718" s="904" t="inlineStr">
        <is>
          <t>NEIWAI X SAVISLOOK Bikini Bottom</t>
        </is>
      </c>
      <c r="B718" s="905" t="inlineStr">
        <is>
          <t>Active</t>
        </is>
      </c>
      <c r="C718" s="906" t="n">
        <v>68</v>
      </c>
      <c r="D718" s="906" t="n">
        <v>34</v>
      </c>
      <c r="E718" s="956" t="inlineStr">
        <is>
          <t>Yes</t>
        </is>
      </c>
      <c r="F718" s="907" t="inlineStr">
        <is>
          <t>Whether you're on the beach or by the pool, the NEIWAI x SAVISLOOK bikini is perfect for splashing &amp; basking in the sun. Designed and produced in Italy using light, soft fabrics, this two-piece set is a subtle summer style that's sure to look great for years and seasons to come. This item is FINAL SALE and cannot be returned or exchanged.</t>
        </is>
      </c>
      <c r="G718" s="908" t="inlineStr">
        <is>
          <t>• High-waisted bikini bottom, excellent coverage. • Waistband &amp; leg openings fit comfortably and naturally without digging in. • Double-sided elasticity for freedom of movement.</t>
        </is>
      </c>
      <c r="H718" s="909" t="inlineStr">
        <is>
          <t>o uter: 67% nylon, 23% Spandex, 10% polyester; Inner: 82% nylon, 18% Spandex • Care instructions: Gently hand wash with like colors in cold water, allowing to soak no longer than 5 minutes. Do not use harsh detergents, or twist/scrub fabric</t>
        </is>
      </c>
      <c r="I718" s="910" t="inlineStr">
        <is>
          <t>2023 BTS Sale, 23 May Sale, 25clearance, 25DEC 50OFF, 25DEC SALE, Activity_Active/Swim, Category_Active, Category_Active/Swimwear, Category_Active/Swimwear/Bottom, Collection_SAVISLOOK, Collection_SAVISLOOK/SWIMWEAR, Flexport Stock, hide-bis, HR-CX, LBD23, Need Sample, no-returns, Sale, Tariff Final Sale, US Inventory</t>
        </is>
      </c>
      <c r="J718" s="911" t="inlineStr">
        <is>
          <t>savi-bikini-bottom</t>
        </is>
      </c>
    </row>
    <row r="719" ht="70" customHeight="1" s="229">
      <c r="A719" s="912" t="inlineStr">
        <is>
          <t>NEIWAI X SAVISLOOK Bikini Top</t>
        </is>
      </c>
      <c r="B719" s="913" t="inlineStr">
        <is>
          <t>Active</t>
        </is>
      </c>
      <c r="C719" s="914" t="n">
        <v>88</v>
      </c>
      <c r="D719" s="914" t="n">
        <v>52.8</v>
      </c>
      <c r="E719" s="955" t="inlineStr">
        <is>
          <t>Yes</t>
        </is>
      </c>
      <c r="F719" s="915" t="inlineStr">
        <is>
          <t>Whether you're on the beach or by the pool, the NEIWAI x SAVISLOOK bikini is perfect for splashing &amp; basking in the sun. Designed and produced in Italy using light, soft fabrics, this two-piece set is a subtle summer style that's sure to look great for years and seasons to come. This item is FINAL SALE and cannot be returned or exchanged.</t>
        </is>
      </c>
      <c r="G719" s="916" t="inlineStr">
        <is>
          <t>• Adjustable straps with V-shaped front neckline. Straps can be worn in the back as cross-back or open-back style. • Detachable chest padding; back buckle closure. • Double-sided elasticity for freedom of movement &amp; uninterrupted coverage.</t>
        </is>
      </c>
      <c r="H719" s="917" t="inlineStr">
        <is>
          <t>o uter: 67% nylon, 23% Spandex, 10% polyester; Inner: 82% nylon, 18% Spandex • Care instructions: Gently hand wash with like colors in cold water, allowing to soak no longer than 5 minutes. Do not use harsh detergents, or twist/scrub fabric</t>
        </is>
      </c>
      <c r="I719" s="918" t="inlineStr">
        <is>
          <t>2023 BTS Sale, 23 May Sale, 25clearance, Activity_Active/Swim, Category_Active, Category_Active/Swimwear, Category_Active/Swimwear/Top, Collection_SAVISLOOK, Collection_SAVISLOOK/SWIMWEAR, Flexport Stock, hide-bis, HR-CX, LBD23, Need Sample, no-returns, Sale</t>
        </is>
      </c>
      <c r="J719" s="919" t="inlineStr">
        <is>
          <t>savi-bikini-top</t>
        </is>
      </c>
    </row>
    <row r="720" ht="70" customHeight="1" s="229">
      <c r="A720" s="975" t="inlineStr">
        <is>
          <t>Barely Zero Low Waist Brief Trio</t>
        </is>
      </c>
      <c r="B720" s="976" t="inlineStr">
        <is>
          <t>Bundle3</t>
        </is>
      </c>
      <c r="C720" s="977" t="n">
        <v>15</v>
      </c>
      <c r="D720" s="977" t="n">
        <v>12</v>
      </c>
      <c r="E720" s="978" t="inlineStr">
        <is>
          <t>Yes</t>
        </is>
      </c>
      <c r="F720" s="979" t="inlineStr">
        <is>
          <t>This bundle includes three Barely Zero Low Waist Briefs. From the moment you put it on, the Barely Zero Low Waist Brief adapts to fit your body and continues to adapt through all life's natural changes. Fit tip: based on customer feedback, this brief best fits customers who wear up to a size M in underwear. For a wider size range, check out the Barely Zero Mid Waist Brief 2.0 !</t>
        </is>
      </c>
      <c r="G720" s="980" t="inlineStr">
        <is>
          <t>• Moderate coverage &amp; complete comfort where you need it most, all day and night. • T ailored for a close, comfortable fit that doesn't dig in or show lines, even under tight clothing! Complete with a 100% cotton lining. • Made from CloudFit: a soft, ultra-elastic blend that's breathable &amp; moisture-wicking for all-day skin comfort. Now with improved odor reduction!</t>
        </is>
      </c>
      <c r="H720" s="981" t="inlineStr">
        <is>
          <t>68% CloudFit nylon blend, 32% Spandex; Lining: 100% cotton</t>
        </is>
      </c>
      <c r="I720" s="982" t="inlineStr">
        <is>
          <t>2022 Title Update, 22SS 2.25, Bundle Collection, BZ Brief, BZ One Size Brief, Canada, Categeory_Underwear, Category_Lingerie, Category_Lingerie/Brief, Category_Lingerie/Brief/Low Waist, Category_Lingerie/Fayewong, Category_Underwear, Category_Underwear/Bottoms, Category_Underwear/Bottoms/Panties, Category_Underwear/Bottoms/Panties/Low Waist, Collection_2021 Barely Zero, Collection_2021BarelyZero, Collection_Barely Zero/Underwear, HR-CX, Memorial Day Bundle Price Update, Priority Products</t>
        </is>
      </c>
      <c r="J720" s="983" t="inlineStr">
        <is>
          <t>barely-zero-low-waist-brief-trio</t>
        </is>
      </c>
    </row>
    <row r="721" ht="70" customHeight="1" s="229">
      <c r="A721" s="975" t="inlineStr">
        <is>
          <t>Barely Zero Low Waist Brief Bundle</t>
        </is>
      </c>
      <c r="B721" s="976" t="inlineStr">
        <is>
          <t>Bundle</t>
        </is>
      </c>
      <c r="C721" s="977" t="n">
        <v>15</v>
      </c>
      <c r="D721" s="977" t="n">
        <v>13.5</v>
      </c>
      <c r="E721" s="978" t="inlineStr">
        <is>
          <t>Yes</t>
        </is>
      </c>
      <c r="F721" s="979" t="inlineStr">
        <is>
          <t>This bundle includes two Barely Zero Low Waist Briefs. From the moment you put it on, the Barely Zero Low Waist Brief adapts to fit your body and continues to adapt through all life's natural changes. Fit tip: based on customer feedback, this brief best fits customers who wear up to a size M in underwear. For a wider size range, check out the Barely Zero Mid Waist Brief 2.0 !</t>
        </is>
      </c>
      <c r="G721" s="980" t="inlineStr">
        <is>
          <t>• Moderate coverage &amp; complete comfort where you need it most, all day and night. • T ailored for a close, comfortable fit that doesn't dig in or show lines, even under tight clothing! Complete with a 100% cotton lining. • Made from CloudFit: a soft, ultra-elastic blend that's breathable &amp; moisture-wicking for all-day skin comfort. Now with improved odor reduction!</t>
        </is>
      </c>
      <c r="H721" s="981" t="inlineStr">
        <is>
          <t>68% CloudFit nylon blend, 32% Spandex; Lining: 100% cotton</t>
        </is>
      </c>
      <c r="I721" s="982" t="inlineStr">
        <is>
          <t>2022 Title Update, 22SS 2.25, Bundle Collection, BZ Brief, BZ One Size Brief, Canada, Categeory_Underwear, Category_Lingerie, Category_Lingerie/Brief, Category_Lingerie/Brief/Low Waist, Category_Lingerie/Fayewong, Category_Underwear, Category_Underwear/Bottoms, Category_Underwear/Bottoms/Panties, Category_Underwear/Bottoms/Panties/Low Waist, Collection_2021 Barely Zero, Collection_2021BarelyZero, Collection_Barely Zero/Underwear, HR-CX, Memorial Day Bundle Price Update, Priority Products</t>
        </is>
      </c>
      <c r="J721" s="983" t="inlineStr">
        <is>
          <t>barely-zero-low-waist-brief-bundle</t>
        </is>
      </c>
    </row>
    <row r="722" ht="42" customHeight="1" s="229">
      <c r="A722" s="928" t="inlineStr">
        <is>
          <t>Laid Back Ribbed V-Tie Padded Slip Dress</t>
        </is>
      </c>
      <c r="B722" s="929" t="inlineStr">
        <is>
          <t>Loungewear</t>
        </is>
      </c>
      <c r="C722" s="930" t="n">
        <v>68</v>
      </c>
      <c r="D722" s="930" t="n">
        <v>27.2</v>
      </c>
      <c r="E722" s="936" t="inlineStr">
        <is>
          <t>Yes</t>
        </is>
      </c>
      <c r="F722" s="931" t="inlineStr">
        <is>
          <t>Get ready for sleep like you haven't had in years - the luxuriously comfortable Laid Back Ribbed V-Tie Padded Slip Dress helps you stay cool and is light &amp; smooth on the skin. This item is final sale and cannot be returned or exchanged.</t>
        </is>
      </c>
      <c r="G722" s="932" t="inlineStr">
        <is>
          <t>• Made with a ribbed TENCEL‚Ñ¢ Modal and cotton blend - eco and skin-friendly! • V-neck slip style dress with removable chest pads. • Size M is 30" in length.</t>
        </is>
      </c>
      <c r="H722" s="933" t="inlineStr">
        <is>
          <t>47% Cotton, 47% TENCEL‚Ñ¢ Modal, 6% Spandex • Care instructions: For best results, hand wash</t>
        </is>
      </c>
      <c r="I722" s="934" t="inlineStr">
        <is>
          <t>2022 Title Update, 2023 BTS Sale, 21SS Sale, 22 Spring Sale, 22FW 50OFF, 23Oct Markdown, Category_Lounge, Category_Lounge/Dress, Category_Lounge/Dress&amp;Jumpsuit, Category_Lounge/Pajamas &amp; Robes, Category_Lounge/Pajamas &amp; Robes/Dress, Collection_Laid Back, Fabric_Lounge/Cotton, Fabric_Lounge/Tencel Modal, Function_Lounge/Casual, Function_Lounge/Casual/Dress &amp; Jumpsuit, Function_Lounge/Casual/Top &amp; Sweater, Function_Lounge/Sleep, Function_Lounge/Sleep/Nightdress, hide-bis, LBD23, no-returns, Sale</t>
        </is>
      </c>
      <c r="J722" s="935" t="inlineStr">
        <is>
          <t>laid-back-rib-v-tie-padded-slip-dress</t>
        </is>
      </c>
    </row>
    <row r="723" ht="42" customHeight="1" s="229">
      <c r="A723" s="896" t="inlineStr">
        <is>
          <t>Laid Back Ribbed Cardigan 1.0</t>
        </is>
      </c>
      <c r="B723" s="897" t="inlineStr">
        <is>
          <t>Loungewear</t>
        </is>
      </c>
      <c r="C723" s="898" t="n">
        <v>88</v>
      </c>
      <c r="D723" s="898" t="n">
        <v>35.2</v>
      </c>
      <c r="E723" s="957" t="inlineStr">
        <is>
          <t>Yes</t>
        </is>
      </c>
      <c r="F723" s="899" t="inlineStr">
        <is>
          <t>Cut for a loose and generous fit, our Laid Back R ibbed Cardigan is elegant and lightweight - perfect for relaxing at home or thrown over a blouse for a casual day out. This item is final sale and cannot be returned or exchanged.</t>
        </is>
      </c>
      <c r="G723" s="900" t="inlineStr">
        <is>
          <t>• Lightweight &amp; breathable TENCEL‚Ñ¢ Modal-cotton blend in a soft, ribbed texture. • Generous fit with an optional adjustable tie belt to define your waistline. • Size M is 32" in length. Designed for wear as both loungewear or as a regular cardigan.</t>
        </is>
      </c>
      <c r="H723" s="901" t="inlineStr">
        <is>
          <t>59% Cotton, 35% TENCEL‚Ñ¢ Modal, 6% Spandex • Care Instructions: For best results, hand wash in cold water</t>
        </is>
      </c>
      <c r="I723" s="902" t="inlineStr">
        <is>
          <t>2022 Title Update, 2023 BTS Sale, 21SS Sale, 22 Spring Sale, 22FW 50OFF, 23Oct Markdown, Category_Lounge, Category_Lounge/Cardigan, Category_Lounge/Cardigan&amp;Jacket, Category_Lounge/Pajamas &amp; Robes, Category_Lounge/Pajamas &amp; Robes/Top, Category_Lounge/Tops, Collection_Laid Back, Fabric_Lounge/Cotton, Fabric_Lounge/Tencel Modal, Function_Lounge/Sleep, Function_Lounge/Sleep/Pajama, Function_Lounge/Sleep/Robe, hide-bis, LBD23, no-returns, Sale, Shop All</t>
        </is>
      </c>
      <c r="J723" s="903" t="inlineStr">
        <is>
          <t>laid-back-ribbed-cardigan-v1</t>
        </is>
      </c>
    </row>
    <row r="724" ht="28" customHeight="1" s="229">
      <c r="A724" s="928" t="inlineStr">
        <is>
          <t>Laid Back Ribbed Lounge Pants 2.0</t>
        </is>
      </c>
      <c r="B724" s="929" t="inlineStr">
        <is>
          <t>Loungewear</t>
        </is>
      </c>
      <c r="C724" s="930" t="n">
        <v>68</v>
      </c>
      <c r="D724" s="930" t="n">
        <v>27.2</v>
      </c>
      <c r="E724" s="936" t="inlineStr">
        <is>
          <t>Yes</t>
        </is>
      </c>
      <c r="F724" s="931" t="inlineStr">
        <is>
          <t>Slip into something more comfortable with our elegant, relaxed-fit Laid Back Ribbed Lounge Pants! This item is final sale and cannot be returned or exchanged.</t>
        </is>
      </c>
      <c r="G724" s="932" t="inlineStr">
        <is>
          <t>• Lightweight, soft blend of cotton and TENCEL‚Ñ¢ Modal. • Elastic mid-waist band, straight leg with a relaxed fit and ribbed texture. • Size M is 39" in length. Complete the look with the Laid Back Ribbed Cami &amp; Cardigan!</t>
        </is>
      </c>
      <c r="H724" s="933" t="inlineStr">
        <is>
          <t>59% Cotton, 35% TENCEL‚Ñ¢ Modal, 6% Spandex • Care instructions: For best results, hand wash in cold water</t>
        </is>
      </c>
      <c r="I724" s="934" t="inlineStr">
        <is>
          <t>2022 Title Update, 2023 BTS Sale, 21SS Sale, 22 Spring Sale, 22FW 50OFF, 23Oct Markdown, 25clearance, Category_Lounge, Category_Lounge/Bottoms, Category_Lounge/Bottoms/Elastic, Category_Lounge/Pajamas &amp; Robes, Category_Lounge/Pajamas &amp; Robes/Bottoms, Category_Lounge/Pants, Collection_Laid Back, Fabric_Lounge/Cotton, Fabric_Lounge/Tencel Modal, Function_Lounge/Sleep, Function_Lounge/Sleep/Pajama, hide-bis, HR-CX, LBD23, no-returns, Sale, Shop All</t>
        </is>
      </c>
      <c r="J724" s="935" t="inlineStr">
        <is>
          <t>laid-back-ribbed-lounge-pants-v2</t>
        </is>
      </c>
    </row>
    <row r="725" ht="56" customHeight="1" s="229">
      <c r="A725" s="896" t="inlineStr">
        <is>
          <t>Laid Back Ribbed V-Neck Cami 2.0</t>
        </is>
      </c>
      <c r="B725" s="897" t="inlineStr">
        <is>
          <t>Loungewear</t>
        </is>
      </c>
      <c r="C725" s="898" t="n">
        <v>48</v>
      </c>
      <c r="D725" s="898" t="n">
        <v>24</v>
      </c>
      <c r="E725" s="957" t="inlineStr">
        <is>
          <t>Yes</t>
        </is>
      </c>
      <c r="F725" s="899" t="inlineStr">
        <is>
          <t>Slip into the elegant Laid Back Ribbed V-Neck Cami 2.0 and enjoy your evening in absolute comfort. This relaxed-fit, lightweight camisole can be worn to bed or to lounge around indoors or out. Pairs perfectly with our Laid Back Ribbed Pants! This item is final sale and cannot be returned or exchanged.</t>
        </is>
      </c>
      <c r="G725" s="900" t="inlineStr">
        <is>
          <t>• Made with imported TENCEL‚Ñ¢ Modal and cotton for supreme softness. • Delicate knitted ribbing for added texture. Detachable padding. • Lightweight 4-way stretch for a super soft and natural feel.</t>
        </is>
      </c>
      <c r="H725" s="901" t="inlineStr">
        <is>
          <t>59% Cotton, 35% TENCEL‚Ñ¢ Modal, 6% Spandex • Care instructions: For best results, hand wash in cold water</t>
        </is>
      </c>
      <c r="I725" s="902" t="inlineStr">
        <is>
          <t>2022 Title Update, 2023 BTS Sale, 21SS Sale, 22 Spring Sale, 22FW 50OFF, Category_Lounge, Category_Lounge/Pajamas &amp; Robes, Category_Lounge/Pajamas &amp; Robes/Top, Category_Lounge/Tees&amp;Tanks, Category_Lounge/Top, Collection_Laid Back, Fabric_Lounge/Cotton, Fabric_Lounge/Tencel Modal, Function_Lounge/Sleep, Function_Lounge/Sleep/Pajama, hide-bis, LBD23, no-returns, Sale</t>
        </is>
      </c>
      <c r="J725" s="903" t="inlineStr">
        <is>
          <t>laid-back-ribbed-v-neck-cami-v2</t>
        </is>
      </c>
    </row>
    <row r="726" ht="56" customHeight="1" s="229">
      <c r="A726" s="975" t="inlineStr">
        <is>
          <t>Barely Zero Spaghetti Strap Bra + Brief Set</t>
        </is>
      </c>
      <c r="B726" s="976" t="inlineStr">
        <is>
          <t>Bra + Brief Set</t>
        </is>
      </c>
      <c r="C726" s="977" t="n">
        <v>54</v>
      </c>
      <c r="D726" s="977" t="n">
        <v>46</v>
      </c>
      <c r="E726" s="978" t="inlineStr">
        <is>
          <t>Yes</t>
        </is>
      </c>
      <c r="F726" s="979" t="inlineStr">
        <is>
          <t>This bundle includes a Spaghetti Strap Bra &amp; Mid-Waist Brief from our Barely Zero series. Both one-size styles adapt to your body for a soft and supportive fit. Fit tip: based on customer feedback, this brief best fits customers who wear up to a size M in underwear.</t>
        </is>
      </c>
      <c r="G726" s="980" t="inlineStr">
        <is>
          <t>• Comfortably fits a wide range of bra and brief sizes -please see the size guide for more detailed sizing guidance. • Featuring removable cups, the pullover bra has no clasps or wires for a smooth fit. Brief includes 100% cotton lining. • Made from CloudFit: a soft, ultra-elastic blend that's breathable &amp; moisture-wicking for all-day skin comfort. Now with improved odor reduction!</t>
        </is>
      </c>
      <c r="H726" s="981" t="inlineStr">
        <is>
          <t>68% CloudFit nylon blend, 32% Spandex; brief lining: 100% cotton</t>
        </is>
      </c>
      <c r="I726" s="982" t="inlineStr">
        <is>
          <t>2022 Title Update, Bundle Collection, BZ Spaghetti Set, Canada, Category_Bras/Everyday, Category_Bras/Medium Support, Category_Lingerie, Category_Lingerie/Wireless Bra, Category_Underwear, Category_Underwear/Tops, Category_Underwear/Tops/Wireless Bra, Category_Underwear/Tops/Wireless Bra/Seamless, Collection_2021 Barely Zero, Collection_Barely Zero/Bras, Collection_Barely Zero/Underwear, Collection_Holiday Red, Cup_A_C, Cup_B_D, Cup_C_Plus, HR-CX, Memorial Day Bundle Price Update, Priority Products</t>
        </is>
      </c>
      <c r="J726" s="983" t="inlineStr">
        <is>
          <t>barely-zero-spaghetti-strap-wireless-bra-set</t>
        </is>
      </c>
    </row>
    <row r="727" ht="56" customHeight="1" s="229">
      <c r="A727" s="966" t="inlineStr">
        <is>
          <t>Barely Zero Classic Bra + Brief Set</t>
        </is>
      </c>
      <c r="B727" s="967" t="inlineStr">
        <is>
          <t>Bra + Brief Set</t>
        </is>
      </c>
      <c r="C727" s="968" t="n">
        <v>54</v>
      </c>
      <c r="D727" s="968" t="n">
        <v>46</v>
      </c>
      <c r="E727" s="969" t="inlineStr">
        <is>
          <t>Yes</t>
        </is>
      </c>
      <c r="F727" s="970" t="inlineStr">
        <is>
          <t>This bundle includes a Classic Wireless Bra &amp; Mid-Waist Brief from our Barely Zero series - both one-size styles adapt to your body for a close and custom fit. Fit tip: based on customer feedback, the brief best fits customers who wear up to a size M in underwear.</t>
        </is>
      </c>
      <c r="G727" s="971" t="inlineStr">
        <is>
          <t>• Comfortably fits a wide range of bra and brief sizes - the ultimate choice for fluctuating sizes and easy gifting! Please see the size guide for detailed sizing guidance. • T ailored for a close, comfortable fit that doesn't dig in or show lines, even under tight clothing! Removable chest padding, no uncomfortable buckles. Brief includes 100% cotton lining. • Made from CloudFit: a soft, ultra-elastic blend that's breathable &amp; moisture-wicking for all-day skin comfort. Now with improved odor reduction!</t>
        </is>
      </c>
      <c r="H727" s="972" t="inlineStr">
        <is>
          <t>68% CloudFit nylon blend, 32% Spandex; brief lining: 100% cotton • To preserve and lengthen its wear-life, we strongly recommend handwashing your Barely Zero. Dissolve a gentle detergent in cold water (86 °F /30 °C max ) and fully immerse the underwear. Gently press/knead it, then rinse (soak no longer than 5 minutes)</t>
        </is>
      </c>
      <c r="I727" s="973" t="inlineStr">
        <is>
          <t>2022 Title Update, Bundle Collection, BZ Classic Set, Canada, Categeory_Underwear, Category_Bras/Everyday, Category_Bras/Medium Support, Category_Lingerie, Category_Lingerie/Fayewong, Category_Lingerie/Wireless Bra, Category_Underwear, Category_Underwear/Tops, Category_Underwear/Tops/Wireless Bra, Category_Underwear/Tops/Wireless Bra/Seamless, Collection_2021 Barely Zero, Collection_Barely Zero/Bras, Collection_Barely Zero/Underwear, Collection_Holiday Red, Cup_A_C, Cup_B_D, Cup_C_Plus, HR-CX, Memorial Day Bundle Price Update, Priority Products</t>
        </is>
      </c>
      <c r="J727" s="974" t="inlineStr">
        <is>
          <t>barely-zero-classic-wireless-bra-v2-set</t>
        </is>
      </c>
    </row>
    <row r="728" ht="42" customHeight="1" s="229">
      <c r="A728" s="966" t="inlineStr">
        <is>
          <t>Barely Zero Spaghetti Strap Bra Trio</t>
        </is>
      </c>
      <c r="B728" s="967" t="inlineStr">
        <is>
          <t>Bundle3</t>
        </is>
      </c>
      <c r="C728" s="968" t="n">
        <v>39</v>
      </c>
      <c r="D728" s="968" t="n">
        <v>31.5</v>
      </c>
      <c r="E728" s="969" t="inlineStr">
        <is>
          <t>Yes</t>
        </is>
      </c>
      <c r="F728" s="970" t="inlineStr">
        <is>
          <t>This bundle includes three Barely Zero Spaghetti Strap Bras. Embraced by all body types, our bestselling style is the ultimate everyday bra, offering invisible wear under clothing without compromising comfort or support.</t>
        </is>
      </c>
      <c r="G728" s="971" t="inlineStr">
        <is>
          <t>• Comfortably fits a wide range of bra sizes - the ultimate bra for nursing, fluctuating sizes, and easy gifting! Please see the size guide for more detailed sizing guidance. • Featuring removable cups, this pullover style has no clasps or wires for a smooth fit. Complete your seamless set with our matching Barely Zero Mid Waist Brief . • Made from CloudFit: a soft, ultra-elastic blend that's breathable &amp; moisture-wicking for all-day skin comfort. Now with improved odor reduction!</t>
        </is>
      </c>
      <c r="H728" s="972" t="inlineStr">
        <is>
          <t>68% CloudFit nylon blend, 32% Spandex • To preserve and lengthen its wear-life, we strongly recommend handwashing your Barely Zero. Dissolve a gentle detergent in cold water (86 °F /30 °C max ) and fully immerse the underwear. Gently press/knead it, then rinse (soak no longer than 5 minutes)</t>
        </is>
      </c>
      <c r="I728" s="973" t="inlineStr">
        <is>
          <t>2022 Title Update, 22SS 2.25, Bundle Collection, BZ Spaghetti Bra, Canada, Categeory_Underwear, Category_Active, Category_Active/Sport Bra &amp; Top, Category_Bras/Everyday, Category_Bras/Medium Support, Category_Lingerie, Category_Lingerie/Fayewong, Category_Lingerie/Wireless Bra, Category_Underwear, Category_Underwear/Tops, Category_Underwear/Tops/Wireless Bra, Category_Underwear/Tops/Wireless Bra/Seamless, Collection_2021 Barely Zero, Collection_Barely Zero/Bras, Collection_Holiday Red, Cup_A_C, Cup_B_D, Cup_C_Plus, Memorial Day Bundle Price Update, Priority Products</t>
        </is>
      </c>
      <c r="J728" s="974" t="inlineStr">
        <is>
          <t>barely-zero-spaghetti-strap-wireless-bra-trio</t>
        </is>
      </c>
    </row>
    <row r="729" ht="42" customHeight="1" s="229">
      <c r="A729" s="966" t="inlineStr">
        <is>
          <t>Barely Zero Spaghetti Strap Bra Bundle</t>
        </is>
      </c>
      <c r="B729" s="967" t="inlineStr">
        <is>
          <t>Bundle</t>
        </is>
      </c>
      <c r="C729" s="968" t="n">
        <v>39</v>
      </c>
      <c r="D729" s="968" t="n">
        <v>35.25</v>
      </c>
      <c r="E729" s="969" t="inlineStr">
        <is>
          <t>Yes</t>
        </is>
      </c>
      <c r="F729" s="970" t="inlineStr">
        <is>
          <t>This bundle includes two Barely Zero Spaghetti Strap Bras. Embraced by all body types, our bestselling style is the ultimate everyday bra, offering invisible wear under clothing without compromising comfort or support.</t>
        </is>
      </c>
      <c r="G729" s="971" t="inlineStr">
        <is>
          <t>• Comfortably fits a wide range of bra sizes - the ultimate bra for nursing, fluctuating sizes, and easy gifting! Please see the size guide for detailed sizing guidance. • Featuring removable cups, this pullover style has no clasps or wires for a smooth fit. Complete your seamless set with our matching Barely Zero Mid Waist Brief . • Made from CloudFit: a soft, ultra-elastic blend that's breathable &amp; moisture-wicking for all-day skin comfort. Now with improved odor reduction!</t>
        </is>
      </c>
      <c r="H729" s="972" t="inlineStr">
        <is>
          <t>68% CloudFit nylon blend, 32% Spandex</t>
        </is>
      </c>
      <c r="I729" s="973" t="inlineStr">
        <is>
          <t>2022 Title Update, 22SS 2.25, Bundle Collection, BZ Spaghetti Bra, Canada, Categeory_Underwear, Category_Active, Category_Active/Sport Bra &amp; Top, Category_Bras/Everyday, Category_Bras/Medium Support, Category_Lingerie, Category_Lingerie/Fayewong, Category_Lingerie/Wireless Bra, Category_Underwear, Category_Underwear/Tops, Category_Underwear/Tops/Wireless Bra, Category_Underwear/Tops/Wireless Bra/Seamless, Collection_2021 Barely Zero, Collection_Barely Zero/Bras, Collection_Holiday Red, Cup_A_C, Cup_B_D, Memorial Day Bundle Price Update, Priority Products</t>
        </is>
      </c>
      <c r="J729" s="974" t="inlineStr">
        <is>
          <t>barely-zero-spaghetti-strap-wireless-bra-bundle</t>
        </is>
      </c>
    </row>
    <row r="730" ht="42" customHeight="1" s="229">
      <c r="A730" s="975" t="inlineStr">
        <is>
          <t>Barely Zero Classic Bra Trio</t>
        </is>
      </c>
      <c r="B730" s="976" t="inlineStr">
        <is>
          <t>Bundle3</t>
        </is>
      </c>
      <c r="C730" s="977" t="n">
        <v>39</v>
      </c>
      <c r="D730" s="977" t="n">
        <v>31.5</v>
      </c>
      <c r="E730" s="978" t="inlineStr">
        <is>
          <t>Yes</t>
        </is>
      </c>
      <c r="F730" s="979" t="inlineStr">
        <is>
          <t>This bundle includes three one-size Barely Zero Classic Wireless Bras, which adapt to your body better than ever before and continue to adapt through your body's natural changes.</t>
        </is>
      </c>
      <c r="G730" s="980" t="inlineStr">
        <is>
          <t>• Comfortably fits a wide range of bra sizes - the ultimate bra for nursing, fluctuating sizes, and easy gifting! Please see the size guide for more detailed sizing guidance. • T ailored for a close, comfortable fit that doesn't dig in or show lines, even under tight clothing! Removable chest padding, no uncomfortable buckles. • Made from CloudFit: a soft, ultra-elastic blend that's breathable &amp; moisture-wicking for all-day skin comfort. Now with improved odor reduction!</t>
        </is>
      </c>
      <c r="H730" s="981" t="inlineStr">
        <is>
          <t>68% CloudFit nylon blend, 32% Spandex • To preserve and lengthen its wear-life, we strongly recommend handwashing your Barely Zero. Dissolve a gentle detergent in cold water (86 °F /30 °C max ) and fully immerse the underwear. Gently press/knead it, then rinse (soak no longer than 5 minutes)</t>
        </is>
      </c>
      <c r="I730" s="982" t="inlineStr">
        <is>
          <t>2022 Title Update, Bundle Collection, bundle_1_2021-barely-zero-your-size-is-the-size-classic-wireless-bra, bundle_2_2021-barely-zero-your-size-is-the-size-classic-wireless-bra-bundle, BZ Classic Bra, Canada, Categeory_Underwear, Category_Active, Category_Active/Sport Bra &amp; Top, Category_Bras/Everyday, Category_Bras/Medium Support, Category_Lingerie, Category_Lingerie/Fayewong, Category_Lingerie/Wireless Bra, Category_Underwear, Category_Underwear/Tops, Category_Underwear/Tops/Wireless Bra, Category_Underwear/Tops/Wireless Bra/Seamless, Collection_2021 Barely Zero, Collection_Barely Zero/Bras, Collection_Holiday Red, color-black-truffle, color-champagne-wheat, color-cinnamon-taste, color-fluffy-peach, color-her-brownie, color-treacly-almond, Cup_A_C, Cup_B_D, Memorial Day Bundle Price Update, Priority Products</t>
        </is>
      </c>
      <c r="J730" s="983" t="inlineStr">
        <is>
          <t>barely-zero-classic-wireless-bra-v2-trio</t>
        </is>
      </c>
    </row>
    <row r="731" ht="42" customHeight="1" s="229">
      <c r="A731" s="975" t="inlineStr">
        <is>
          <t>Barely Zero Classic Bra Bundle</t>
        </is>
      </c>
      <c r="B731" s="976" t="inlineStr">
        <is>
          <t>Bundle</t>
        </is>
      </c>
      <c r="C731" s="977" t="n">
        <v>39</v>
      </c>
      <c r="D731" s="977" t="n">
        <v>35.25</v>
      </c>
      <c r="E731" s="978" t="inlineStr">
        <is>
          <t>Yes</t>
        </is>
      </c>
      <c r="F731" s="979" t="inlineStr">
        <is>
          <t>This bundle includes two one-size Barely Zero Classic Wireless Bras, which adapt to your body better than ever before and continue to adapt through your body's natural changes.</t>
        </is>
      </c>
      <c r="G731" s="980" t="inlineStr">
        <is>
          <t>• Comfortably fits a wide range of bra sizes - the ultimate bra for nursing, fluctuating sizes, and easy gifting! Please see the size guide for more detailed sizing guidance. • T ailored for a close, comfortable fit that doesn't dig in or show lines, even under tight clothing! Removable chest padding, no uncomfortable buckles. • Made from CloudFit: a soft, ultra-elastic blend that's breathable &amp; moisture-wicking for all-day skin comfort. Now with improved odor reduction!</t>
        </is>
      </c>
      <c r="H731" s="981" t="inlineStr">
        <is>
          <t>68% CloudFit nylon blend, 32% Spandex • To preserve and lengthen its wear-life, we strongly recommend handwashing your Barely Zero. Dissolve a gentle detergent in cold water (86 °F /30 °C max ) and fully immerse the underwear. Gently press/knead it, then rinse (soak no longer than 5 minutes)</t>
        </is>
      </c>
      <c r="I731" s="982" t="inlineStr">
        <is>
          <t>2022 Title Update, Bundle Collection, bundle_1_2021-barely-zero-your-size-is-the-size-classic-wireless-bra, bundle_3_2021-barely-zero-your-size-is-the-size-classic-wireless-bra-trio, BZ Classic Bra, Canada, Categeory_Underwear, Category_Active, Category_Active/Sport Bra &amp; Top, Category_Bras/Everyday, Category_Bras/Medium Support, Category_Lingerie, Category_Lingerie/Fayewong, Category_Lingerie/Wireless Bra, Category_Underwear, Category_Underwear/Tops, Category_Underwear/Tops/Wireless Bra, Category_Underwear/Tops/Wireless Bra/Seamless, Collection_2021 Barely Zero, Collection_Barely Zero/Bras, Collection_Holiday Red, Cup_A_C, Cup_B_D, Memorial Day Bundle Price Update, Priority Products</t>
        </is>
      </c>
      <c r="J731" s="983" t="inlineStr">
        <is>
          <t>barely-zero-classic-wireless-bra-v2-bundle</t>
        </is>
      </c>
    </row>
    <row r="732" ht="56" customHeight="1" s="229">
      <c r="A732" s="928" t="inlineStr">
        <is>
          <t>Breeze Mock-Neck Sweater</t>
        </is>
      </c>
      <c r="B732" s="929" t="inlineStr">
        <is>
          <t>Loungewear</t>
        </is>
      </c>
      <c r="C732" s="930" t="n">
        <v>68</v>
      </c>
      <c r="D732" s="930" t="n">
        <v>27.2</v>
      </c>
      <c r="E732" s="936" t="inlineStr">
        <is>
          <t>Yes</t>
        </is>
      </c>
      <c r="F732" s="931" t="inlineStr">
        <is>
          <t>Whether you're heading out or staying in, there's no better layering piece than our Mock-Neck Sweater from our Breeze Collection! Made from a blend of fabrics for the perfect mix of comfort and breathability, with textured ribbing and subtle transparency. This item is final sale and cannot be returned or exchanged.</t>
        </is>
      </c>
      <c r="G732" s="932" t="inlineStr">
        <is>
          <t>• Hem ends just above waist, perfect for tucking or wearing loose! Size M is 20.5" in length. • Soft &amp; delicate, with chic ribbed details. A timeless accent! • Close fitting for a flattering silhouette, pairs well with any pants or jacket.</t>
        </is>
      </c>
      <c r="H732" s="933" t="inlineStr">
        <is>
          <t>70% cotton, 18% nylon, 12% wool • Care instructions: Gently hand wash using light detergent with like colors in cold water. Do not allow to soak for longer than five minutes. Do not machine wash or wring. After washing, reshape to avoid stretching or deformation, then lay flat to dry in a cool ventilated place. Ironing not recommended. If shrinking occurs, reshape while wet to desired size</t>
        </is>
      </c>
      <c r="I732" s="934" t="inlineStr">
        <is>
          <t>2023 BTS Sale, 21SS Sale, 22 Spring Sale, 22FW 50OFF, 23Oct Markdown, Category_Daywear, Category_Daywear/Top, Category_Lounge, Category_Lounge/Knitwear, Category_Lounge/Sweaters&amp;Outerwear, Category_Lounge/Tops, Collection_Knitted, Fabric_Lounge/Cashmere &amp; Wool, Fabric_Lounge/Cotton, hide-bis, HR-CX, LBD23, no-returns, Outerwear, Sale, Spring Palette</t>
        </is>
      </c>
      <c r="J732" s="935" t="inlineStr">
        <is>
          <t>breeze-mock-neck-sweater</t>
        </is>
      </c>
    </row>
    <row r="733" ht="42" customHeight="1" s="229">
      <c r="A733" s="896" t="inlineStr">
        <is>
          <t>NEIWAI X SAVISLOOK Knit Camisole</t>
        </is>
      </c>
      <c r="B733" s="897" t="inlineStr">
        <is>
          <t>Loungewear</t>
        </is>
      </c>
      <c r="C733" s="898" t="n">
        <v>88</v>
      </c>
      <c r="D733" s="898" t="n">
        <v>44</v>
      </c>
      <c r="E733" s="957" t="inlineStr">
        <is>
          <t>Yes</t>
        </is>
      </c>
      <c r="F733" s="899" t="inlineStr">
        <is>
          <t>The Knit Camisole from our NEIWAI X SAVISLOOK collaboration is the comfy crop top that elevates any casual outfit. This item is FINAL SALE and cannot be returned or exchanged.</t>
        </is>
      </c>
      <c r="G733" s="900" t="inlineStr">
        <is>
          <t>• Adjustable tie runs through the collar to the back closure. • Breathable ribbed knit texture. • Size M is 13.8" in length. Perfect as a layering piece or on its own.</t>
        </is>
      </c>
      <c r="H733" s="901" t="inlineStr">
        <is>
          <t>77% cotton, 23% nylon • Care instructions: Gently hand wash or machine wash in bag using light detergent with like colors in cold water. Do not allow to soak for longer than ten minutes. Lay flat to dry in a cool ventilated place. Ironing not recommended</t>
        </is>
      </c>
      <c r="I733" s="902" t="inlineStr">
        <is>
          <t>2023 BTS Sale, 23 May Sale, 25clearance, 25DEC 50OFF, 25DEC SALE, Category_Daywear, Category_Daywear/Savislook, Category_Daywear/Top, Category_Lounge, Category_Lounge/Tees&amp;Tanks, Category_Lounge/Tops, Collection_SAVISLOOK, Flexport Stock, hide-bis, HR-CX, LBD23, no-returns, Sale, US Inventory</t>
        </is>
      </c>
      <c r="J733" s="903" t="inlineStr">
        <is>
          <t>knit-camisole</t>
        </is>
      </c>
    </row>
    <row r="734" ht="42" customHeight="1" s="229">
      <c r="A734" s="928" t="inlineStr">
        <is>
          <t>NEIWAI X SAVISLOOK Knit Pants</t>
        </is>
      </c>
      <c r="B734" s="929" t="inlineStr">
        <is>
          <t>Loungewear</t>
        </is>
      </c>
      <c r="C734" s="930" t="n">
        <v>168</v>
      </c>
      <c r="D734" s="930" t="n">
        <v>100.8</v>
      </c>
      <c r="E734" s="936" t="inlineStr">
        <is>
          <t>Yes</t>
        </is>
      </c>
      <c r="F734" s="931" t="inlineStr">
        <is>
          <t>The Knit Pants from our NEIWAI X SAVISLOOK collaboration are loose, airy, and comfortable, yet offer a refined style for going out. This item is FINAL SALE and cannot be returned or exchanged.</t>
        </is>
      </c>
      <c r="G734" s="932" t="inlineStr">
        <is>
          <t>• Lace-up elastic waistband, slight flare at cuff. • Ribbed texture, rear pockets. • Size M is 38.2" in length. Comfort at home, style everywhere else.</t>
        </is>
      </c>
      <c r="H734" s="933" t="inlineStr">
        <is>
          <t>75% cotton, 25% nylon • Care instructions: Gently hand wash or machine wash in bag using light detergent with like colors in cold water. Do not allow to soak for longer than ten minutes. Lay flat to dry in a cool ventilated place. Ironing not recommended. Fold and store flat to keep shape</t>
        </is>
      </c>
      <c r="I734" s="934" t="inlineStr">
        <is>
          <t>2023 BTS Sale, 23 May Sale, 25clearance, Category_Daywear, Category_Daywear/Pants, Category_Daywear/Savislook, Category_Lounge, Category_Lounge/Bottoms, Category_Lounge/Bottoms/Elastic, Category_Lounge/Pants, Collection_SAVISLOOK, Flexport Stock, hide-bis, HR-CX, LBD23, no-returns, Sale, US Inventory</t>
        </is>
      </c>
      <c r="J734" s="935" t="inlineStr">
        <is>
          <t>knit-pants</t>
        </is>
      </c>
    </row>
    <row r="735" ht="56" customHeight="1" s="229">
      <c r="A735" s="896" t="inlineStr">
        <is>
          <t>NEIWAI X SAVISLOOK Polo Collar Cardigan</t>
        </is>
      </c>
      <c r="B735" s="897" t="inlineStr">
        <is>
          <t>Loungewear</t>
        </is>
      </c>
      <c r="C735" s="898" t="n">
        <v>168</v>
      </c>
      <c r="D735" s="898" t="n">
        <v>84</v>
      </c>
      <c r="E735" s="957" t="inlineStr">
        <is>
          <t>Yes</t>
        </is>
      </c>
      <c r="F735" s="899" t="inlineStr">
        <is>
          <t>This Polo Collar Cardigan from our NEIWAI X SAVISLOOK collaboration is the perfect top layer for any outfit at home or the office. Soft, warm, and breathable, this cardigan brings a special kind of sophisticated comfort to your wardrobe. This item is FINAL SALE and cannot be returned or exchanged.</t>
        </is>
      </c>
      <c r="G735" s="900" t="inlineStr">
        <is>
          <t>• Polo collar, elegant V-neck cut. Top button closure. • Comfortable fabric blend for the perfect blend of warmth and breathability. • Size M is 19.3" in length.</t>
        </is>
      </c>
      <c r="H735" s="901" t="inlineStr">
        <is>
          <t>75% cotton, 25% nylon + 55% nylon, 45% polyester (double yarn) • Care instructions: Gently hand wash or machine wash in bag using light detergent with like colors in cold water. Do not allow to soak for longer than ten minutes. Lay flat to dry in a cool ventilated place. Ironing not recommended</t>
        </is>
      </c>
      <c r="I735" s="902" t="inlineStr">
        <is>
          <t>2023 BTS Sale, 23 May Sale, 25clearance, 25DEC 50OFF, 25DEC SALE, Category_Daywear/Savislook, Category_Daywear/Top, Category_Lounge/Knitwear, Category_Lounge/Outerwear, Category_Lounge/Sweaters&amp;Outerwear, Category_Lounge/Tops, Collection_SAVISLOOK, Flexport Stock, hide-bis, HR-CX, LBD23, no-returns, Outerwear, Sale, Tariff Final Sale, US Inventory</t>
        </is>
      </c>
      <c r="J735" s="903" t="inlineStr">
        <is>
          <t>polo-collar-cardigan</t>
        </is>
      </c>
    </row>
    <row r="736" ht="70" customHeight="1" s="229">
      <c r="A736" s="966" t="inlineStr">
        <is>
          <t>Barely Zero Mid Waist Brief Trio</t>
        </is>
      </c>
      <c r="B736" s="967" t="inlineStr">
        <is>
          <t>Bundle3</t>
        </is>
      </c>
      <c r="C736" s="968" t="n">
        <v>15</v>
      </c>
      <c r="D736" s="968" t="n">
        <v>12</v>
      </c>
      <c r="E736" s="969" t="inlineStr">
        <is>
          <t>Yes</t>
        </is>
      </c>
      <c r="F736" s="970" t="inlineStr">
        <is>
          <t>This bundle includes three improved Barely Zero Mid Waist Briefs, which adapt to your body better than ever before and continue to adapt through your body's natural changes. Fit tip: based on customer feedback, this brief best fits customers who wear up to a size M in underwear. For a wider size range, check out the Barely Zero Mid Waist Brief 2.0 !</t>
        </is>
      </c>
      <c r="G736" s="971" t="inlineStr">
        <is>
          <t>• F ull coverage &amp; comfort where you need it most, all day and all night. • T ailored for a close, comfortable fit that doesn't dig in or show lines, even under tight clothing! Complete with a 100% cotton lining. • Made from CloudFit: a soft, ultra-elastic blend that's breathable &amp; moisture-wicking for all-day skin comfort. Now with improved odor reduction!</t>
        </is>
      </c>
      <c r="H736" s="972" t="inlineStr">
        <is>
          <t>68% CloudFit nylon blend, 32% Spandex; Lining: 100% cotton</t>
        </is>
      </c>
      <c r="I736" s="973" t="inlineStr">
        <is>
          <t>2022 Title Update, Bundle Collection, BZ Brief, BZ One Size Brief, Canada, Categeory_Underwear, Category_Lingerie, Category_Lingerie/Brief, Category_Lingerie/Brief/Mid Waist, Category_Lingerie/Fayewong, Category_Underwear, Category_Underwear/Bottoms, Category_Underwear/Bottoms/Panties, Category_Underwear/Bottoms/Panties/Mid Waist, Collection_2021 Barely Zero, Collection_Barely Zero/Underwear, Collection_Holiday Red, HR-CX, Memorial Day Bundle Price Update, Priority Products</t>
        </is>
      </c>
      <c r="J736" s="974" t="inlineStr">
        <is>
          <t>barely-zero-mid-waist-brief-trio</t>
        </is>
      </c>
    </row>
    <row r="737" ht="70" customHeight="1" s="229">
      <c r="A737" s="966" t="inlineStr">
        <is>
          <t>Barely Zero Mid Waist Brief Bundle</t>
        </is>
      </c>
      <c r="B737" s="967" t="inlineStr">
        <is>
          <t>Bundle</t>
        </is>
      </c>
      <c r="C737" s="968" t="n">
        <v>15</v>
      </c>
      <c r="D737" s="968" t="n">
        <v>13.5</v>
      </c>
      <c r="E737" s="969" t="inlineStr">
        <is>
          <t>Yes</t>
        </is>
      </c>
      <c r="F737" s="970" t="inlineStr">
        <is>
          <t>This bundle includes two improved Barely Zero Mid Waist Briefs, which adapt to your body better than ever before and continue to adapt through your body's natural changes. Fit tip: based on customer feedback, this brief best fits customers who wear up to a size M in underwear. For a wider size range, check out the Barely Zero Mid Waist Brief 2.0 !</t>
        </is>
      </c>
      <c r="G737" s="971" t="inlineStr">
        <is>
          <t>• F ull coverage &amp; comfort where you need it most, all day and all night. • T ailored for a close, comfortable fit that doesn't dig in or show lines, even under tight clothing! Complete with a 100% cotton lining. • Made from CloudFit: a soft, ultra-elastic blend that's breathable &amp; moisture-wicking for all-day skin comfort. Now with improved odor reduction!</t>
        </is>
      </c>
      <c r="H737" s="972" t="inlineStr">
        <is>
          <t>68% CloudFit nylon blend, 32% Spandex; Lining: 100% cotton</t>
        </is>
      </c>
      <c r="I737" s="973" t="inlineStr">
        <is>
          <t>2022 Title Update, Bundle Collection, BZ Brief, BZ One Size Brief, Canada, Categeory_Underwear, Category_Lingerie, Category_Lingerie/Brief, Category_Lingerie/Brief/Mid Waist, Category_Lingerie/Fayewong, Category_Underwear, Category_Underwear/Bottoms, Category_Underwear/Bottoms/Panties, Category_Underwear/Bottoms/Panties/Mid Waist, Collection_2021 Barely Zero, Collection_Barely Zero/Underwear, Collection_Holiday Red, HR-CX, Memorial Day Bundle Price Update, Priority Products</t>
        </is>
      </c>
      <c r="J737" s="974" t="inlineStr">
        <is>
          <t>barely-zero-mid-waist-brief-bundle</t>
        </is>
      </c>
    </row>
    <row r="738" ht="56" customHeight="1" s="229">
      <c r="A738" s="880" t="inlineStr">
        <is>
          <t>Barely Zero Mid Waist Brief</t>
        </is>
      </c>
      <c r="B738" s="881" t="inlineStr">
        <is>
          <t>Underwear</t>
        </is>
      </c>
      <c r="C738" s="882" t="n">
        <v>15</v>
      </c>
      <c r="D738" s="882" t="n">
        <v>15</v>
      </c>
      <c r="E738" s="881" t="inlineStr"/>
      <c r="F738" s="883" t="inlineStr">
        <is>
          <t>The Barely Zero Mid Waist Brief adapts to your body better than ever before and continues to adapt through your body's natural changes. Fit tip: based on customer feedback, this brief best fits customers who wear up to a size M in underwear. For a wider size range, check out the Barely Zero Mid Waist Brief 2.0 !</t>
        </is>
      </c>
      <c r="G738" s="884" t="inlineStr">
        <is>
          <t>• F ull coverage &amp; comfort where you need it most, all day and all night. • T ailored for a close, comfortable fit that doesn't dig in or show lines, even under tight clothing! Complete with a 100% cotton lining. • Made from CloudFit: a soft, ultra-elastic blend that's breathable &amp; moisture-wicking for all-day skin comfort. Now with improved odor reduction!</t>
        </is>
      </c>
      <c r="H738" s="885" t="inlineStr">
        <is>
          <t>68% CloudFit nylon blend, 32% Spandex; Lining: 100% cotton</t>
        </is>
      </c>
      <c r="I738" s="886" t="inlineStr">
        <is>
          <t>2022 Title Update, BZ Brief, BZ One Size Brief, Canada, Categeory_Underwear, Category_Lingerie, Category_Lingerie/Brief, Category_Lingerie/Brief/Mid Waist, Category_Lingerie/Fayewong, Category_Underwear, Category_Underwear/Bottoms, Category_Underwear/Bottoms/Panties, Category_Underwear/Bottoms/Panties/Mid Waist, Collection_2021 Barely Zero, Collection_Barely Zero, Collection_Barely Zero/Underwear, Collection_Holiday Red, Feature_Best Seller, Flexport Stock, HR-CX, LBD23, NY Sample Sale Upstair, NY Underwear, Priority Products, US Evergreen, US Inventory, US Main</t>
        </is>
      </c>
      <c r="J738" s="887" t="inlineStr">
        <is>
          <t>barely-zero-mid-waist-brief</t>
        </is>
      </c>
    </row>
    <row r="739" ht="70" customHeight="1" s="229">
      <c r="A739" s="888" t="inlineStr">
        <is>
          <t>Barely Zero Low Waist Brief</t>
        </is>
      </c>
      <c r="B739" s="889" t="inlineStr">
        <is>
          <t>Underwear</t>
        </is>
      </c>
      <c r="C739" s="890" t="n">
        <v>15</v>
      </c>
      <c r="D739" s="890" t="n">
        <v>15</v>
      </c>
      <c r="E739" s="889" t="inlineStr"/>
      <c r="F739" s="891" t="inlineStr">
        <is>
          <t>From the moment you put it on, the Barely Zero Low Waist Brief adapts to fit your body and continues to adapt through all life's natural changes. Fit tip: based on customer feedback, this brief best fits customers who wear up to a size M in underwear. For a wider size range, check out the Barely Zero Mid Waist Brief 2.0 !</t>
        </is>
      </c>
      <c r="G739" s="892" t="inlineStr">
        <is>
          <t>• Moderate coverage &amp; seamless comfort where you need it most, all day and night. • T ailored for a close, comfortable fit that doesn't dig in or show lines, even under tight clothing! Complete with a 100% cotton lining. • Made from CloudFit: a soft, ultra-elastic blend that's breathable &amp; moisture-wicking for all-day skin comfort. Now with improved odor reduction!</t>
        </is>
      </c>
      <c r="H739" s="893" t="inlineStr">
        <is>
          <t>68% CloudFit nylon blend, 32% Spandex; Lining: 100% cotton</t>
        </is>
      </c>
      <c r="I739" s="894" t="inlineStr">
        <is>
          <t>2022 Title Update, 22SS 2.25, 22SS 5.27, BZ Brief, BZ One Size Brief, Canada, Categeory_Underwear, Category_Lingerie, Category_Lingerie/Brief, Category_Lingerie/Brief/Low Waist, Category_Lingerie/Fayewong, Category_Underwear, Category_Underwear/Bottoms, Category_Underwear/Bottoms/Panties, Category_Underwear/Bottoms/Panties/Low Waist, Collection_2021 Barely Zero, Collection_2021BarelyZero, Collection_Barely Zero, Collection_Barely Zero/Underwear, Feature_Best Seller, Flexport Stock, HR-CX, LBD23, Priority Products, US Evergreen, US Inventory, US Main</t>
        </is>
      </c>
      <c r="J739" s="895" t="inlineStr">
        <is>
          <t>barely-zero-low-waist-brief</t>
        </is>
      </c>
    </row>
    <row r="740" ht="42" customHeight="1" s="229">
      <c r="A740" s="880" t="inlineStr">
        <is>
          <t>Barely Zero Classic Bra</t>
        </is>
      </c>
      <c r="B740" s="881" t="inlineStr">
        <is>
          <t>Underwear</t>
        </is>
      </c>
      <c r="C740" s="882" t="n">
        <v>39</v>
      </c>
      <c r="D740" s="882" t="n">
        <v>39</v>
      </c>
      <c r="E740" s="881" t="inlineStr"/>
      <c r="F740" s="883" t="inlineStr">
        <is>
          <t>Experience unparalleled comfort and fit with the one-size Barely Zero Classic Bra. Made from buttery, stretchy CloudFit fabric, this bra fits seamlessly under clothes and ensures freedom of movement all day long.</t>
        </is>
      </c>
      <c r="G740" s="884" t="inlineStr">
        <is>
          <t>• Comfortably fits a wide range of bra sizes - the ultimate bra for nursing, fluctuating sizes, and easy gifting! Please see the size guide for detailed sizing guidance. • Removable chest padding, clasp-free pull over style. Tailored for a close, comfortable fit that doesn't dig in or show lines, even under tight clothing! • Made from CloudFit: a soft, ultra-elastic blend that's breathable &amp; moisture-wicking for all-day skin comfort. Now with improved odor reduction!</t>
        </is>
      </c>
      <c r="H740" s="885" t="inlineStr">
        <is>
          <t>68% CloudFit nylon blend, 32% Spandex • To preserve and lengthen its wear-life, we recommend handwashing your Barely Zero. Dissolve a gentle detergent in cold water (86 °F /30 °C max ) and fully immerse the underwear. Gently press/knead it, then rinse (soak no longer than 5 minutes)</t>
        </is>
      </c>
      <c r="I740" s="886" t="inlineStr">
        <is>
          <t>2022 Title Update, bundle_2_2021-barely-zero-your-size-is-the-size-classic-wireless-bra-bundle, bundle_3_2021-barely-zero-your-size-is-the-size-classic-wireless-bra-trio, BZ Classic Bra, Canada, Categeory_Underwear, Category_Bras/Everyday, Category_Bras/Medium Support, Category_Bras/Nursing, Category_Lingerie, Category_Lingerie/Fayewong, Category_Lingerie/Wireless Bra, Category_Underwear, Category_Underwear/Tops, Category_Underwear/Tops/Wireless Bra, Category_Underwear/Tops/Wireless Bra/Seamless, Collection_2021 Barely Zero, Collection_Barely Zero, Collection_Barely Zero/Bras, Collection_Holiday Red, Cup_A_C, Cup_B_D, Cup_C_Plus, Feature_Best Seller, Flexport Stock, LBD23, NY Sample Sale Upstair, NY Underwear, Priority Products, US Evergreen, US Inventory, US Main</t>
        </is>
      </c>
      <c r="J740" s="887" t="inlineStr">
        <is>
          <t>barely-zero-classic-wireless-bra-v2</t>
        </is>
      </c>
    </row>
    <row r="741" ht="42" customHeight="1" s="229">
      <c r="A741" s="888" t="inlineStr">
        <is>
          <t>Barely Zero Spaghetti Strap Bra</t>
        </is>
      </c>
      <c r="B741" s="889" t="inlineStr">
        <is>
          <t>Underwear</t>
        </is>
      </c>
      <c r="C741" s="890" t="n">
        <v>39</v>
      </c>
      <c r="D741" s="890" t="n">
        <v>39</v>
      </c>
      <c r="E741" s="889" t="inlineStr"/>
      <c r="F741" s="891" t="inlineStr">
        <is>
          <t>The bra that put us on the map. Embraced by all body types, our bestselling Barely Zero Spaghetti Strap Bra is the ultimate everyday bra, offering invisible wear under clothing without compromising comfort or support.</t>
        </is>
      </c>
      <c r="G741" s="892" t="inlineStr">
        <is>
          <t>• Materials: 68% CloudFit nylon blend, 32% Spandex • To lengthen its wear-life, we recommend handwashing your Barely Zero. Dissolve a gentle detergent in cold water (86 °F /30 °C max ) and fully immerse the underwear. Gently press/knead it, then rinse (soak no longer than 5 minutes). Hang or lay flat to dry in a cool, shaded place. If you choose to use a washing machine, please use a laundry bag.</t>
        </is>
      </c>
      <c r="H741" s="893" t="n"/>
      <c r="I741" s="894" t="inlineStr">
        <is>
          <t>2022 Title Update, 22SS 2.25, BZ Spaghetti Bra, Canada, Category_Bras/Everyday, Category_Bras/Medium Support, Category_Bras/Nursing, Category_Lingerie, Category_Lingerie/Fayewong, Category_Lingerie/Wireless Bra, Category_Underwear, Category_Underwear/Tops, Category_Underwear/Tops/Wireless Bra, Category_Underwear/Tops/Wireless Bra/Seamless, Collection_2021 Barely Zero, Collection_Barely Zero, Collection_Barely Zero/Bras, Collection_Holiday Red, Cup_A_C, Cup_B_D, Cup_C_Plus, Feature_Best Seller, Flexport Stock, LBD23, NY Sample Sale Upstair, NY Underwear, Priority Products, US Evergreen, US Inventory, US Main</t>
        </is>
      </c>
      <c r="J741" s="895" t="inlineStr">
        <is>
          <t>barely-zero-spaghetti-strap-wireless-bra</t>
        </is>
      </c>
    </row>
    <row r="742" ht="42" customHeight="1" s="229">
      <c r="A742" s="928" t="inlineStr">
        <is>
          <t>Gentlewomen Classic Relaxed Shirt</t>
        </is>
      </c>
      <c r="B742" s="929" t="inlineStr">
        <is>
          <t>Loungewear</t>
        </is>
      </c>
      <c r="C742" s="930" t="n">
        <v>138</v>
      </c>
      <c r="D742" s="930" t="n">
        <v>55.2</v>
      </c>
      <c r="E742" s="936" t="inlineStr">
        <is>
          <t>Yes</t>
        </is>
      </c>
      <c r="F742" s="931" t="inlineStr">
        <is>
          <t>Soft, light, breathable, and made of 100% cotton. This Classic Relaxed Shirt is as timeless and dependable as they come, and ready to dress up or down with for any occasion. This item is final sale and cannot be returned or exchanged.</t>
        </is>
      </c>
      <c r="G742" s="932" t="inlineStr">
        <is>
          <t>• Spread collar and button-down closure. • Classic cut + modern style = ultimate versatility. Pairs well with anything - any event, every outing! • Size M is 29.1" in length.</t>
        </is>
      </c>
      <c r="H742" s="933" t="inlineStr">
        <is>
          <t>100% cotton • Care instructions: Gently hand wash using light detergent in cold water with like colors</t>
        </is>
      </c>
      <c r="I742" s="934" t="inlineStr">
        <is>
          <t>2023 BTS Sale, 21SS Sale, 22 Spring Sale, 22FW 50OFF, 23Oct Markdown, Category_Daywear, Category_Daywear/FayeWong, Category_Daywear/Gentlewomen, Category_Daywear/Top, Category_Lounge, Category_Lounge/Tees&amp;Tanks, Category_Lounge/Tops, Collection_Faye Wong, Collection_Gentlewomen, Fabric_Lounge/Cotton, hide-bis, LBD23, no-returns, Sale</t>
        </is>
      </c>
      <c r="J742" s="935" t="inlineStr">
        <is>
          <t>gentlewomen-classic-relaxed-shirt</t>
        </is>
      </c>
    </row>
    <row r="743" ht="56" customHeight="1" s="229">
      <c r="A743" s="896" t="inlineStr">
        <is>
          <t>Summer Moonlight Sleeveless Dress</t>
        </is>
      </c>
      <c r="B743" s="897" t="inlineStr">
        <is>
          <t>Loungewear</t>
        </is>
      </c>
      <c r="C743" s="898" t="n">
        <v>48</v>
      </c>
      <c r="D743" s="898" t="n">
        <v>28.8</v>
      </c>
      <c r="E743" s="957" t="inlineStr">
        <is>
          <t>Yes</t>
        </is>
      </c>
      <c r="F743" s="899" t="inlineStr">
        <is>
          <t>Feel light, flowy, and free all summer long in this Sleeveless Dress from our Summer Moonlight Collection . Made of a cool &amp; breathable blend of cotton and TENCEL Modal, it's delicate, skin-friendly, and comfortable even in the hot sun! This item is final sale and cannot be returned or exchanged.</t>
        </is>
      </c>
      <c r="G743" s="900" t="inlineStr">
        <is>
          <t>• Elastic side mesh for better fit &amp; structure and to hide your bra. • Square neckline frames the neck a timeless, modest cut. • Subtle yet stylishly asymmetrical front &amp; rear hem.</t>
        </is>
      </c>
      <c r="H743" s="901" t="inlineStr">
        <is>
          <t>(body): 61% cotton , 39% Modal • Side mesh: 100% viscose. • Care instructions: Gently hand wash in cold water with like colors. Use neutral or gentle detergent. Do not allow to soak for longer than ten minutes</t>
        </is>
      </c>
      <c r="I743" s="902" t="inlineStr">
        <is>
          <t>22 Spring Sale, 22FW 40OFF, Category_Lounge, Category_Lounge/Dress, Category_Lounge/Dress&amp;Jumpsuit, Collection_Classic, Collection_SummerMoonlight, Fabric_Lounge/Cotton, Function_Lounge/Casual, Function_Lounge/Casual/Dress &amp; Jumpsuit, Function_Lounge/Sleep, Function_Lounge/Sleep/Nightdress, Function_Lounge/Sleep/Pajama, hide-bis, no-returns, Sale</t>
        </is>
      </c>
      <c r="J743" s="903" t="inlineStr">
        <is>
          <t>summer-moonlight-sleeveless-dress</t>
        </is>
      </c>
    </row>
    <row r="744" ht="70" customHeight="1" s="229">
      <c r="A744" s="928" t="inlineStr">
        <is>
          <t>Summer Moonlight Sleeveless Jumpsuit</t>
        </is>
      </c>
      <c r="B744" s="929" t="inlineStr">
        <is>
          <t>Loungewear</t>
        </is>
      </c>
      <c r="C744" s="930" t="n">
        <v>68</v>
      </c>
      <c r="D744" s="930" t="n">
        <v>34</v>
      </c>
      <c r="E744" s="936" t="inlineStr">
        <is>
          <t>Yes</t>
        </is>
      </c>
      <c r="F744" s="931" t="inlineStr">
        <is>
          <t>Stay chill on long summer evenings in this Sleeveless Jumpsuit from our Summer Moonlight Collection . Made of a breathable blend of cotton and TENCEL Modal, this light set will keep you cool and comfortable on the patio, balcony, or wherever you like to relax! This item is final sale and cannot be returned or exchanged.</t>
        </is>
      </c>
      <c r="G744" s="932" t="inlineStr">
        <is>
          <t>• Square neckline with button closure frames the neck with a timeless, modest cut. • Adjustable elastic waistband. • Wide legs mean plenty of room to move and breathe.</t>
        </is>
      </c>
      <c r="H744" s="933" t="inlineStr">
        <is>
          <t>61% cotton , 39% Modal • Care instructions: Gently hand wash in cold water with like colors. Use neutral or gentle detergent. Do not allow to soak for longer than ten minutes</t>
        </is>
      </c>
      <c r="I744" s="934" t="inlineStr">
        <is>
          <t>2023 BTS Sale, 21SS Sale, 22 Spring Sale, 22FW 40OFF, 23Oct Markdown, Category_Lounge, Category_Lounge/Bottoms, Category_Lounge/Bottoms/Elastic, Category_Lounge/Dress&amp;Jumpsuit, Category_Lounge/Jumpsuit, Category_Lounge/Pants, Collection_Classic, Collection_SummerMoonlight, Fabric_Lounge/Cotton, Function_Lounge/Casual, Function_Lounge/Casual/Dress &amp; Jumpsuit, Function_Lounge/Sleep, Function_Lounge/Sleep/Pajama, hide-bis, HR-CX, LBD23, no-returns, Sale</t>
        </is>
      </c>
      <c r="J744" s="935" t="inlineStr">
        <is>
          <t>summer-moonlight-sleeveless-jumpsuit</t>
        </is>
      </c>
    </row>
    <row r="745" ht="70" customHeight="1" s="229">
      <c r="A745" s="896" t="inlineStr">
        <is>
          <t>Gentlewomen Highwaist Tapered Pants</t>
        </is>
      </c>
      <c r="B745" s="897" t="inlineStr">
        <is>
          <t>Loungewear</t>
        </is>
      </c>
      <c r="C745" s="898" t="n">
        <v>168</v>
      </c>
      <c r="D745" s="898" t="n">
        <v>100.8</v>
      </c>
      <c r="E745" s="957" t="inlineStr">
        <is>
          <t>Yes</t>
        </is>
      </c>
      <c r="F745" s="899" t="inlineStr">
        <is>
          <t>These High-waisted Tapered Pants from our Gentlewomen Collection are just the kind of versatile style you need for a fast-paced life that has you in the office, at the store, &amp; going to a party on the same day! With the right outfit, you'll be ready for anything. This item is final sale and cannot be returned or exchanged.</t>
        </is>
      </c>
      <c r="G745" s="900" t="inlineStr">
        <is>
          <t>• Simple, straightforward style with tailored pockets and semi-adjustable waistband. • Elevate your outfit with the matching Casual Blazer, also available in our Gentlewomen collection! • Quick-drying, wrinkle-resistant fabric. Easy to maintain &amp; ready to go on short notice!</t>
        </is>
      </c>
      <c r="H745" s="901" t="inlineStr">
        <is>
          <t>80% polyester, 12% cotton, 8% hemp • Care instructions: For best results, gently hand wash using neutral detergent in cold water. Do not wash with darker colors</t>
        </is>
      </c>
      <c r="I745" s="902" t="inlineStr">
        <is>
          <t>21SS Sale, 22 Spring Sale, Category_Daywear, Category_Daywear/Pants, Category_Lounge, Category_Lounge/Bottoms, Category_Lounge/Pants, Collection_Gentlewomen, Fabric_Lounge/Cotton, hide-bis, no-returns, Sale</t>
        </is>
      </c>
      <c r="J745" s="903" t="inlineStr">
        <is>
          <t>highwaist-tapered-pants</t>
        </is>
      </c>
    </row>
    <row r="746" ht="42" customHeight="1" s="229">
      <c r="A746" s="928" t="inlineStr">
        <is>
          <t>Gentlewomen Highwaist Bermuda Shorts</t>
        </is>
      </c>
      <c r="B746" s="929" t="inlineStr">
        <is>
          <t>Loungewear</t>
        </is>
      </c>
      <c r="C746" s="930" t="n">
        <v>138</v>
      </c>
      <c r="D746" s="930" t="n">
        <v>96.59999999999999</v>
      </c>
      <c r="E746" s="936" t="inlineStr">
        <is>
          <t>Yes</t>
        </is>
      </c>
      <c r="F746" s="931" t="inlineStr">
        <is>
          <t>These High-waisted Bermuda Shorts from our Gentlewomen Collection are ready for all kinds of fun in the sun! Get style that lasts all summer long, whether you're heading to the beach, the park, or the pool.</t>
        </is>
      </c>
      <c r="G746" s="932" t="inlineStr">
        <is>
          <t>• Simple, straightforward style with tailored pockets and semi-adjustable waistband. • Add some class to your outfit with the matching Casual Blazer, also available in our Gentlewomen Collection! • Quick-drying, wrinkle-resistant fabric. Easy to maintain &amp; ready to go on short notice!</t>
        </is>
      </c>
      <c r="H746" s="933" t="inlineStr">
        <is>
          <t>80% polyester, 12% cotton, 8% hemp • Care instructions: For best results, gently hand wash using neutral detergent in cold water. Do not wash with darker colors</t>
        </is>
      </c>
      <c r="I746" s="934" t="inlineStr">
        <is>
          <t>Category_Daywear, Category_Daywear/Shorts, Category_Lounge, Category_Lounge/Bottoms, Collection_Gentlewomen, Fabric_Lounge/Cotton, hide-bis, HR-CX, no-returns, Sale</t>
        </is>
      </c>
      <c r="J746" s="935" t="inlineStr">
        <is>
          <t>gentlewomen-highwaist-bermuda</t>
        </is>
      </c>
    </row>
    <row r="747" ht="56" customHeight="1" s="229">
      <c r="A747" s="896" t="inlineStr">
        <is>
          <t>Gentlewomen Casual Blazer</t>
        </is>
      </c>
      <c r="B747" s="897" t="inlineStr">
        <is>
          <t>Loungewear</t>
        </is>
      </c>
      <c r="C747" s="898" t="n">
        <v>198</v>
      </c>
      <c r="D747" s="898" t="n">
        <v>118.8</v>
      </c>
      <c r="E747" s="957" t="inlineStr">
        <is>
          <t>Yes</t>
        </is>
      </c>
      <c r="F747" s="899" t="inlineStr">
        <is>
          <t>Add a formal touch to any outfit with the Casual Blazer from our Gentlewomen collection . This blazer is a great top layer for any outfit, whether you're elevating your look for a quick stop at the office or planning to make a statement on the street! This item is final sale and cannot be returned or exchanged.</t>
        </is>
      </c>
      <c r="G747" s="900" t="inlineStr">
        <is>
          <t>• Nothing's holding you back: tailored with a relaxed, chic, &amp; comfortable fit. • Pairs perfectly with matching high-waisted pants or Bermuda shorts, both available in our Gentlewomen collection. • Quick-drying, wrinkle-resistant fabric. Easy to maintain &amp; ready to go on short notice!</t>
        </is>
      </c>
      <c r="H747" s="901" t="inlineStr">
        <is>
          <t>80% polyester, 12% cotton, 8% hemp • Care instructions: For best results, gently hand wash using neutral detergent in cold water. Do not wash with darker colors</t>
        </is>
      </c>
      <c r="I747" s="902" t="inlineStr">
        <is>
          <t>22 Spring Sale, Category_Daywear, Category_Daywear/Top, Category_Lounge, Category_Lounge/Cardigan&amp;Jacket, Category_Lounge/Outerwear, Category_Lounge/Sweaters&amp;Outerwear, Collection_Gentlewomen, Fabric_Lounge/Cotton, hide-bis, no-returns, Sale, Size_M, Size_S</t>
        </is>
      </c>
      <c r="J747" s="903" t="inlineStr">
        <is>
          <t>gentlewomen-casual-blazer</t>
        </is>
      </c>
    </row>
    <row r="748" ht="18" customHeight="1" s="229">
      <c r="A748" s="966" t="inlineStr">
        <is>
          <t>NEIWAI Gift Card</t>
        </is>
      </c>
      <c r="B748" s="967" t="inlineStr">
        <is>
          <t>Gift Cards</t>
        </is>
      </c>
      <c r="C748" s="968" t="n">
        <v>50</v>
      </c>
      <c r="D748" s="968" t="n">
        <v>50</v>
      </c>
      <c r="E748" s="967" t="inlineStr"/>
      <c r="F748" s="970" t="n"/>
      <c r="G748" s="971" t="n"/>
      <c r="H748" s="972" t="n"/>
      <c r="I748" s="973" t="inlineStr">
        <is>
          <t>Feature_Best Seller, LBD23</t>
        </is>
      </c>
      <c r="J748" s="974" t="inlineStr">
        <is>
          <t>rise-ai-giftcard</t>
        </is>
      </c>
    </row>
    <row r="749" ht="98" customHeight="1" s="229">
      <c r="A749" s="880" t="inlineStr">
        <is>
          <t>Limited Edition! Let Me Fly - Barely Zero Gift Box</t>
        </is>
      </c>
      <c r="B749" s="881" t="inlineStr">
        <is>
          <t>Underwear</t>
        </is>
      </c>
      <c r="C749" s="882" t="n">
        <v>70</v>
      </c>
      <c r="D749" s="882" t="n">
        <v>60</v>
      </c>
      <c r="E749" s="937" t="inlineStr">
        <is>
          <t>Yes</t>
        </is>
      </c>
      <c r="F749" s="883" t="inlineStr">
        <is>
          <t>This Barely Zero Collection gift box includes two Barely Zero Classic Wireless 1.0 bras in two timeless colors. The bras are individually boxed, making this the perfect gift for one or two lucky recipients! Barely Zero owes its highly elastic construction to its innovative CloudFit¬© fabric blend, which allows for a close fit for nearly anyone that adapts as your body changes over time due to natural weight changes, pregnancy, and maternity. This item is final sale and cannot be returned or exchanged .</t>
        </is>
      </c>
      <c r="G749" s="884" t="inlineStr">
        <is>
          <t>• Worry-free sizing: Your Size is The Size! Barely Zero is the only bra &amp; brief set that adapts to you – making it an easy choice when you're shopping online! • Free your body: highly elastic for a close fit and unfettered movement. Soft, breathable, moisture-wicking fabric for all-day skin comfort. • Bra includes detachable teardrop-shaped padding. V-shaped halter-style, with no uncomfortable back buckle. B est suited for anyone who wears a traditional band between 31.5-40" and an A-DD cup. • The Barely Zero Collection is subtly tailored to have virtually no lines, even under tight clothing - yet doesn't chafe or dig in!</t>
        </is>
      </c>
      <c r="H749" s="885" t="inlineStr">
        <is>
          <t>68% CloudFit¬© nylon, 32% Spandex • T o preserve and lengthen its wear-life, we strongly recommend handwashing your Barely Zero. D issolve a gentle detergent in cold water (no warmer than 86 °F /30 °C ) and fully immerse the underwear. Gently press/knead it, then rinse (allow to soak no longer than 5 minutes). H ang or lay flat to dry in a cool, shaded place. If you choose to use a washing machine, please use a laundry bag</t>
        </is>
      </c>
      <c r="I749" s="886" t="inlineStr">
        <is>
          <t>2022 Title Update, Bundle Collection, BZ Classic Set, Category_Active, Category_Bras/Everyday, Category_Bras/Medium Support, Category_Lingerie, Category_Lingerie/Brief, Category_Lingerie/Wireless Bra, Category_Underwear, Category_Underwear/Tops, Category_Underwear/Tops/Wireless Bra, Category_Underwear/Tops/Wireless Bra/Seamless, Collection_Barely Zero, Collection_Barely Zero/Bras, Collection_Barely Zero/Underwear, Cup_A_C, Cup_B_D, hide-bis, no-returns, Sale</t>
        </is>
      </c>
      <c r="J749" s="887" t="inlineStr">
        <is>
          <t>barely-zero-v1-gift-box</t>
        </is>
      </c>
    </row>
    <row r="750" ht="84" customHeight="1" s="229">
      <c r="A750" s="888" t="inlineStr">
        <is>
          <t>Pure Comfort Turkish Cotton Mid Waist Brief, 3 Pack</t>
        </is>
      </c>
      <c r="B750" s="889" t="inlineStr">
        <is>
          <t>Underwear</t>
        </is>
      </c>
      <c r="C750" s="890" t="n">
        <v>38</v>
      </c>
      <c r="D750" s="890" t="n">
        <v>26.6</v>
      </c>
      <c r="E750" s="985" t="inlineStr">
        <is>
          <t>Yes</t>
        </is>
      </c>
      <c r="F750" s="891" t="inlineStr">
        <is>
          <t>This three-piece bundle of Turkish Cotton Mid Waist Briefs from our signature Pure Comfort Collection is perfect for all-day comfort. They make the most of their soft, breathable Turkish cotton to create an extra smooth, almost silky texture with just the right amount of stretch. Designed for healthy, breathable, and confident everyday wear. This item is final sale and cannot be returned or exchanged.</t>
        </is>
      </c>
      <c r="G750" s="892" t="inlineStr">
        <is>
          <t>• Interwoven high-quality Spandex for increased elasticity. A closer fit that's more resistant to wear &amp; tear! • Made using fine Turkish cotton for breathability and comfort. • Mid waist sits just above the hips.</t>
        </is>
      </c>
      <c r="H750" s="893" t="inlineStr">
        <is>
          <t>94.6% Turkish cotton, 5.4% Spandex • 100% cotton gusset • Care instructions: Machine wash on gentle cycle, tumble dry on low heat</t>
        </is>
      </c>
      <c r="I750" s="894" t="inlineStr">
        <is>
          <t>2022 Title Update, 22FW 30OFF, Category_Lingerie, Category_Lingerie/Brief, Category_Lingerie/Brief/Mid Waist, Category_Underwear, Category_Underwear/Bottoms, Category_Underwear/Bottoms/Panties, Category_Underwear/Bottoms/Panties/Mid Waist, Collection_Pure Comfort, Fabric_Lingerie/Turkish Cotton, Fabric_Underwear/Cotton, hide-bis, HR-CX, no-returns, Pre-adjustment Size Brief, Sale</t>
        </is>
      </c>
      <c r="J750" s="895" t="inlineStr">
        <is>
          <t>pure-comfort-turkish-cotton-mid-waist-brief-3-pack-1</t>
        </is>
      </c>
    </row>
    <row r="751" ht="56" customHeight="1" s="229">
      <c r="A751" s="975" t="inlineStr">
        <is>
          <t>Pure Comfort Soft Modal Triangle Bra 1.0 Trio</t>
        </is>
      </c>
      <c r="B751" s="976" t="inlineStr">
        <is>
          <t>Bundle3</t>
        </is>
      </c>
      <c r="C751" s="977" t="n">
        <v>38</v>
      </c>
      <c r="D751" s="977" t="n">
        <v>30</v>
      </c>
      <c r="E751" s="978" t="inlineStr">
        <is>
          <t>Yes</t>
        </is>
      </c>
      <c r="F751" s="979" t="inlineStr">
        <is>
          <t>The bra trusted by over 2 million women! This bundle includes three original Soft Modal Triangle Bras from our Pure Comfort Collection , featuring adjustable/removable straps, a breathable keyhole design, and an amazingly soft fabric blend - must-have t-shirt bras for comfortable everyday wear.</t>
        </is>
      </c>
      <c r="G751" s="980" t="inlineStr">
        <is>
          <t>• Customize your fit: straps are adjustable &amp; removable - it's easy to convert between traditional and crisscross styles! • Combines the best textures and properties of Supima¬Æ Cotton and TENCEL‚Ñ¢ Modal, with LYCRA¬Æ Spandex. • Suitable for A-C cup sizes. Removable padding for easy washing.</t>
        </is>
      </c>
      <c r="H751" s="981" t="inlineStr">
        <is>
          <t>46% TENCEL‚Ñ¢ Modal , 45% S upima¬Æ Cotton, 9% Spandex • Lining: 46% TENCEL‚Ñ¢ Modal, 45% S upima¬Æ Cotton, 9% Spandex • Imported Fabric: Austrian Modal • Care instructions: Machine wash on gentle cycle in cold water, lay flat to dry</t>
        </is>
      </c>
      <c r="I751" s="982" t="inlineStr">
        <is>
          <t>2022 Title Update, Bundle Collection, Category_Bras/Cotton, Category_Bras/Everyday, Category_Bras/Medium Support, Category_Lingerie, Category_Lingerie/Wireless Bra, Category_Lingerie/Wireless Bra/Triangle, Category_Underwear, Category_Underwear/Tops, Category_Underwear/Tops/Wireless Bra, Category_Underwear/Tops/Wireless Bra/Triangle, Collection_Pure Comfort, color-avocado, color-navy, color-shell-pink, color-vivid, Cup_A_C, Fabric_Lingerie/Supima, Fabric_Lingerie/Tencel, Feature_Casuals, Feature_Essentials, Feature_New Arrival, no-returns, over-10, Pre-adjustment Small Size Bra, Shop All, Size_L, Size_M, Size_S, Size_XL, Size_XS, Size_XXL</t>
        </is>
      </c>
      <c r="J751" s="983" t="inlineStr">
        <is>
          <t>pure-comfort-soft-modal-triangle-bra-v1-trio</t>
        </is>
      </c>
    </row>
    <row r="752" ht="56" customHeight="1" s="229">
      <c r="A752" s="975" t="inlineStr">
        <is>
          <t>Pure Comfort Soft Modal Triangle Bra 1.0 Bundle</t>
        </is>
      </c>
      <c r="B752" s="976" t="inlineStr">
        <is>
          <t>Bundle</t>
        </is>
      </c>
      <c r="C752" s="977" t="n">
        <v>38</v>
      </c>
      <c r="D752" s="977" t="n">
        <v>32</v>
      </c>
      <c r="E752" s="978" t="inlineStr">
        <is>
          <t>Yes</t>
        </is>
      </c>
      <c r="F752" s="979" t="inlineStr">
        <is>
          <t>The bra trusted by over 2 million women! This bundle includes two original Soft Modal Triangle Bras from our Pure Comfort Collection , featuring adjustable/removable straps, a breathable keyhole design, and an amazingly soft fabric blend - must-have t-shirt bras for comfortable everyday wear.</t>
        </is>
      </c>
      <c r="G752" s="980" t="inlineStr">
        <is>
          <t>• Customize your fit: straps are adjustable &amp; removable - it's easy to convert between traditional and crisscross styles! • Combines the best textures and properties of Supima¬Æ Cotton and TENCEL‚Ñ¢ Modal, with LYCRA¬Æ Spandex. • Suitable for A-C cup sizes. Removable padding for easy washing.</t>
        </is>
      </c>
      <c r="H752" s="981" t="inlineStr">
        <is>
          <t>46% TENCEL‚Ñ¢ Modal , 45% S upima¬Æ Cotton, 9% Spandex • Lining: 46% TENCEL‚Ñ¢ Modal, 45% S upima¬Æ Cotton, 9% Spandex • Imported Fabric: Austrian Modal • Care instructions: Machine wash on gentle cycle in cold water, lay flat to dry</t>
        </is>
      </c>
      <c r="I752" s="982" t="inlineStr">
        <is>
          <t>2022 Title Update, Bundle Collection, Category_Bras/Cotton, Category_Bras/Everyday, Category_Bras/Medium Support, Category_Lingerie, Category_Lingerie/Wireless Bra, Category_Lingerie/Wireless Bra/Triangle, Category_Underwear, Category_Underwear/Tops, Category_Underwear/Tops/Wireless Bra, Category_Underwear/Tops/Wireless Bra/Triangle, Collection_Pure Comfort, color-avocado, color-navy, color-shell-pink, color-vivid, Cup_A_C, Fabric_Lingerie/Supima, Fabric_Lingerie/Tencel, Feature_Casuals, Feature_Essentials, Feature_New Arrival, no-returns, over-10, Pre-adjustment Small Size Bra, Shop All, Size_L, Size_M, Size_S, Size_XL, Size_XS, Size_XXL</t>
        </is>
      </c>
      <c r="J752" s="983" t="inlineStr">
        <is>
          <t>pure-comfort-soft-modal-triangle-bra-v1-bundle</t>
        </is>
      </c>
    </row>
    <row r="753" ht="18" customHeight="1" s="229">
      <c r="A753" s="975" t="inlineStr">
        <is>
          <t>NEIWAI Gift Card</t>
        </is>
      </c>
      <c r="B753" s="976" t="inlineStr">
        <is>
          <t>Gift Cards</t>
        </is>
      </c>
      <c r="C753" s="977" t="n">
        <v>30</v>
      </c>
      <c r="D753" s="977" t="n">
        <v>30</v>
      </c>
      <c r="E753" s="976" t="inlineStr"/>
      <c r="F753" s="979" t="inlineStr">
        <is>
          <t>NEIWAI Gift Card</t>
        </is>
      </c>
      <c r="G753" s="980" t="n"/>
      <c r="H753" s="981" t="n"/>
      <c r="I753" s="982" t="n"/>
      <c r="J753" s="983" t="inlineStr">
        <is>
          <t>neiwai-gift-card-50</t>
        </is>
      </c>
    </row>
    <row r="754" ht="112" customHeight="1" s="229">
      <c r="A754" s="966" t="inlineStr">
        <is>
          <t>Barely Zero Your-Size-Is-The-Size Set Holiday Special Pack</t>
        </is>
      </c>
      <c r="B754" s="967" t="inlineStr">
        <is>
          <t>Bundle3</t>
        </is>
      </c>
      <c r="C754" s="968" t="n">
        <v>50</v>
      </c>
      <c r="D754" s="968" t="n">
        <v>35</v>
      </c>
      <c r="E754" s="969" t="inlineStr">
        <is>
          <t>Yes</t>
        </is>
      </c>
      <c r="F754" s="970" t="inlineStr">
        <is>
          <t>Enjoy the original Barely Zero at its lowest price ever! This bundle includes three matching bra &amp; brief sets in the colors of your choice. The bra: supportive enough for anywhere your day takes you, comfortable enough that you won't feel like you need to change when you get home. The brief: comfort where you need it most, all day and all night. Barely Zero 's innovative design &amp; highly elastic construction adapts to your body &amp; its changes over time due to natural weight fluctuation, pregnancy, &amp; maternity. Free yourself from traditional bras &amp; underwear today, with Barely Zero!</t>
        </is>
      </c>
      <c r="G754" s="971" t="inlineStr">
        <is>
          <t>• Worry-free sizing: Your Size is The Size! Barely Zero is the only bra &amp; brief that adapt to you – an easy choice when you're shopping online! • Free your body: Barely Zero's innovative CloudFit¬© fabric is soft, breathable, moisture-wicking, &amp; highly elastic for a close, comfortable fit and all-day comfort. • Versatile aesthetic that allows for matching with many outfits or occasions. • Detachable teardrop-shaped chest pad. V-shaped halter, no uncomfortable back buckle, bunching, or chafing. Brief includes 100% cotton lining. • Subtly tailored to show virtually no lines, even under tight clothing - yet doesn't chafe or dig in! • The Barely Zero bra is best suited for anyone who wears a traditional band between 31.5-40" and an A-DD cup.</t>
        </is>
      </c>
      <c r="H754" s="972" t="inlineStr">
        <is>
          <t>68% CloudFit¬© nylon, 32% Spandex; brief lining: 100% cotton. • T o preserve and lengthen its wear-life, we strongly recommend handwashing your Barely Zero. D issolve a gentle detergent in cold water (no warmer than 86 °F /30 °C ) and fully immerse the underwear. Gently press/knead it, then rinse (allow to soak no longer than 5 minutes). H ang or lay flat to dry in a cool, shaded place. If you choose to use a washing machine, please use a laundry bag</t>
        </is>
      </c>
      <c r="I754" s="973" t="inlineStr">
        <is>
          <t>Bundle Collection, Categeory_Underwear, Category_Bras/Everyday, Category_Bras/Light Support, Category_Bras/Medium Support, Category_Lingerie, Category_Lingerie/Wireless Bra, Category_Underwear, Category_Underwear/Tops, Category_Underwear/Tops/Wireless Bra, Category_Underwear/Tops/Wireless Bra/Seamless, Collection_Barely Zero, Collection_Barely Zero/Underwear, Cup_A_C, Cup_B_D, HR-CX</t>
        </is>
      </c>
      <c r="J754" s="974" t="inlineStr">
        <is>
          <t>barely-zero¬Æ-your-size-is-the-size-set-holiday-special-pack</t>
        </is>
      </c>
    </row>
    <row r="755" ht="56" customHeight="1" s="229">
      <c r="A755" s="958" t="inlineStr">
        <is>
          <t>Men's Boxer Briefs 3-Pack</t>
        </is>
      </c>
      <c r="B755" s="959" t="inlineStr">
        <is>
          <t>Men</t>
        </is>
      </c>
      <c r="C755" s="960" t="n">
        <v>38</v>
      </c>
      <c r="D755" s="960" t="n">
        <v>26.6</v>
      </c>
      <c r="E755" s="984" t="inlineStr">
        <is>
          <t>Yes</t>
        </is>
      </c>
      <c r="F755" s="961" t="inlineStr">
        <is>
          <t>The Twin Cross Plunge Contour B ra: imported Italian fabrics and a patented Japanese cross-layer design allow this luxurious bra to provide generous coverage, support, and comfort. This item is final sale and cannot be returned or exchanged.</t>
        </is>
      </c>
      <c r="G755" s="962" t="inlineStr">
        <is>
          <t>• Adjustable thin spaghetti straps and back buckle for a better fit. • Completely wireless, with a keyhole design for better breathability and comfort. • Includes non-removable elastic &amp; padding.</t>
        </is>
      </c>
      <c r="H755" s="963" t="inlineStr">
        <is>
          <t>78% nylon, 22% Spandex; lining: 69% nylon, 31% Spandex • Care instructions: Machine wash on gentle cycle or hand wash in cold water; lay flat to dry</t>
        </is>
      </c>
      <c r="I755" s="964" t="inlineStr">
        <is>
          <t>22FW 30OFF, Category_Men, Category_Men/Underwear, Collection_Men, Collection_Valentine, no-returns</t>
        </is>
      </c>
      <c r="J755" s="965" t="inlineStr">
        <is>
          <t>mens-boxer-briefs-3-pack</t>
        </is>
      </c>
    </row>
    <row r="756" ht="70" customHeight="1" s="229">
      <c r="A756" s="928" t="inlineStr">
        <is>
          <t>Classic Embroidered Straight Leg Pajama Pants 1.0</t>
        </is>
      </c>
      <c r="B756" s="929" t="inlineStr">
        <is>
          <t>Loungewear</t>
        </is>
      </c>
      <c r="C756" s="930" t="n">
        <v>58</v>
      </c>
      <c r="D756" s="930" t="n">
        <v>34.8</v>
      </c>
      <c r="E756" s="936" t="inlineStr">
        <is>
          <t>Yes</t>
        </is>
      </c>
      <c r="F756" s="931" t="inlineStr">
        <is>
          <t>Add some flair to your sleepwear with these vivid Classic Embroidered Pajama Pants from our Classic Collection ! Available in refined solid color and fun striped patterns, with exquisitely detailed embroidery at the cuffs and hems. Tailored for a loose, comfy fit using our premium sleepwear blend, Refresh Cotton¬Æ . This item is final sale and cannot be returned or exchanged .</t>
        </is>
      </c>
      <c r="G756" s="932" t="inlineStr">
        <is>
          <t>• A timeless, classic style with drawstring/elastic waistband and side pockets. Legs are a generous length and slightly tapered. • Refresh Cotton¬Æ is a cotton-based blend that combines crisp, skin-friendly cotton with Modal's soft, smooth texture for better breathability and better rest! The perfect fabric for pajamas &amp; sleepwear.</t>
        </is>
      </c>
      <c r="H756" s="933" t="inlineStr">
        <is>
          <t>54% cotton, 46% TENCEL‚Ñ¢ Modal • Care instructions: Machine wash on gentle cycle, tumble dry on low heat or hang to dry</t>
        </is>
      </c>
      <c r="I756" s="934" t="inlineStr">
        <is>
          <t>2022 Title Update, 22 Spring Sale, Category_Lounge, Category_Lounge/Bottoms, Category_Lounge/Pajamas &amp; Robes, Category_Lounge/Pajamas &amp; Robes/Bottoms, Category_Lounge/Pants, Collection_Classic, Fabric_Lounge/Cotton, Function_Lounge/Casual, Function_Lounge/Essential, Function_Lounge/Essential/Pants, Function_Lounge/Sleep, Function_Lounge/Sleep/Pajama, hide-bis, no-returns, Sale</t>
        </is>
      </c>
      <c r="J756" s="935" t="inlineStr">
        <is>
          <t>classic-embroidered-straight-leg-pajama-pants-v1</t>
        </is>
      </c>
    </row>
    <row r="757" ht="70" customHeight="1" s="229">
      <c r="A757" s="896" t="inlineStr">
        <is>
          <t>Classic Embroidered Pajama Shirt 1.0</t>
        </is>
      </c>
      <c r="B757" s="897" t="inlineStr">
        <is>
          <t>Loungewear</t>
        </is>
      </c>
      <c r="C757" s="898" t="n">
        <v>68</v>
      </c>
      <c r="D757" s="898" t="n">
        <v>40.8</v>
      </c>
      <c r="E757" s="957" t="inlineStr">
        <is>
          <t>Yes</t>
        </is>
      </c>
      <c r="F757" s="899" t="inlineStr">
        <is>
          <t>Add some flair to your sleepwear with these vivid Classic Embroidered Pajamas! Available in refined solid color and fun striped patterns, with exquisitely detailed embroidery at the cuffs and hems. Tailored with a drop-shoulder fit for extra comfort and mobility, and made using our premium sleepwear blend, Refresh Cotton¬Æ . This item is final sale and cannot be returned or exchanged .</t>
        </is>
      </c>
      <c r="G757" s="900" t="inlineStr">
        <is>
          <t>• A timeless, button-up classic style with French lapels, long sleeves, and a loose silhouette. Never let your bedroom fashion go out of vogue! • Refresh Cotton¬Æ is a cotton-based blend that combines crisp, skin-friendly cotton with Modal's soft, smooth texture for better breathability and better rest! The perfect fabric for pajamas &amp; sleepwear.</t>
        </is>
      </c>
      <c r="H757" s="901" t="inlineStr">
        <is>
          <t>54% cotton, 46% TENCEL‚Ñ¢ Modal • Care instructions: Machine wash on gentle cycle, tumble dry on low heat or hang to dry</t>
        </is>
      </c>
      <c r="I757" s="902" t="inlineStr">
        <is>
          <t>2022 Title Update, 22 Spring Sale, Category_Lounge, Category_Lounge/Pajamas &amp; Robes, Category_Lounge/Pajamas &amp; Robes/Top, Category_Lounge/Top, Collection_Classic, Fabric_Lounge/Cotton, Function_Lounge/Casual, Function_Lounge/Essential, Function_Lounge/Sleep, Function_Lounge/Sleep/Pajama, hide-bis, no-returns, Sale</t>
        </is>
      </c>
      <c r="J757" s="903" t="inlineStr">
        <is>
          <t>classic-embroidered-pajama-shirt-v1</t>
        </is>
      </c>
    </row>
    <row r="758" ht="70" customHeight="1" s="229">
      <c r="A758" s="928" t="inlineStr">
        <is>
          <t>Boundless Modal Straight Leg Pants</t>
        </is>
      </c>
      <c r="B758" s="929" t="inlineStr">
        <is>
          <t>Loungewear</t>
        </is>
      </c>
      <c r="C758" s="930" t="n">
        <v>98</v>
      </c>
      <c r="D758" s="930" t="n">
        <v>58.8</v>
      </c>
      <c r="E758" s="936" t="inlineStr">
        <is>
          <t>Yes</t>
        </is>
      </c>
      <c r="F758" s="931" t="inlineStr">
        <is>
          <t>Jump from the sofa to the street in a single bound! The Boundless Modal Straight-Leg Pants from our Boundless Collection aren't simple lounge pants – they're a tailored fashion piece that's comfortable at home yet looks chic when you go out. It's time to break the boundaries between home clothes and outerwear! This item is final sale and cannot be returned or exchanged .</t>
        </is>
      </c>
      <c r="G758" s="932" t="inlineStr">
        <is>
          <t>• Made with WARM MATCH¬Æ fabric, designed to be both warm AND breathable • Lazy, relaxed and multi-scene style, with loose straight legs, elastic waist, and double side and back pockets. Whether you're sleeping, home, or going out, do it with a relaxed and carefree feeling</t>
        </is>
      </c>
      <c r="H758" s="933" t="inlineStr">
        <is>
          <t>64% WARM MATCH¬Æ acrylic fabric, 29% TENCEL‚Ñ¢ Modal, 5% nylon, 2% Spandex • Care instructions: Machine wash on gentle cycle, tumble dry on low heat or hang to dry</t>
        </is>
      </c>
      <c r="I758" s="934" t="inlineStr">
        <is>
          <t>22 Spring Sale, Category_Lounge, Category_Lounge/Bottoms, Category_Lounge/Pajamas &amp; Robes, Category_Lounge/Pajamas &amp; Robes/Bottoms, Category_Lounge/Pants, Collection_Boundless, Fabric_Lounge/Kintwear, Fabric_Lounge/Tencel, Fabric_Lounge/Tencel Modal, Fabric_Lounge/WARM MATCH¬Æ, Function_Lounge/Casual, Function_Lounge/Essential, Function_Lounge/Sleep, Function_Lounge/Sleep/Pajama, hide-bis, no-returns, Sale</t>
        </is>
      </c>
      <c r="J758" s="935" t="inlineStr">
        <is>
          <t>boundless-modal-straight-leg-pants</t>
        </is>
      </c>
    </row>
    <row r="759" ht="70" customHeight="1" s="229">
      <c r="A759" s="896" t="inlineStr">
        <is>
          <t>Boundless Modal V-Neck Hoodie</t>
        </is>
      </c>
      <c r="B759" s="897" t="inlineStr">
        <is>
          <t>Loungewear</t>
        </is>
      </c>
      <c r="C759" s="898" t="n">
        <v>98</v>
      </c>
      <c r="D759" s="898" t="n">
        <v>58.8</v>
      </c>
      <c r="E759" s="957" t="inlineStr">
        <is>
          <t>Yes</t>
        </is>
      </c>
      <c r="F759" s="899" t="inlineStr">
        <is>
          <t>Jump from the sofa to the street in a single bound! The Boundless Modal V-Neck Hoodie from our Boundless Collection isn't a simple lounge top – it's a tailored fashion piece that's comfortable at home yet looks chic when you go out. It's time to break the boundaries between home clothes and outerwear! This item is final sale and cannot be returned or exchanged.</t>
        </is>
      </c>
      <c r="G759" s="900" t="inlineStr">
        <is>
          <t>• Made with WARM MATCH¬Æ fabric, designed to be both warm AND breathable • Lazy, relaxed and multi-scene style, with drop shoulder, button-up collar, and lightly flared sleeves. Whether you're sleeping, home, or going out, do it with a relaxed and carefree feeling • Soft and surprisingly delicate fabric – wear it as an outer layer or over nothing at all</t>
        </is>
      </c>
      <c r="H759" s="901" t="inlineStr">
        <is>
          <t>64% WARM MATCH¬Æ acrylic fabric, 29% TENCEL‚Ñ¢ Modal, 5% nylon, 2% Spandex • Care instructions: Machine wash on gentle cycle, tumble dry on low heat or hang to dry</t>
        </is>
      </c>
      <c r="I759" s="902" t="inlineStr">
        <is>
          <t>22 Spring Sale, Category_Lounge, Category_Lounge/Sweatshirts, Category_Lounge/Top, Collection_Boundless, Fabric_Lounge/Tencel, Fabric_Lounge/Tencel Modal, Fabric_Lounge/WARM MATCH¬Æ, Function_Lounge/Casual, Function_Lounge/Essential, Function_Lounge/Sleep, no-returns</t>
        </is>
      </c>
      <c r="J759" s="903" t="inlineStr">
        <is>
          <t>boundless-modal-v-neck-hoodie</t>
        </is>
      </c>
    </row>
    <row r="760" ht="98" customHeight="1" s="229">
      <c r="A760" s="928" t="inlineStr">
        <is>
          <t>Classic Merino Wool Boatneck Sweater</t>
        </is>
      </c>
      <c r="B760" s="929" t="inlineStr">
        <is>
          <t>Loungewear</t>
        </is>
      </c>
      <c r="C760" s="930" t="n">
        <v>108</v>
      </c>
      <c r="D760" s="930" t="n">
        <v>64.8</v>
      </c>
      <c r="E760" s="936" t="inlineStr">
        <is>
          <t>Yes</t>
        </is>
      </c>
      <c r="F760" s="931" t="inlineStr">
        <is>
          <t>Made of fine Australian Merino sheep's wool, the Classic Merino Wool Boatneck Sweater from our Classic Collection is a chic, slim, and elegant design that's versatile enough to wear casually or in a more formal setting. Surprisingly lightweight and breathable, this is a fine piece for layering and pairing with other garments to create new outfits or to wear entirely on its own. However you choose to wear it, you'll love the luxurious and delicate texture of this premium fabric! This item is final sale and cannot be returned or exchanged .</t>
        </is>
      </c>
      <c r="G760" s="932" t="inlineStr">
        <is>
          <t>• Tailored with loose a drop-shoulder profile that gradually tightens to the waist • Easily adjustable neckline provides more options when wearing this fine top • Lightweight and breathable Merino wool - soft and skin-friendly. • Slim fitting but not tight, looks great as it frames your figure as a layering piece or on its own.</t>
        </is>
      </c>
      <c r="H760" s="933" t="inlineStr">
        <is>
          <t>100% Merino wool • Care instructions: Professional dry cleaning recommended</t>
        </is>
      </c>
      <c r="I760" s="934" t="inlineStr">
        <is>
          <t>22 Spring Sale, Category_Daywear, Category_Daywear/FayeWong, Category_Daywear/Top, Category_Lounge, Category_Lounge/Knitwear, Category_Lounge/Sweaters&amp;Outerwear, Category_Lounge/Top, Collection_Classic, Collection_Faye Wong, Collection_Knitted, Fabric_Lounge/Cashmere &amp; Wool, Fabric_Lounge/Kintwear, Fabric_Lounge/Merino Wool, Function_Lounge/Essential, no-returns</t>
        </is>
      </c>
      <c r="J760" s="935" t="inlineStr">
        <is>
          <t>wool-boatneck-sweater</t>
        </is>
      </c>
    </row>
    <row r="761" ht="56" customHeight="1" s="229">
      <c r="A761" s="880" t="inlineStr">
        <is>
          <t>Classic Form-fitting Thermal Underwear Set</t>
        </is>
      </c>
      <c r="B761" s="881" t="inlineStr">
        <is>
          <t>Underwear</t>
        </is>
      </c>
      <c r="C761" s="882" t="n">
        <v>68</v>
      </c>
      <c r="D761" s="882" t="n">
        <v>34</v>
      </c>
      <c r="E761" s="937" t="inlineStr">
        <is>
          <t>Yes</t>
        </is>
      </c>
      <c r="F761" s="883" t="inlineStr">
        <is>
          <t>This Classic Form-fitting Thermal Underwear Set is made using WARM MATCH¬Æ, a fabric that's lightweight, absorbent, and retains body heat without restricting movement or getting stuffy. This item is final sale and cannot be returned or exchanged .</t>
        </is>
      </c>
      <c r="G761" s="884" t="inlineStr">
        <is>
          <t>• Shallow V streamlined neckline and nearly invisible bottom hem. Size M top is 21.5" in length. • High-waist pants with legs just the right length to wear with socks &amp; boots, and functional pockets concealed along the waistline! • WARM MATCH¬Æ is our own special blend using TENCEL‚Ñ¢ Modal and other fabrics for soft, breathable warmth.</t>
        </is>
      </c>
      <c r="H761" s="885" t="inlineStr">
        <is>
          <t>64% acrylic blend, 30% TENCEL‚Ñ¢ Modal, 6% Spandex • Care instructions: Machine wash on gentle cycle, tumble dry on low heat or hang to dry</t>
        </is>
      </c>
      <c r="I761" s="886" t="inlineStr">
        <is>
          <t>2023 BTS Sale, 22 Spring Sale, 22FW 50OFF, 23 Spring Sale, Canada, Category_Lounge, Category_Lounge/Bottoms, Category_Lounge/Bottoms/Elastic, Category_Lounge/Pants, Category_Underwear/Bottoms, Category_Underwear/Bottoms/Thermal, Category_Underwear/Tops, Category_Underwear/Tops/Thermal, Collection_Classic, Collection_Essential, Collection_Essential/Lingerie, Collection_Essential/Loungewear, Fabric_Lounge/Tencel, Fabric_Lounge/Tencel Modal, Fabric_Lounge/Thermal, Fabric_Lounge/WARM MATCH¬Æ, Fabric_Underwear/Tencel Modal, Fabric_Underwear/Thermal, Function_Lounge/Essential, Function_Lounge/Essential/Pants, Function_Lounge/Sleep, hide-bis, LBD23, Loungewear Sets, no-returns, Sale</t>
        </is>
      </c>
      <c r="J761" s="887" t="inlineStr">
        <is>
          <t>classic-form-fitting-thermal-underwear-set</t>
        </is>
      </c>
    </row>
    <row r="762" ht="42" customHeight="1" s="229">
      <c r="A762" s="896" t="inlineStr">
        <is>
          <t>Classic Merino Wool Turtleneck Sweater</t>
        </is>
      </c>
      <c r="B762" s="897" t="inlineStr">
        <is>
          <t>Loungewear</t>
        </is>
      </c>
      <c r="C762" s="898" t="n">
        <v>138</v>
      </c>
      <c r="D762" s="898" t="n">
        <v>96.59999999999999</v>
      </c>
      <c r="E762" s="957" t="inlineStr">
        <is>
          <t>Yes</t>
        </is>
      </c>
      <c r="F762" s="899" t="inlineStr">
        <is>
          <t>Made of fine Australian Merino sheep's wool, this Classic Merino Wool Turtleneck Sweater is a chic, slim, and elegant design that's versatile enough to wear casually or in a more formal setting.</t>
        </is>
      </c>
      <c r="G762" s="900" t="inlineStr">
        <is>
          <t>• Tailored with loose a drop-shoulder profile that gradually tightens to the waist. • Lightweight and breathable Merino wool - a soft and skin-friendly natural fiber. • Slim fitting but not tight - looks great as it frames your figure as a layering piece or on its own.</t>
        </is>
      </c>
      <c r="H762" s="901" t="inlineStr">
        <is>
          <t>100% Merino sheep's wool • Care instructions: Professional dry cleaning recommended</t>
        </is>
      </c>
      <c r="I762" s="902" t="inlineStr">
        <is>
          <t>Category_Daywear, Category_Daywear/FayeWong, Category_Daywear/Top, Category_Lounge, Category_Lounge/Bottoms, Category_Lounge/Knitwear, Category_Lounge/Pants, Category_Lounge/Sweaters&amp;Outerwear, Collection_Classic, Collection_Faye Wong, Collection_Knitted, Fabric_Lounge/Cashmere &amp; Wool, Fabric_Lounge/Cotton, Function_Lounge/Sleep, hide-bis, Sale</t>
        </is>
      </c>
      <c r="J762" s="903" t="inlineStr">
        <is>
          <t>classic-merino-wool-turtleneck-sweater</t>
        </is>
      </c>
    </row>
    <row r="763" ht="56" customHeight="1" s="229">
      <c r="A763" s="928" t="inlineStr">
        <is>
          <t>Classic Cozy Pajama Pants 1.0</t>
        </is>
      </c>
      <c r="B763" s="929" t="inlineStr">
        <is>
          <t>Loungewear</t>
        </is>
      </c>
      <c r="C763" s="930" t="n">
        <v>68</v>
      </c>
      <c r="D763" s="930" t="n">
        <v>40.8</v>
      </c>
      <c r="E763" s="936" t="inlineStr">
        <is>
          <t>Yes</t>
        </is>
      </c>
      <c r="F763" s="931" t="inlineStr">
        <is>
          <t>Take sleep seriously. The Classic Cozy Button-Up Pajama Pants is made of our own soft MellowSilk¬Æ for more skin-friendly, comfortable rest. Tailored to be simple, straight, loose, and smooth, you won't just feel great – you'll look great too! This item is final sale and cannot be returned or exchanged .</t>
        </is>
      </c>
      <c r="G763" s="932" t="inlineStr">
        <is>
          <t>• Lightweight &amp; refined pajamas with a light gloss sheen, designed for more restful sleep. • Subtle V-cut waist for a slimming waistline. • MellowSilk¬Æ is a fabric blend that combines TENCEL‚Ñ¢ Modal with materials extracted from cashmere &amp; other fabrics, woven to be satiny-soft and elastic. The outcome is a lovely texture, reminiscent of cashmere and silk!</t>
        </is>
      </c>
      <c r="H763" s="933" t="inlineStr">
        <is>
          <t>57% Modal, 19% viscose, 19% acrylic, 5% Spandex • Care instructions: Machine wash on gentle cycle, tumble dry on low heat or hang to dry</t>
        </is>
      </c>
      <c r="I763" s="934" t="inlineStr">
        <is>
          <t>2022 Title Update, 22 Spring Sale, Category_Lounge, Category_Lounge/Bottoms, Category_Lounge/Pajamas &amp; Robes, Category_Lounge/Pajamas &amp; Robes/Bottoms, Category_Lounge/Pants, Collection_Classic, Collection_Faye Wong, Fabric_Lounge/Cotton, Fabric_Lounge/Tencel Modal, Function_Lounge/Essential, Function_Lounge/Sleep, hide-bis, no-returns, Sale</t>
        </is>
      </c>
      <c r="J763" s="935" t="inlineStr">
        <is>
          <t>classic-cozy-pajama-pants-v1</t>
        </is>
      </c>
    </row>
    <row r="764" ht="70" customHeight="1" s="229">
      <c r="A764" s="896" t="inlineStr">
        <is>
          <t>Classic Cozy Button-Up Pajama Top 1.0</t>
        </is>
      </c>
      <c r="B764" s="897" t="inlineStr">
        <is>
          <t>Loungewear</t>
        </is>
      </c>
      <c r="C764" s="898" t="n">
        <v>88</v>
      </c>
      <c r="D764" s="898" t="n">
        <v>52.8</v>
      </c>
      <c r="E764" s="957" t="inlineStr">
        <is>
          <t>Yes</t>
        </is>
      </c>
      <c r="F764" s="899" t="inlineStr">
        <is>
          <t>Take sleep seriously. The Classic Cozy Button-Up Pajama Top is made of our own soft MellowSilk¬Æ for more skin-friendly, comfortable rest. Tailored with classic, cute French lapels and generously flexible shoulders, you won't just feel great – you'll look great too! This item is final sale and cannot be returned or exchanged .</t>
        </is>
      </c>
      <c r="G764" s="900" t="inlineStr">
        <is>
          <t>• Lightweight &amp; refined pajamas with a light gloss sheen, designed for more restful sleep. • Classic style with French lapels, a small chest pocket, and color-matched buttons. • MellowSilk¬Æ is a fabric blend that combines TENCEL‚Ñ¢ Modal with materials extracted from cashmere &amp; other fabrics, woven to be satiny-soft and elastic. The outcome is a lovely texture, reminiscent of cashmere and silk!</t>
        </is>
      </c>
      <c r="H764" s="901" t="inlineStr">
        <is>
          <t>57% Modal, 19% viscose, 19% acrylic, 5% Spandex • Care instructions: Machine wash on gentle cycle, tumble dry on low heat or hang to dry</t>
        </is>
      </c>
      <c r="I764" s="902" t="inlineStr">
        <is>
          <t>2022 Title Update, 22 Spring Sale, Category_Lounge, Category_Lounge/Pajamas &amp; Robes, Category_Lounge/Pajamas &amp; Robes/Top, Category_Lounge/Top, Collection_Classic, Collection_Faye Wong, Fabric_Lounge/Cotton, Fabric_Lounge/Tencel Modal, Function_Lounge/Sleep, hide-bis, no-returns, Sale</t>
        </is>
      </c>
      <c r="J764" s="903" t="inlineStr">
        <is>
          <t>classic-cozy-button-up-pajama-top-v1</t>
        </is>
      </c>
    </row>
    <row r="765" ht="84" customHeight="1" s="229">
      <c r="A765" s="975" t="inlineStr">
        <is>
          <t>Barely Zero Wireless Bra 1.0 Trio</t>
        </is>
      </c>
      <c r="B765" s="976" t="inlineStr">
        <is>
          <t>Bundle3</t>
        </is>
      </c>
      <c r="C765" s="977" t="n">
        <v>35</v>
      </c>
      <c r="D765" s="977" t="n">
        <v>23.99</v>
      </c>
      <c r="E765" s="978" t="inlineStr">
        <is>
          <t>Yes</t>
        </is>
      </c>
      <c r="F765" s="979" t="inlineStr">
        <is>
          <t>This bundle includes three original Barely Zero Collection bras (available in two colors: Ruby Red and Chartreuse). The Barely Zero B ra's innovative design &amp; highly elastic construction adapts to your body &amp; its changes over time due to natural weight fluctuation, pregnancy, &amp; maternity. Free yourself from traditional bras today, with Barely Zero . This item is FINAL SALE and cannot be returned or exchanged.</t>
        </is>
      </c>
      <c r="G765" s="980" t="inlineStr">
        <is>
          <t>• Worry-free sizing: Your Size is The Size! Barely Zero is the only bra that adapts to you – an easy choice when you're shopping online! • Free your body: Barely Zero's innovative CloudFit¬© fabric is soft, breathable, moisture-wicking, &amp; highly elastic for a close, comfortable fit and all-day comfort. • Versatile aesthetic that allows for matching with many outfits or occasions. • Detachable teardrop-shaped chest pad. V-shaped halter, no uncomfortable back buckle. • Subtly tailored to show virtually no lines, even under tight clothing - yet doesn't chafe or dig in! • Barely Zero is best suited for anyone who wears a traditional band between 31.5-40" and an A-DD cup.</t>
        </is>
      </c>
      <c r="H765" s="981" t="inlineStr">
        <is>
          <t>68% CloudFit¬© nylon, 32% Spandex • T o preserve and lengthen its wear-life, we strongly recommend handwashing your Barely Zero. D issolve a gentle detergent in cold water (no warmer than 86 °F /30 °C ) and fully immerse the underwear. Gently press/knead it, then rinse (allow to soak no longer than 5 minutes). H ang or lay flat to dry in a cool, shaded place. If you choose to use a washing machine, please use a laundry bag</t>
        </is>
      </c>
      <c r="I765" s="982" t="inlineStr">
        <is>
          <t>2022 Title Update, 22 Spring Sale, Bundle Collection, BZ Classic Bra, Categeory_Underwear, Category_Active, Category_Active/Sport Bra &amp; Top, Category_Bras/Everyday, Category_Bras/Medium Support, Category_Lingerie, Category_Lingerie/Fayewong, Category_Lingerie/Wireless Bra, Category_Underwear, Category_Underwear/Tops, Category_Underwear/Tops/Wireless Bra, Category_Underwear/Tops/Wireless Bra/Seamless, Collection_Barely Zero, Collection_Barely Zero/Bras, Cup_A_C, Cup_B_D, no-returns</t>
        </is>
      </c>
      <c r="J765" s="983" t="inlineStr">
        <is>
          <t>barely-zero-wireless-bra-v1-trio</t>
        </is>
      </c>
    </row>
    <row r="766" ht="98" customHeight="1" s="229">
      <c r="A766" s="975" t="inlineStr">
        <is>
          <t>Barely Zero Your-Size-Is-The-Size Wireless Bra + Brief Set Bundle</t>
        </is>
      </c>
      <c r="B766" s="976" t="inlineStr">
        <is>
          <t>Bra + Brief Set</t>
        </is>
      </c>
      <c r="C766" s="977" t="n">
        <v>50</v>
      </c>
      <c r="D766" s="977" t="n">
        <v>37.8</v>
      </c>
      <c r="E766" s="978" t="inlineStr">
        <is>
          <t>Yes</t>
        </is>
      </c>
      <c r="F766" s="979" t="inlineStr">
        <is>
          <t>This bundle includes a matching Barely Zero bra &amp; brief set in the color of your choice. The bra: supportive enough for anywhere your day takes you, comfortable enough that you won't feel like you need to change when you get home. The brief: comfort where you need it most, all day and all night. Barely Zero 's innovative design &amp; highly elastic construction adapts to your body &amp; its changes over time due to natural weight fluctuation, pregnancy, &amp; maternity. Free yourself from traditional bras &amp; underwear today, with Barely Zero!</t>
        </is>
      </c>
      <c r="G766" s="980" t="inlineStr">
        <is>
          <t>• Worry-free sizing: Your Size is The Size! Barely Zero is the only bra &amp; brief that adapt to you – an easy choice when you're shopping online! • Free your body: Barely Zero's innovative CloudFit¬© fabric is soft, breathable, moisture-wicking, &amp; highly elastic for a close, comfortable fit and all-day comfort. • Versatile aesthetic that allows for matching with many outfits or occasions. • Detachable teardrop-shaped chest pad. V-shaped halter, no uncomfortable back buckle, bunching, or chafing. Brief includes 100% cotton lining. • Subtly tailored to show virtually no lines, even under tight clothing - yet doesn't chafe or dig in! • The Barely Zero bra is best suited for anyone who wears a traditional band between 31.5-40" and an A-DD cup.</t>
        </is>
      </c>
      <c r="H766" s="981" t="inlineStr">
        <is>
          <t>68% CloudFit¬© nylon, 32% Spandex; brief lining: 100% cotton. • T o preserve and lengthen its wear-life, we strongly recommend handwashing your Barely Zero. D issolve a gentle detergent in cold water (no warmer than 86 °F /30 °C ) and fully immerse the underwear. Gently press/knead it, then rinse (allow to soak no longer than 5 minutes). H ang or lay flat to dry in a cool, shaded place. If you choose to use a washing machine, please use a laundry bag</t>
        </is>
      </c>
      <c r="I766" s="982" t="inlineStr">
        <is>
          <t>Bundle Collection, Categeory_Underwear, Category_Bras/Everyday, Category_Bras/Light Support, Category_Bras/Medium Support, Category_Lingerie, Category_Lingerie/Fayewong, Category_Lingerie/Wireless Bra, Category_Underwear, Category_Underwear/Tops, Category_Underwear/Tops/Wireless Bra, Category_Underwear/Tops/Wireless Bra/Seamless, Collection_Barely Zero, Collection_Barely Zero/Underwear, Cup_A_C, Cup_B_D, HR-CX</t>
        </is>
      </c>
      <c r="J766" s="983" t="inlineStr">
        <is>
          <t>barely-zero-your-size-is-the-size-set-bundle</t>
        </is>
      </c>
    </row>
    <row r="767" ht="84" customHeight="1" s="229">
      <c r="A767" s="966" t="inlineStr">
        <is>
          <t>Barely Zero Wireless Bra 1.0 Bundle</t>
        </is>
      </c>
      <c r="B767" s="967" t="inlineStr">
        <is>
          <t>Bundle</t>
        </is>
      </c>
      <c r="C767" s="968" t="n">
        <v>35</v>
      </c>
      <c r="D767" s="968" t="n">
        <v>27</v>
      </c>
      <c r="E767" s="969" t="inlineStr">
        <is>
          <t>Yes</t>
        </is>
      </c>
      <c r="F767" s="970" t="inlineStr">
        <is>
          <t>This bundle includes two original Barely Zero Collection bras (available in two colors: Ruby Red and Chartreuse). The Barely Zero Bra's innovative design &amp; highly elastic construction adapts to your body &amp; its changes over time due to natural weight fluctuation, pregnancy, &amp; maternity. Free yourself from traditional bras today, with Barely Zero . This item is FINAL SALE and cannot be returned or exchanged.</t>
        </is>
      </c>
      <c r="G767" s="971" t="inlineStr">
        <is>
          <t>• Worry-free sizing: Your Size is The Size! Barely Zero is the only bra that adapts to you – an easy choice when you're shopping online! • Free your body: Barely Zero's innovative CloudFit¬© fabric is soft, breathable, moisture-wicking, &amp; highly elastic for a close, comfortable fit and all-day comfort. • Versatile aesthetic that allows for matching with many outfits or occasions. • Detachable teardrop-shaped chest pad. V-shaped halter, no uncomfortable back buckle. • Subtly tailored to show virtually no lines, even under tight clothing - yet doesn't chafe or dig in! • Barely Zero is best suited for anyone who wears a traditional band between 31.5-40" and an A-DD cup.</t>
        </is>
      </c>
      <c r="H767" s="972" t="inlineStr">
        <is>
          <t>68% CloudFit¬© nylon, 32% Spandex • T o preserve and lengthen its wear-life, we strongly recommend handwashing your Barely Zero. D issolve a gentle detergent in cold water (no warmer than 86 °F /30 °C ) and fully immerse the underwear. Gently press/knead it, then rinse (allow to soak no longer than 5 minutes). H ang or lay flat to dry in a cool, shaded place. If you choose to use a washing machine, please use a laundry bag</t>
        </is>
      </c>
      <c r="I767" s="973" t="inlineStr">
        <is>
          <t>2022 Title Update, 22 Spring Sale, Bundle Collection, BZ Classic Bra, Categeory_Underwear, Category_Active, Category_Active/Sport Bra &amp; Top, Category_Bras/Everyday, Category_Bras/Medium Support, Category_Lingerie, Category_Lingerie/Fayewong, Category_Lingerie/Wireless Bra, Category_Underwear, Category_Underwear/Tops, Category_Underwear/Tops/Wireless Bra, Category_Underwear/Tops/Wireless Bra/Seamless, Collection_Barely Zero, Collection_Barely Zero/Bras, Cup_A_C, Cup_B_D, no-returns</t>
        </is>
      </c>
      <c r="J767" s="974" t="inlineStr">
        <is>
          <t>barely-zero-wireless-bra-v1-bundle</t>
        </is>
      </c>
    </row>
    <row r="768" ht="70" customHeight="1" s="229">
      <c r="A768" s="966" t="inlineStr">
        <is>
          <t>Barely Zero Your-Size-Is-The-Size Brief Trio</t>
        </is>
      </c>
      <c r="B768" s="967" t="inlineStr">
        <is>
          <t>Bundle3</t>
        </is>
      </c>
      <c r="C768" s="968" t="n">
        <v>15</v>
      </c>
      <c r="D768" s="968" t="n">
        <v>9.6</v>
      </c>
      <c r="E768" s="969" t="inlineStr">
        <is>
          <t>Yes</t>
        </is>
      </c>
      <c r="F768" s="970" t="inlineStr">
        <is>
          <t>Comfort where you need it most, all day and all night. The Barely Zero Brief's innovative design &amp; highly elastic construction adapts to your body &amp; its changes over time due to natural weight fluctuation, pregnancy, &amp; maternity. Free yourself from traditional underwear today, with Barely Zero . Bundle includes three briefs in the colors of your choice.</t>
        </is>
      </c>
      <c r="G768" s="971" t="inlineStr">
        <is>
          <t>• Worry-free sizing: Your Size is The Size! Barely Zero is the only brief that adapts to you – an easy choice when you're shopping online! • Soft. Skin-friendly. Breathable. Moisture-wicking. Barely Zero's innovative CloudFit¬© fabric is highly elastic for a close, comfortable fit and no bunching or chafing. 100% cotton lining for extra health and comfort. • Versatile aesthetic that allows for matching with many outfits or occasions, and subtly tailored to have virtually no lines, even under tight clothing!</t>
        </is>
      </c>
      <c r="H768" s="972" t="inlineStr">
        <is>
          <t>68% CloudFit¬© nylon, 32% Spandex; Lining: 100% cotton • T o preserve and lengthen its wear-life, we strongly recommend handwashing your Barely Zero. D issolve a gentle detergent in cold water (no warmer than 86 °F /30 °C ) and fully immerse the underwear. Gently press/knead it, then rinse (allow to soak no longer than 5 minutes). H ang or lay flat to dry in a cool, shaded place. If you choose to use a washing machine, please use a laundry bag</t>
        </is>
      </c>
      <c r="I768" s="973" t="inlineStr">
        <is>
          <t>Bundle Collection, Categeory_Underwear, Category_Lingerie, Category_Lingerie/Brief, Category_Lingerie/Brief/Low Waist, Category_Lingerie/Brief/Mid Waist, Category_Lingerie/Fayewong, Category_Underwear, Category_Underwear/Bottoms, Category_Underwear/Bottoms/Panties, Category_Underwear/Bottoms/Panties/Low Waist, Category_Underwear/Bottoms/Panties/Mid Waist, Collection_Barely Zero, Collection_Barely Zero/Underwear, HR-CX</t>
        </is>
      </c>
      <c r="J768" s="974" t="inlineStr">
        <is>
          <t>barely-zero-your-size-is-the-size-brief-trio</t>
        </is>
      </c>
    </row>
    <row r="769" ht="56" customHeight="1" s="229">
      <c r="A769" s="888" t="inlineStr">
        <is>
          <t>Barely Zero Your-Size-Is-The-Size Brief</t>
        </is>
      </c>
      <c r="B769" s="889" t="inlineStr">
        <is>
          <t>Underwear</t>
        </is>
      </c>
      <c r="C769" s="890" t="n">
        <v>15</v>
      </c>
      <c r="D769" s="890" t="n">
        <v>13.5</v>
      </c>
      <c r="E769" s="985" t="inlineStr">
        <is>
          <t>Yes</t>
        </is>
      </c>
      <c r="F769" s="891" t="inlineStr">
        <is>
          <t>Comfort where you need it most, all day and all night. The Barely Zero Brief's innovative design &amp; highly elastic construction adapts to your body &amp; its changes over time due to natural weight fluctuation, pregnancy, &amp; maternity. Free yourself from traditional underwear today, with Barely Zero .</t>
        </is>
      </c>
      <c r="G769" s="892" t="inlineStr">
        <is>
          <t>• Worry-free sizing: Your Size is The Size! Barely Zero is the only brief that adapts to you – an easy choice when you're shopping online! • Soft. Skin-friendly. Breathable. Moisture-wicking. Barely Zero's innovative CloudFit¬© fabric is highly elastic for a close, comfortable fit and no bunching or chafing. 100% cotton lining for extra health and comfort. • Versatile aesthetic that allows for matching with many outfits or occasions, and subtly tailored to have virtually no lines, even under tight clothing!</t>
        </is>
      </c>
      <c r="H769" s="893" t="inlineStr">
        <is>
          <t>68% CloudFit¬© nylon, 32% Spandex; Lining: 100% cotton • T o preserve and lengthen its wear-life, we strongly recommend handwashing your Barely Zero. D issolve a gentle detergent in cold water (no warmer than 86 °F /30 °C ) and fully immerse the underwear. Gently press/knead it, then rinse (allow to soak no longer than 5 minutes). H ang or lay flat to dry in a cool, shaded place. If you choose to use a washing machine, please use a laundry bag</t>
        </is>
      </c>
      <c r="I769" s="894" t="inlineStr">
        <is>
          <t>Categeory_Underwear, Category_Lingerie, Category_Lingerie/Brief, Category_Lingerie/Brief/Low Waist, Category_Lingerie/Brief/Mid Waist, Category_Lingerie/Fayewong, Category_Underwear, Category_Underwear/Bottoms, Category_Underwear/Bottoms/Panties, Category_Underwear/Bottoms/Panties/Low Waist, Category_Underwear/Bottoms/Panties/Mid Waist, Collection_Barely Zero, Collection_Barely Zero/Underwear, HR-CX, NY Sample Sale Upstair, NY Underwear</t>
        </is>
      </c>
      <c r="J769" s="895" t="inlineStr">
        <is>
          <t>barely-zero-your-size-is-the-size-brief</t>
        </is>
      </c>
    </row>
    <row r="770" ht="70" customHeight="1" s="229">
      <c r="A770" s="975" t="inlineStr">
        <is>
          <t>Barely Zero Your-Size-Is-The-Size Brief Bundle</t>
        </is>
      </c>
      <c r="B770" s="976" t="inlineStr">
        <is>
          <t>Bundle</t>
        </is>
      </c>
      <c r="C770" s="977" t="n">
        <v>15</v>
      </c>
      <c r="D770" s="977" t="n">
        <v>10.8</v>
      </c>
      <c r="E770" s="978" t="inlineStr">
        <is>
          <t>Yes</t>
        </is>
      </c>
      <c r="F770" s="979" t="inlineStr">
        <is>
          <t>Comfort where you need it most, all day and all night. The Barely Zero Brief's innovative design &amp; highly elastic construction adapts to your body &amp; its changes over time due to natural weight fluctuation, pregnancy, &amp; maternity. Free yourself from traditional underwear today, with Barely Zero . Bundle includes two briefs in the colors of your choice.</t>
        </is>
      </c>
      <c r="G770" s="980" t="inlineStr">
        <is>
          <t>• Worry-free sizing: Your Size is The Size! Barely Zero is the only brief that adapts to you – an easy choice when you're shopping online! • Soft. Skin-friendly. Breathable. Moisture-wicking. Barely Zero's innovative CloudFit¬© fabric is highly elastic for a close, comfortable fit and no bunching or chafing. 100% cotton lining for extra health and comfort. • Versatile aesthetic that allows for matching with many outfits or occasions, and subtly tailored to have virtually no lines, even under tight clothing!</t>
        </is>
      </c>
      <c r="H770" s="981" t="inlineStr">
        <is>
          <t>68% CloudFit¬© nylon, 32% Spandex; Lining: 100% cotton • T o preserve and lengthen its wear-life, we strongly recommend handwashing your Barely Zero. D issolve a gentle detergent in cold water (no warmer than 86 °F /30 °C ) and fully immerse the underwear. Gently press/knead it, then rinse (allow to soak no longer than 5 minutes). H ang or lay flat to dry in a cool, shaded place. If you choose to use a washing machine, please use a laundry bag</t>
        </is>
      </c>
      <c r="I770" s="982" t="inlineStr">
        <is>
          <t>Bundle Collection, Categeory_Underwear, Category_Lingerie, Category_Lingerie/Brief, Category_Lingerie/Brief/Low Waist, Category_Lingerie/Brief/Mid Waist, Category_Lingerie/Fayewong, Category_Underwear, Category_Underwear/Bottoms, Category_Underwear/Bottoms/Panties, Category_Underwear/Bottoms/Panties/Low Waist, Category_Underwear/Bottoms/Panties/Mid Waist, Collection_Barely Zero, Collection_Barely Zero/Underwear, HR-CX</t>
        </is>
      </c>
      <c r="J770" s="983" t="inlineStr">
        <is>
          <t>barely-zero-your-size-is-the-size-brief-bundle</t>
        </is>
      </c>
    </row>
    <row r="771" ht="70" customHeight="1" s="229">
      <c r="A771" s="880" t="inlineStr">
        <is>
          <t>Barely Zero Wireless Bra 1.0</t>
        </is>
      </c>
      <c r="B771" s="881" t="inlineStr">
        <is>
          <t>Underwear</t>
        </is>
      </c>
      <c r="C771" s="882" t="n">
        <v>35</v>
      </c>
      <c r="D771" s="882" t="n">
        <v>24.5</v>
      </c>
      <c r="E771" s="937" t="inlineStr">
        <is>
          <t>Yes</t>
        </is>
      </c>
      <c r="F771" s="883" t="inlineStr">
        <is>
          <t>Supportive enough for anywhere your day takes you. Comfortable enough that you won't feel like you need to change when you get home. The Barely Zero Bra's innovative design &amp; highly elastic construction adapts to your body &amp; its changes over time due to natural weight fluctuation, pregnancy, &amp; maternity. This item is final sale and cannot be returned or exchanged .</t>
        </is>
      </c>
      <c r="G771" s="884" t="inlineStr">
        <is>
          <t>• Worry-free sizing: Your Size is The Size! Barely Zero is the only bra that adapts to you – an easy choice when you're shopping online! • Free your body: Barely Zero's innovative CloudFit¬© fabric is soft, breathable, moisture-wicking, &amp; highly elastic for a close, comfortable fit and all-day comfort. • Versatile aesthetic that allows for matching with many outfits or occasions. • Removable teardrop-shaped chest pad. • Subtly tailored to show virtually no lines, even under tight clothing - yet doesn't chafe or dig in! • Comfortably fits a wide range of bra sizes - the ultimate bra for nursing, fluctuating sizes, and easy gifting! Please see the size guide for more detailed sizing guidance.</t>
        </is>
      </c>
      <c r="H771" s="885" t="inlineStr">
        <is>
          <t>68% CloudFit¬© nylon, 32% Spandex • T o preserve and lengthen its wear-life, we strongly recommend handwashing your Barely Zero. D issolve a gentle detergent in cold water (no warmer than 86 °F /30 °C ) and fully immerse the underwear. Gently press/knead it, then rinse (allow to soak no longer than 5 minutes). H ang or lay flat to dry in a cool, shaded place. If you choose to use a washing machine, please use a laundry bag</t>
        </is>
      </c>
      <c r="I771" s="886" t="inlineStr">
        <is>
          <t>2022 Title Update, 22 Spring Sale, BZ Classic Bra, Categeory_Underwear, Category_Active, Category_Active/Sport Bra &amp; Top, Category_Bras/Everyday, Category_Bras/Medium Support, Category_Lingerie, Category_Lingerie/Fayewong, Category_Lingerie/Wireless Bra, Category_Underwear, Category_Underwear/Tops, Category_Underwear/Tops/Wireless Bra, Category_Underwear/Tops/Wireless Bra/Seamless, Collection_Barely Zero, Collection_Barely Zero/Bras, Cup_A_C, Cup_B_D, hide-bis, lingerie, no-returns, Sale, Spring Palette</t>
        </is>
      </c>
      <c r="J771" s="887" t="inlineStr">
        <is>
          <t>barely-zero-wireless-bra-v1</t>
        </is>
      </c>
    </row>
    <row r="772" ht="56" customHeight="1" s="229">
      <c r="A772" s="888" t="inlineStr">
        <is>
          <t>Pure Comfort Turkish Cotton High Waist Brief</t>
        </is>
      </c>
      <c r="B772" s="889" t="inlineStr">
        <is>
          <t>Underwear</t>
        </is>
      </c>
      <c r="C772" s="890" t="n">
        <v>18</v>
      </c>
      <c r="D772" s="890" t="n">
        <v>12.6</v>
      </c>
      <c r="E772" s="985" t="inlineStr">
        <is>
          <t>Yes</t>
        </is>
      </c>
      <c r="F772" s="891" t="inlineStr">
        <is>
          <t>From our Signature Pure Comfort Collection , the Turkish Cotton High Waist Brief utilizes soft, breathable Turkish cotton to create an extra smooth, comfortable stretch fit for everyday wear. Designed for a healthy, breathable, and confident experience.</t>
        </is>
      </c>
      <c r="G772" s="892" t="inlineStr">
        <is>
          <t>• High-quality Spandex increases elasticity and fits more closely, more resistant to wear • Made from Turkish cotton for breathability • High waist sits just below the belly button • Seamless high-rise silhouette for added coverage</t>
        </is>
      </c>
      <c r="H772" s="893" t="inlineStr">
        <is>
          <t>94.6% Turkish Cotton 5.4% Spandex • 100% cotton gusset • Care instructions: Machine wash on gentle cycle, tumble dry on low heat</t>
        </is>
      </c>
      <c r="I772" s="894" t="inlineStr">
        <is>
          <t>Category_Lingerie, Category_Lingerie/Brief, Category_Lingerie/Brief/High Waist, Category_Underwear, Category_Underwear/Bottoms, Category_Underwear/Bottoms/Panties, Category_Underwear/Bottoms/Panties/High Waist, Collection_Pure Comfort, color-mauve-chalk, color-navy, color-warm-olive, Fabric_Lingerie/Turkish Cotton, Fabric_Underwear/Cotton, HR-CX, no-returns, over-10</t>
        </is>
      </c>
      <c r="J772" s="895" t="inlineStr">
        <is>
          <t>pure-comfort-turkish-cotton-high-waist-brief</t>
        </is>
      </c>
    </row>
    <row r="773" ht="84" customHeight="1" s="229">
      <c r="A773" s="880" t="inlineStr">
        <is>
          <t>Twin Cross Wide Strap Plunge Contour Bra</t>
        </is>
      </c>
      <c r="B773" s="881" t="inlineStr">
        <is>
          <t>Underwear</t>
        </is>
      </c>
      <c r="C773" s="882" t="n">
        <v>78</v>
      </c>
      <c r="D773" s="882" t="n">
        <v>39</v>
      </c>
      <c r="E773" s="937" t="inlineStr">
        <is>
          <t>Yes</t>
        </is>
      </c>
      <c r="F773" s="883" t="inlineStr">
        <is>
          <t>This Twin Cross Collection bra provides generous coverage and a cross-section connected to the shoulder strap for added support and comfort. Constructed with high-quality Italian import fabric with memory foam cups designed using the Japanese Patent Cross technique adapt to your shape for a natural configuration and personalized fit - it would be difficult to find a more luxurious undergarment. This item is final sale and cannot be returned or exchanged .</t>
        </is>
      </c>
      <c r="G773" s="884" t="inlineStr">
        <is>
          <t>• Key-hole design for added ventilation • Wireless, with a smooth silhouette for a seamless look under clothing • Adjustable wide straps for additional support and minimal pressure • Suitable for B-C cup sizes</t>
        </is>
      </c>
      <c r="H773" s="885" t="inlineStr">
        <is>
          <t>69% Nylon; 31% Spandex • Outer Lining: 78% Nylon; 22% Spandex • Inner Lining: 74% Polyester; 26% Spandex • Care instructions: Machine wash on gentle cycle or hand wash in cold water; lay flat to dry</t>
        </is>
      </c>
      <c r="I773" s="886" t="inlineStr">
        <is>
          <t>22 Spring Sale, 22FW 50OFF, Band + Cup Bra, Category_Bras/High Support, Category_Lingerie, Category_Lingerie/Wireless Bra, Category_Lingerie/Wireless Bra/Seamless, Category_Lingerie/Wireless Bra/Soft-Cup, Category_Underwear, Category_Underwear/Tops, Category_Underwear/Tops/Wireless Bra, Category_Underwear/Tops/Wireless Bra/Demi, Category_Underwear/Tops/Wireless Bra/Push-Up, Category_Underwear/Tops/Wireless Bra/Seamless, Category_Underwear/Tops/Wireless Bra/Soft-Cup, Collection_November Sale, Collection_Twin Cross, color-coral, color-ivory, color-macadamia, color-soft-pink, Cup_B_D, Cup_C_Plus, hide-bis, Lingerie/Wireless Bras/Plunge, no-returns, over-10, Sale</t>
        </is>
      </c>
      <c r="J773" s="887" t="inlineStr">
        <is>
          <t>twin-cross-wide-strap-plunge-contour-bra</t>
        </is>
      </c>
    </row>
    <row r="774" ht="112" customHeight="1" s="229">
      <c r="A774" s="888" t="inlineStr">
        <is>
          <t>Twin Cross Plunge Contour Bra</t>
        </is>
      </c>
      <c r="B774" s="889" t="inlineStr">
        <is>
          <t>Underwear</t>
        </is>
      </c>
      <c r="C774" s="890" t="n">
        <v>68</v>
      </c>
      <c r="D774" s="890" t="n">
        <v>47.6</v>
      </c>
      <c r="E774" s="985" t="inlineStr">
        <is>
          <t>Yes</t>
        </is>
      </c>
      <c r="F774" s="891" t="inlineStr">
        <is>
          <t>A staple piece for any wardrobe. From our Twin Cross Collection , the Cross Front Contour Plunge Bra is the essence of long-lasting comfort for everyday use. Constructed with high-quality Italian materials, this bra features a contoured memory foam cup designed using the Japanese Patent Cross technique to help adapt to your shape for a natural configuration and personalized fit. With the added key-hole style feature for breathability, this must-have bra is practically the only one you'll ever want to wear again. This item is final sale and cannot be returned or exchanged .</t>
        </is>
      </c>
      <c r="G774" s="892" t="inlineStr">
        <is>
          <t>• Fabric is lightweight, with a smooth texture with a subtle gloss • Adjustable narrow straps, with steel-free rings for additional comfort • Smooth silhouette for a seamless look under clothing • Designed for moderate coverage for B-D cup sizes</t>
        </is>
      </c>
      <c r="H774" s="893" t="inlineStr">
        <is>
          <t>69% Nylon; 31% Spandex • Outer Lining: 78% Nylon; 22% Spandex • Inner Lining: 74% Polyester; 26% Spandex • Care instructions: Machine wash on gentle cycle or hand wash in cold water; lay flat to dry</t>
        </is>
      </c>
      <c r="I774" s="894" t="inlineStr">
        <is>
          <t>22 Spring Sale, Band + Cup Bra, Category_Bras/High Support, Category_Lingerie, Category_Lingerie/Wireless Bra, Category_Lingerie/Wireless Bra/Soft-Cup, Category_Underwear, Category_Underwear/Tops, Category_Underwear/Tops/Wireless Bra, Category_Underwear/Tops/Wireless Bra/Demi, Category_Underwear/Tops/Wireless Bra/Push-Up, Category_Underwear/Tops/Wireless Bra/Soft-Cup, Collection_November Sale, Collection_Twin Cross, color-coral, color-ivory, color-macadamia, color-soft-pink, Cup_B_D, Cup_C_Plus, hide-bis, Lingerie/Wireless Bras/Plunge, no-returns, over-10, Sale</t>
        </is>
      </c>
      <c r="J774" s="895" t="inlineStr">
        <is>
          <t>twin-cross-plunge-contour-bra</t>
        </is>
      </c>
    </row>
    <row r="775" ht="84" customHeight="1" s="229">
      <c r="A775" s="880" t="inlineStr">
        <is>
          <t>Pure Beauty Matte Mesh 3/4 Cup T-Shirt Bra</t>
        </is>
      </c>
      <c r="B775" s="881" t="inlineStr">
        <is>
          <t>Underwear</t>
        </is>
      </c>
      <c r="C775" s="882" t="n">
        <v>58</v>
      </c>
      <c r="D775" s="882" t="n">
        <v>40.6</v>
      </c>
      <c r="E775" s="937" t="inlineStr">
        <is>
          <t>Yes</t>
        </is>
      </c>
      <c r="F775" s="883" t="inlineStr">
        <is>
          <t>Showcase your natural beauty with the Pure Beauty Matte Mesh T-Shirt Bra. The deep plunge neckline with seamed cups provides great lift and enhances your natural shape. This Pure Beauty Collection bra's soft lines and simple silhouette make it an elegant choice without showing any seams. Made with LYCRA¬Æ fiber to enhance comfort and retain its form and high-quality mesh fabric which gives it a soft texture.</t>
        </is>
      </c>
      <c r="G775" s="884" t="inlineStr">
        <is>
          <t>• Comfortable shaping, a nice option for a bustier chest • Fixed padding and inner structure for better support • Clean, smooth look, great choice under a t-shirt • Adjustable and convertible straps • Suitable for A-D cup sizes</t>
        </is>
      </c>
      <c r="H775" s="885" t="inlineStr">
        <is>
          <t>58% Nylon, 42% LYCRA¬Æ fiber a mixture of smooth and matte fabrics • Mesh Lining: 72.4%, Nylon 27.6% LYCRA¬Æ fiber ; high quality mesh smooth and highly elastic • Inner Lining: 71.5%, Nylon 28.5% LYCRA¬Æ fiber • Care instructions: Machine wash on gentle cycle or hand wash in cold water, lay flat to dry</t>
        </is>
      </c>
      <c r="I775" s="886" t="inlineStr">
        <is>
          <t>22 Spring Sale, 3/4 cup, Band + Cup Bra, Category_Bras/Light Support, Category_Lingerie, Category_Lingerie/Wireless Bra, Category_Lingerie/Wireless Bra/Soft-Cup, Category_Underwear, Category_Underwear/Tops, Category_Underwear/Tops/Wireless Bra, Collection_Pure Beauty, color-lilac-ash, color-olive, Cup_B_D, Cup_C_Plus, Fabric_Lingerie/Lycra, hide-bis, Lingerie/Wireless Bras/Plunge, no-returns, over-10, Plunge, Sale</t>
        </is>
      </c>
      <c r="J775" s="887" t="inlineStr">
        <is>
          <t>pure-beauty-matte-mesh-3-4-cup-t-shirt-bra</t>
        </is>
      </c>
    </row>
    <row r="776" ht="56" customHeight="1" s="229">
      <c r="A776" s="888" t="inlineStr">
        <is>
          <t>Twin Cross High Waist Brief</t>
        </is>
      </c>
      <c r="B776" s="889" t="inlineStr">
        <is>
          <t>Underwear</t>
        </is>
      </c>
      <c r="C776" s="890" t="n">
        <v>25</v>
      </c>
      <c r="D776" s="890" t="n">
        <v>12.5</v>
      </c>
      <c r="E776" s="985" t="inlineStr">
        <is>
          <t>Yes</t>
        </is>
      </c>
      <c r="F776" s="891" t="inlineStr">
        <is>
          <t>Classic elegance meets modern comfort for a style that is feminine and stylish. The Twin Cross Collection High-Waist Brief has a chic cross design, excellent elasticity for durable wear, and is finished with cotton lining. This item is final sale and cannot be returned or exchanged.</t>
        </is>
      </c>
      <c r="G776" s="892" t="inlineStr">
        <is>
          <t>• Imported Italian fabric construction • Excellent elasticity for durable wear • High rise, full coverage</t>
        </is>
      </c>
      <c r="H776" s="893" t="inlineStr">
        <is>
          <t>78% Nylon 22% Spandex • Lining: 69% Nylon 31% Spandex • 100% cotton gusset • Imported fabric • Care instructions: Machine wash on gentle cycle or hand wash; lay flat to dry or line dry</t>
        </is>
      </c>
      <c r="I776" s="894" t="inlineStr">
        <is>
          <t>22 Spring Sale, 22FW 50OFF, Category_Lingerie, Category_Lingerie/Brief, Category_Lingerie/Brief/High Waist, Category_Lingerie/Brief/Mid Waist, Category_Underwear, Category_Underwear/Bottoms, Category_Underwear/Bottoms/Panties, Category_Underwear/Bottoms/Panties/High Waist, Category_Underwear/Bottoms/Panties/Mid Waist, Collection_November Sale, Collection_Twin Cross, color-coral, color-ivory, color-macadamia, color-soft-pink, Feature_Casuals, Feature_Essentials, Feature_New Arrival, hide-bis, HR-CX, no-returns, over-10, Pre-adjustment Size Brief, Sale, Size_L, Size_M, Size_S, Size_XL, Size_XS, Size_XXL</t>
        </is>
      </c>
      <c r="J776" s="895" t="inlineStr">
        <is>
          <t>twin-cross-high-waist-brief</t>
        </is>
      </c>
    </row>
    <row r="777" ht="70" customHeight="1" s="229">
      <c r="A777" s="880" t="inlineStr">
        <is>
          <t>Pure Comfort Turkish Cotton 3/4 Cup Plunge Bra</t>
        </is>
      </c>
      <c r="B777" s="881" t="inlineStr">
        <is>
          <t>Underwear</t>
        </is>
      </c>
      <c r="C777" s="882" t="n">
        <v>48</v>
      </c>
      <c r="D777" s="882" t="n">
        <v>33.6</v>
      </c>
      <c r="E777" s="937" t="inlineStr">
        <is>
          <t>Yes</t>
        </is>
      </c>
      <c r="F777" s="883" t="inlineStr">
        <is>
          <t>The Turkish Cotton Wireless Bra from our Pure Comfort Collection is enhanced with soft, breathable Supima¬Æ Cotton blended with Austrian TENCEL‚Ñ¢ Modal to create an extra smooth, comfortable stretch fit for everyday wear. Its deep V-neck shape and memory foam cups form to your body, keeping you secure throughout your day.</t>
        </is>
      </c>
      <c r="G777" s="884" t="inlineStr">
        <is>
          <t>• Made with and enhanced blend of imported Turkish natural cotton and Supima¬Æ Cotton to enhance breathability, and Austrian TENCEL‚Ñ¢ Modal for extra softness and a seamless fit • Light boning at side seams for structure and shape • Smooth cup line and v-neckline for a seamless look in low-cut tops or t-shirts • Suitable for A-D/E cup sizes</t>
        </is>
      </c>
      <c r="H777" s="885" t="inlineStr">
        <is>
          <t>94.6% Turkish Cotton 5.4% Spandex • Lining: 44.2% Supima¬Æ Cotton, 40.7% TENCEL‚Ñ¢ Modal, 15% Spandex • Cup Material: 100% Cotton • Imported Fabric; Turkish Cotton and Austria Modal • Care instructions: Machine wash on gentle cycle in cold water, line dry</t>
        </is>
      </c>
      <c r="I777" s="886" t="inlineStr">
        <is>
          <t>22 Spring Sale, Category_Bras/Cotton, Category_Lingerie, Category_Lingerie/Wireless Bra, Category_Lingerie/Wireless Bra/Seamless, Category_Underwear, Category_Underwear/Tops, Category_Underwear/Tops/Wireless Bra, Category_Underwear/Tops/Wireless Bra/Seamless, Collection_Pure Comfort, color-mauve-chalk, color-navy, color-warm-olive, Cup_A_C, Cup_B_D, Cup_C_Plus, Fabric_Lingerie/Turkish Cotton, Fabric_Underwear/Cotton, Feature_New Arrival, no-returns, Size_L, Size_M, Size_S, Size_XL, Size_XS, Size_XXL</t>
        </is>
      </c>
      <c r="J777" s="887" t="inlineStr">
        <is>
          <t>pure-comfort-turkish-cotton-3-4-cup-plunge-bra</t>
        </is>
      </c>
    </row>
    <row r="778" ht="56" customHeight="1" s="229">
      <c r="A778" s="928" t="inlineStr">
        <is>
          <t>Boundless Knitted Wide Leg Capris Pants</t>
        </is>
      </c>
      <c r="B778" s="929" t="inlineStr">
        <is>
          <t>Loungewear</t>
        </is>
      </c>
      <c r="C778" s="930" t="n">
        <v>108</v>
      </c>
      <c r="D778" s="930" t="n">
        <v>75.59999999999999</v>
      </c>
      <c r="E778" s="936" t="inlineStr">
        <is>
          <t>Yes</t>
        </is>
      </c>
      <c r="F778" s="931" t="inlineStr">
        <is>
          <t>Our Boundless Collection Wide-Leg Capri are knitted instead of woven for thicker, cushioned comfort and a straight look. A great piece to keep you warm and cozy, their drop eight-point design is a loose fit, lays flat, and enhanced with a 4-way stretch for flexibility and comfort. You'll want to wear every single day!</t>
        </is>
      </c>
      <c r="G778" s="932" t="inlineStr">
        <is>
          <t>• 4-way stretchy; breathable and comfortable • Waistband stitching, eight-point design, stops above ankle • Easy to pull on, with functional side pockets • Designed for indoor and outdoor wear</t>
        </is>
      </c>
      <c r="H778" s="933" t="inlineStr">
        <is>
          <t>63% Viscose; 32% Nylon; 5% Spandex • Care instructions: Machine wash on gentle cycle, line dry or tumble dry on low heat</t>
        </is>
      </c>
      <c r="I778" s="934" t="inlineStr">
        <is>
          <t>22 Spring Sale, Category_Lounge, Category_Lounge/Bottoms, Category_Lounge/Pants, Collection_Boundless, color-cascade, color-white, Fabric_Lounge/Kintwear, Feature_Casuals, Feature_Essentials, Feature_New Arrival, Final Sale, Function_Lounge/Essential, Function_Lounge/Essential/Pants, no-returns, over-10, Size_L, Size_M, Size_S, Size_XL, Size_XS, Size_XXL</t>
        </is>
      </c>
      <c r="J778" s="935" t="inlineStr">
        <is>
          <t>boundless-knitted-wide-leg-capris-pants-2022</t>
        </is>
      </c>
    </row>
    <row r="779" ht="56" customHeight="1" s="229">
      <c r="A779" s="888" t="inlineStr">
        <is>
          <t>Pure Beauty Ribbed TENCEL‚Ñ¢ Long Triangle Bra</t>
        </is>
      </c>
      <c r="B779" s="889" t="inlineStr">
        <is>
          <t>Underwear</t>
        </is>
      </c>
      <c r="C779" s="890" t="n">
        <v>48</v>
      </c>
      <c r="D779" s="890" t="n">
        <v>33.6</v>
      </c>
      <c r="E779" s="985" t="inlineStr">
        <is>
          <t>Yes</t>
        </is>
      </c>
      <c r="F779" s="891" t="inlineStr">
        <is>
          <t>This Pure Beauty Collection Ribbed Long-Triangle Bra is luxuriously soft, made from breathable Supima¬Æ Cotton and TENCEL‚Ñ¢ Modal for an extra comfortable fit for everyday wear. Designed for maximum coverage with form-fitting memory foam cups, this bra offers support and an effortless style.</t>
        </is>
      </c>
      <c r="G779" s="892" t="inlineStr">
        <is>
          <t>• Outer lining made with TENCEL‚Ñ¢ Modal and Spandex, delicately ribbed for structure and support • Inner lining made with cotton and Spandex, breathable and soft on the skin • Narrow adjustable straps, removable inserts, and non-adjustable band • Designed for A-D cups</t>
        </is>
      </c>
      <c r="H779" s="893" t="inlineStr">
        <is>
          <t>87% TENCEL‚Ñ¢ Modal 13% Spandex • Lining: 91% Cotton 9% Spandex • Care instructions: Machine wash on gentle cycle or hand wash in cold water, lay flat to dry</t>
        </is>
      </c>
      <c r="I779" s="894" t="inlineStr">
        <is>
          <t>22 Spring Sale, Category_Bras/Light Support, Category_Lingerie, Category_Lingerie/Wireless Bra, Category_Lingerie/Wireless Bra/Triangle, Category_Underwear, Category_Underwear/Tops, Category_Underwear/Tops/Wireless Bra, Category_Underwear/Tops/Wireless Bra/Triangle, Collection_November Sale, Collection_Pure Beauty, color-lavender, color-light-green, color-orange, Cup_A_C, Cup_B_D, Fabric_Lingerie/Tencel, Feature_Casuals, Feature_Essentials, Feature_New Arrival, no-returns, over-10, Shop All, Size_L, Size_M, Size_S, Size_XL, Size_XS, Size_XXL</t>
        </is>
      </c>
      <c r="J779" s="895" t="inlineStr">
        <is>
          <t>pure-beauty-ribbed-tencel-long-triangle-bra</t>
        </is>
      </c>
    </row>
    <row r="780" ht="42" customHeight="1" s="229">
      <c r="A780" s="880" t="inlineStr">
        <is>
          <t>Pure Comfort Ribbed Low Waist Cotton Brief</t>
        </is>
      </c>
      <c r="B780" s="881" t="inlineStr">
        <is>
          <t>Underwear</t>
        </is>
      </c>
      <c r="C780" s="882" t="n">
        <v>18</v>
      </c>
      <c r="D780" s="882" t="n">
        <v>12.6</v>
      </c>
      <c r="E780" s="937" t="inlineStr">
        <is>
          <t>Yes</t>
        </is>
      </c>
      <c r="F780" s="883" t="inlineStr">
        <is>
          <t>Our Pure Comfort Collection Ribbed Low Waist Cotton Brief is designed with a simple low waist fit and a side cross design to enhance the natural curve of the hip. This item is final sale and cannot be returned or exchanged .</t>
        </is>
      </c>
      <c r="G780" s="884" t="inlineStr">
        <is>
          <t>• Made from a blend of Supima¬Æ cotton &amp; Spandex - soft on the skin, breathable, and elastic for a better fit. • Features chic side cross design and delicate ribbing for added texture. • Low-waist cut, moderate coverage. 100% cotton lining.</t>
        </is>
      </c>
      <c r="H780" s="885" t="inlineStr">
        <is>
          <t>86% Supima¬Æ Cotton, 14% Spandex; 100% cotton gusset. • Care instructions: Machine wash on gentle cycle, lay flat to dry or tumble dry on low heat</t>
        </is>
      </c>
      <c r="I780" s="886" t="inlineStr">
        <is>
          <t>2022 Title Update, 22 Spring Sale, Category_Lingerie, Category_Lingerie/Brief, Category_Lingerie/Brief/Low Waist, Category_Underwear, Category_Underwear/Bottoms, Category_Underwear/Bottoms/Panties, Category_Underwear/Bottoms/Panties/Low Waist, Collection_November Sale, Collection_Pure Comfort, color-avocado, color-coral, color-pink-nectar, Fabric_Lingerie/Supima, Fabric_Underwear/Cotton, Feature_Casuals, Feature_Essentials, Feature_New Arrival, hide-bis, HR-CX, no-returns, over-10, Pre-adjustment Size Brief, Sale, Size_L, Size_M, Size_S, Size_XL, Size_XS, Size_XXL</t>
        </is>
      </c>
      <c r="J780" s="887" t="inlineStr">
        <is>
          <t>pure-comfort-ribbed-low-waist-cotton-brief</t>
        </is>
      </c>
    </row>
    <row r="781" ht="84" customHeight="1" s="229">
      <c r="A781" s="888" t="inlineStr">
        <is>
          <t>Pure Comfort Ribbed Triangle Bra (draft)</t>
        </is>
      </c>
      <c r="B781" s="889" t="inlineStr">
        <is>
          <t>Underwear</t>
        </is>
      </c>
      <c r="C781" s="890" t="n">
        <v>38</v>
      </c>
      <c r="D781" s="890" t="n">
        <v>38</v>
      </c>
      <c r="E781" s="889" t="inlineStr"/>
      <c r="F781" s="891" t="inlineStr">
        <is>
          <t>An effortless and modern style, this Ribbed Triangle Bra from our Pure Comfort Collection is luxuriously soft, and constructed from breathable Supima¬Æ Cotton blended with Austrian TENCEL‚Ñ¢ Modal to create an extra comfortable stretch fit for everyday wear. Memory foam cups that form to your body and a plunge feature provide support and security in every moment. An effortlessly modern style, this bra includes removable inserts to help you customize your support and fit.</t>
        </is>
      </c>
      <c r="G781" s="892" t="inlineStr">
        <is>
          <t>• French-style triangle cups with cross design for support • Boning on side seams for added structure • Two-ply construction for added support &amp; coverage • Memory foam cups with removable inserts, adjustable straps and buckle • Designed to support A-C cup sizes</t>
        </is>
      </c>
      <c r="H781" s="893" t="inlineStr">
        <is>
          <t>86% Supima¬Æ Cotton, 14% Spandex • Lining: 44% Supima¬Æ Cotton, 56% TENCEL‚Ñ¢ Modal • Imported Fabric, Austria Modal • Care instructions: Machine wash on gentle cycle or hand wash in cold water, lay flat to dry</t>
        </is>
      </c>
      <c r="I781" s="894" t="inlineStr">
        <is>
          <t>2022 Title Update, Category_Bras/Cotton, Category_Bras/Everyday, Category_Bras/Light Support, Category_Lingerie, Category_Lingerie/Wireless Bra, Category_Lingerie/Wireless Bra/Triangle, Category_Underwear, Category_Underwear/Tops, Category_Underwear/Tops/Wireless Bra, Category_Underwear/Tops/Wireless Bra/Triangle, Collection_Pure Comfort, color-avocado, color-coral, color-pink-nectar, Cup_A_C, Fabric_Lingerie/Supima, over-10, Pre-adjustment Small Size Bra</t>
        </is>
      </c>
      <c r="J781" s="895" t="inlineStr">
        <is>
          <t>pure-comfort-ribbed-triangle-bra-draft</t>
        </is>
      </c>
    </row>
    <row r="782" ht="70" customHeight="1" s="229">
      <c r="A782" s="880" t="inlineStr">
        <is>
          <t>Nude Striped Mesh Mid Waist Brief</t>
        </is>
      </c>
      <c r="B782" s="881" t="inlineStr">
        <is>
          <t>Underwear</t>
        </is>
      </c>
      <c r="C782" s="882" t="n">
        <v>25</v>
      </c>
      <c r="D782" s="882" t="n">
        <v>12.5</v>
      </c>
      <c r="E782" s="937" t="inlineStr">
        <is>
          <t>Yes</t>
        </is>
      </c>
      <c r="F782" s="883" t="inlineStr">
        <is>
          <t>Our Nude Collection introduces this elegant striped mesh mid-waist brief, creating a feminine look with a simple v-shaped geometric line for superior fit and comfort. With its rich elastic and lightweight soft texture, it makes for a staple item in your wardrobe. This item is final sale and cannot be returned or exchanged .</t>
        </is>
      </c>
      <c r="G782" s="884" t="inlineStr">
        <is>
          <t>• Fine, extra soft four-way stretch material • Striped texture for a cute look • Mid-waist, a comfortable daily choice</t>
        </is>
      </c>
      <c r="H782" s="885" t="inlineStr">
        <is>
          <t>Outer: 78% Nylon 22% Spandex • Lining: 78% Nylon 22% Spandex • 100% Cotton gusset; for breathability • Care instructions: Machine wash on gentle cycle, lay flat to dry or tumble dry on low heat</t>
        </is>
      </c>
      <c r="I782" s="886" t="inlineStr">
        <is>
          <t>22 Spring Sale, 22FW 50OFF, Category_Lingerie, Category_Lingerie/Brief, Category_Lingerie/Brief/Mid Waist, Category_Underwear, Category_Underwear/Bottoms, Category_Underwear/Bottoms/Panties, Category_Underwear/Bottoms/Panties/Mid Waist, Collection_Nude, color-coconut-white, color-ecru, color-tanned-orange, Fabric_Lingerie/Striped Mesh, Feature_Casuals, Feature_Essentials, Feature_New Arrival, hide-bis, HR-CX, no-returns, over-10, Pre-adjustment Size Brief, Sale, Size_L, Size_M, Size_S, Size_XL, Size_XS, Size_XXL</t>
        </is>
      </c>
      <c r="J782" s="887" t="inlineStr">
        <is>
          <t>nude-striped-mesh-mid-waist-brief</t>
        </is>
      </c>
    </row>
    <row r="783" ht="42" customHeight="1" s="229">
      <c r="A783" s="888" t="inlineStr">
        <is>
          <t>Pure Comfort Supima¬Æ Cotton Mid Waist Brief</t>
        </is>
      </c>
      <c r="B783" s="889" t="inlineStr">
        <is>
          <t>Underwear</t>
        </is>
      </c>
      <c r="C783" s="890" t="n">
        <v>12</v>
      </c>
      <c r="D783" s="890" t="n">
        <v>8.4</v>
      </c>
      <c r="E783" s="985" t="inlineStr">
        <is>
          <t>Yes</t>
        </is>
      </c>
      <c r="F783" s="891" t="inlineStr">
        <is>
          <t>From our Pure Comfort Collection : this mid-waist brief is made from a premium blend of American Supima¬Æ Cotton &amp; Austrian TENCEL‚Ñ¢ Modal for pure all-day comfort.</t>
        </is>
      </c>
      <c r="G783" s="892" t="inlineStr">
        <is>
          <t>• The superior absorption and breathability of American Supima¬Æ Cotton meet the softness and lightness of TENCEL‚Ñ¢ Modal for ultimate comfort. • Classic fit, sits at mid-waist with moderate back coverage. • Low cut leg and soft trim details. 100% cotton lining.</t>
        </is>
      </c>
      <c r="H783" s="893" t="inlineStr">
        <is>
          <t>46% TENCEL‚Ñ¢ Modal, 45% Supima¬Æ Cotton, 9% Spandex; 100% cotton gusset. • Care instructions: Machine wash on gentle cycle in cold water, line dry</t>
        </is>
      </c>
      <c r="I783" s="894" t="inlineStr">
        <is>
          <t>Category_Lingerie, Category_Lingerie/Brief, Category_Lingerie/Brief/Mid Waist, Category_Underwear, Category_Underwear/Bottoms, Category_Underwear/Bottoms/Panties, Category_Underwear/Bottoms/Panties/Mid Waist, Collection_November Sale, Collection_Pure Comfort, color-egret, color-rose, color-vivid, Fabric_Lingerie/Supima, Fabric_Lingerie/Tencel, Fabric_Underwear/Cotton, Fabric_Underwear/Tencel Modal, Feature_Casuals, Feature_Essentials, Feature_New Arrival, HR-CX, no-returns, over-10, Pre-adjustment Size Brief, Size_L, Size_M, Size_S, Size_XL, Size_XS, Size_XXL</t>
        </is>
      </c>
      <c r="J783" s="895" t="inlineStr">
        <is>
          <t>pure-comfort-supima-cotton-mid-waist-brief</t>
        </is>
      </c>
    </row>
    <row r="784" ht="70" customHeight="1" s="229">
      <c r="A784" s="880" t="inlineStr">
        <is>
          <t>Pure Comfort Soft Modal Triangle Bra 1.0</t>
        </is>
      </c>
      <c r="B784" s="881" t="inlineStr">
        <is>
          <t>Underwear</t>
        </is>
      </c>
      <c r="C784" s="882" t="n">
        <v>38</v>
      </c>
      <c r="D784" s="882" t="n">
        <v>22.8</v>
      </c>
      <c r="E784" s="937" t="inlineStr">
        <is>
          <t>Yes</t>
        </is>
      </c>
      <c r="F784" s="883" t="inlineStr">
        <is>
          <t>The bra trusted by over 2 million women! The original Soft Modal Triangle Bra from our Pure Comfort Collection features adjustable/removable straps, a breathable keyhole design, and an amazingly soft fabric blend - a must-have t-shirt bra for comfortable everyday wear. This item is FINAL SALE and cannot be returned or exchanged.</t>
        </is>
      </c>
      <c r="G784" s="884" t="inlineStr">
        <is>
          <t>• Customize your fit: straps are adjustable &amp; removable - it's easy to convert between traditional and crisscross styles! • Combines the best textures and properties of Supima¬Æ Cotton and TENCEL‚Ñ¢ Modal, with LYCRA¬Æ Spandex. • Suitable for A-C cup sizes. Removable padding for easy washing.</t>
        </is>
      </c>
      <c r="H784" s="885" t="inlineStr">
        <is>
          <t>46% TENCEL‚Ñ¢ Modal , 45% S upima¬Æ Cotton, 9% Spandex • Lining: 46% TENCEL‚Ñ¢ Modal, 45% S upima¬Æ Cotton, 9% Spandex • Imported Fabric: Austrian Modal • Care instructions: Machine wash on gentle cycle in cold water, lay flat to dry</t>
        </is>
      </c>
      <c r="I784" s="886" t="inlineStr">
        <is>
          <t>2022 Title Update, 2023 BTS Sale, 23 May Sale, Category_Bras/Cotton, Category_Bras/Everyday, Category_Bras/Medium Support, Category_Lingerie, Category_Lingerie/Wireless Bra, Category_Lingerie/Wireless Bra/Triangle, Category_Underwear, Category_Underwear/Tops, Category_Underwear/Tops/Wireless Bra, Category_Underwear/Tops/Wireless Bra/Triangle, Collection_Pure Comfort, color-avocado, color-navy, color-shell-pink, color-vivid, Cup_A_C, Fabric_Lingerie/Supima, Fabric_Lingerie/Tencel, Fabric_Underwear/Cotton, Feature_Casuals, Feature_Essentials, hide-bis, LBD23, no-returns, over-10, Pre-adjustment Small Size Bra, Sale, Shop All, Size_L, Size_M, Size_S, Size_XL, Size_XS, Size_XXL</t>
        </is>
      </c>
      <c r="J784" s="887" t="inlineStr">
        <is>
          <t>pure-comfort-soft-triangle-bra-v1</t>
        </is>
      </c>
    </row>
    <row r="785" ht="42" customHeight="1" s="229">
      <c r="A785" s="904" t="inlineStr">
        <is>
          <t>Voyage Jacquard Side Low Waist Bikini Bottom</t>
        </is>
      </c>
      <c r="B785" s="905" t="inlineStr">
        <is>
          <t>Active</t>
        </is>
      </c>
      <c r="C785" s="906" t="n">
        <v>38</v>
      </c>
      <c r="D785" s="906" t="n">
        <v>19</v>
      </c>
      <c r="E785" s="956" t="inlineStr">
        <is>
          <t>Yes</t>
        </is>
      </c>
      <c r="F785" s="907" t="inlineStr">
        <is>
          <t>With its low-cut waist and ruching at the sides, this bikini bottom will be a versatile poolside staple. Made with imported Italian Lycra XTRA LIFE‚Ñ¢ for a long-lasting fit. This item is final sale and cannot be returned or exchanged .</t>
        </is>
      </c>
      <c r="G785" s="908" t="inlineStr">
        <is>
          <t>• Lycra XTRA LIFE‚Ñ¢ Fiber resists degradation from chlorine water • Vintage jacquard design for added texture • Nice coverage, more secure</t>
        </is>
      </c>
      <c r="H785" s="909" t="inlineStr">
        <is>
          <t>80% Nylon 20%, Lycra XTRA LIFE‚Ñ¢ Fiber • Lining: 100% Nylon • Care instructions: Machine wash cold, line dry</t>
        </is>
      </c>
      <c r="I785" s="910" t="inlineStr">
        <is>
          <t>2023 BTS Sale, 22 Spring Sale, Active/Swimwear/Swim Bottoms, Activity_Active/Swim, Category_Active, Category_Active/Swimwear, Category_Active/Swimwear/Bottom, Collection_Voyage, color-baked-apple, color-mykonos-blue, color-sagebrush-green, Fabric_Active/Lycra, Feature_Casuals, Feature_Essentials, Feature_New Arrival, Final Sale, hide-bis, no-returns, over-10, Sale, Size_L, Size_M, Size_S, Size_XL, Size_XS, Size_XXL</t>
        </is>
      </c>
      <c r="J785" s="911" t="inlineStr">
        <is>
          <t>voyage-jacquard-side-low-waist-bikini-bottom</t>
        </is>
      </c>
    </row>
    <row r="786" ht="42" customHeight="1" s="229">
      <c r="A786" s="912" t="inlineStr">
        <is>
          <t>Voyage Ruched Side High Waist Bikini Bottom</t>
        </is>
      </c>
      <c r="B786" s="913" t="inlineStr">
        <is>
          <t>Active</t>
        </is>
      </c>
      <c r="C786" s="914" t="n">
        <v>38</v>
      </c>
      <c r="D786" s="914" t="n">
        <v>26.6</v>
      </c>
      <c r="E786" s="955" t="inlineStr">
        <is>
          <t>Yes</t>
        </is>
      </c>
      <c r="F786" s="915" t="inlineStr">
        <is>
          <t>Our vacation swim Voyage Collection has a built-in feel-good factor - this bikini bottom is begging to soak up the sun all season long. Features side ruching that smooths and slims the figure with an on-trend high waistline.</t>
        </is>
      </c>
      <c r="G786" s="916" t="inlineStr">
        <is>
          <t>• Made with Italian-imported recycled polyamide &amp; elastane • Lycra XTRA LIFE‚Ñ¢ Fiber: a long-lasting fit and resistant to degradation from chlorine water • Hollow stitching on the waist sides • Lined</t>
        </is>
      </c>
      <c r="H786" s="917" t="inlineStr">
        <is>
          <t>88% Nylon, 12% Lycra XTRA LIFE‚Ñ¢ Fiber • Lining: 100% Nylon • Care instructions: Machine wash cold; line dry</t>
        </is>
      </c>
      <c r="I786" s="918" t="inlineStr">
        <is>
          <t>Activity_Active/Swim, Category_Active, Category_Active/Swimwear, Collection_Voyage, color-dusty-rose, color-misty-gray, Fabric_Active/Lycra, no-returns</t>
        </is>
      </c>
      <c r="J786" s="919" t="inlineStr">
        <is>
          <t>voyage-ruched-side-high-waist-bikini-bottom</t>
        </is>
      </c>
    </row>
    <row r="787" ht="84" customHeight="1" s="229">
      <c r="A787" s="904" t="inlineStr">
        <is>
          <t>Voyage Ruched Side Triangle Bikini Top</t>
        </is>
      </c>
      <c r="B787" s="905" t="inlineStr">
        <is>
          <t>Active</t>
        </is>
      </c>
      <c r="C787" s="906" t="n">
        <v>58</v>
      </c>
      <c r="D787" s="906" t="n">
        <v>29</v>
      </c>
      <c r="E787" s="956" t="inlineStr">
        <is>
          <t>Yes</t>
        </is>
      </c>
      <c r="F787" s="907" t="inlineStr">
        <is>
          <t>Stand out at the poolside in this Triangle Bikini Top from our vacation swim Voyage Collection ! Made with imported Italian Lycra XTRA LIFE‚Ñ¢ for a long-lasting fit that will keep you looking great summer after summer. Complete with wide straps, this minimalist bralette bikini top has optional soft cups and is available in sizes running from S to XL. It's an elegant design that's sure to make a splash! This item is final sale and cannot be returned or exchanged .</t>
        </is>
      </c>
      <c r="G787" s="908" t="inlineStr">
        <is>
          <t>• Lycra XTRA LIFE‚Ñ¢ Fiber: a long-lasting fit that resists degradation from chlorine water • Vintage jacquard for added texture • Wider straps for comfort and support • Removable padded cups</t>
        </is>
      </c>
      <c r="H787" s="909" t="inlineStr">
        <is>
          <t>88% Nylon, 12% Lycra XTRA LIFE‚Ñ¢ Fiber • Lining: 100% Nylon • Care instructions: Machine wash cold, line dry</t>
        </is>
      </c>
      <c r="I787" s="910" t="inlineStr">
        <is>
          <t>22 Spring Sale, Active/Swimwear/Swim Tops, Activity_Active/Swim, Category_Active, Category_Active/Swimwear, Collection_Voyage, color-dusty-rose, color-misty-gray, Fabric_Active/Lycra, Final Sale, hide-bis, no-returns, over-10, Sale</t>
        </is>
      </c>
      <c r="J787" s="911" t="inlineStr">
        <is>
          <t>voyage-ruched-side-triangle-bikini-top</t>
        </is>
      </c>
    </row>
    <row r="788" ht="56" customHeight="1" s="229">
      <c r="A788" s="896" t="inlineStr">
        <is>
          <t>Self Silk Short Sleeve Sleep Shirt</t>
        </is>
      </c>
      <c r="B788" s="897" t="inlineStr">
        <is>
          <t>Loungewear</t>
        </is>
      </c>
      <c r="C788" s="898" t="n">
        <v>198</v>
      </c>
      <c r="D788" s="898" t="n">
        <v>99</v>
      </c>
      <c r="E788" s="957" t="inlineStr">
        <is>
          <t>Yes</t>
        </is>
      </c>
      <c r="F788" s="899" t="inlineStr">
        <is>
          <t>Perfect for staying in bed a bit longer or lounging around all weekend at home. Our Boundless Collection comfortable mulberry silk sleep shirts are easy like Sunday morning, with a soft feeling fit and feminine details that make them a perfect addition to your wardrobe.</t>
        </is>
      </c>
      <c r="G788" s="900" t="inlineStr">
        <is>
          <t>• Matte look, smooth texture • A classic short-sleeve sleepshirt, with a loose fit for comfort • V-neck collar, easy pullover, chic one-sided shirt pocket • Delicate details: small open hem for extra movement</t>
        </is>
      </c>
      <c r="H788" s="901" t="inlineStr">
        <is>
          <t>100% Mulberry Silk • Care instructions: Machine wash on gentle cycle or hand wash: lay flat to dry</t>
        </is>
      </c>
      <c r="I788" s="902" t="inlineStr">
        <is>
          <t>22 Spring Sale, Category_Lounge, Category_Lounge/Pajamas &amp; Robes, Category_Lounge/Pajamas &amp; Robes/Top, Category_Lounge/Top, Collection_Boundless, Collection_Self Silk, color-illusion-blue, color-pink-nectar, Fabric_Lounge/Mulberry Silk, Fabric_Lounge/Silk, Final Sale, Function_Lounge/Sleep, Function_Lounge/Sleep/Pajama, hide-bis, no-returns, over-10, Sale</t>
        </is>
      </c>
      <c r="J788" s="903" t="inlineStr">
        <is>
          <t>boundless-silk-short-sleeve-sleep-shirt</t>
        </is>
      </c>
    </row>
    <row r="789" ht="56" customHeight="1" s="229">
      <c r="A789" s="928" t="inlineStr">
        <is>
          <t>Boundless Twill Knitted Wide Leg Capri Pants</t>
        </is>
      </c>
      <c r="B789" s="929" t="inlineStr">
        <is>
          <t>Loungewear</t>
        </is>
      </c>
      <c r="C789" s="930" t="n">
        <v>118</v>
      </c>
      <c r="D789" s="930" t="n">
        <v>82.59999999999999</v>
      </c>
      <c r="E789" s="936" t="inlineStr">
        <is>
          <t>Yes</t>
        </is>
      </c>
      <c r="F789" s="931" t="inlineStr">
        <is>
          <t>Our Boundless Collection Twill-Knitted Capri Pants are knitted instead of woven for thicker, cushioned comfort and a straight look. A great piece to keep you warm and cozy, their drop eight-point design is a loose fit, lays flat, and allows for adequate stretch for flexibility and comfort.</t>
        </is>
      </c>
      <c r="G789" s="932" t="inlineStr">
        <is>
          <t>• Made with twill cotton, excellent for retaining heat • Waistband stitching, eight-point design, stops above ankle • Suitable for indoor and outdoor wear</t>
        </is>
      </c>
      <c r="H789" s="933" t="inlineStr">
        <is>
          <t>73% Cotton, 24% Polyester, 3% Spandex • Care instructions: Machine wash on gentle cycle in cold water, tumble dry on low heat or line dry</t>
        </is>
      </c>
      <c r="I789" s="934" t="inlineStr">
        <is>
          <t>Final Sale, no-returns, testing-size</t>
        </is>
      </c>
      <c r="J789" s="935" t="inlineStr">
        <is>
          <t>boundless-twill-knitted-wide-leg-capri-pants</t>
        </is>
      </c>
    </row>
    <row r="790" ht="42" customHeight="1" s="229">
      <c r="A790" s="888" t="inlineStr">
        <is>
          <t>Belle Lace Low Waist Brief</t>
        </is>
      </c>
      <c r="B790" s="889" t="inlineStr">
        <is>
          <t>Underwear</t>
        </is>
      </c>
      <c r="C790" s="890" t="n">
        <v>25</v>
      </c>
      <c r="D790" s="890" t="n">
        <v>17.5</v>
      </c>
      <c r="E790" s="985" t="inlineStr">
        <is>
          <t>Yes</t>
        </is>
      </c>
      <c r="F790" s="891" t="inlineStr">
        <is>
          <t>This sensual Belle Lace Collection lingerie is a luxuriously full-lace design, offering a stunning look with scalloped edging that accentuates your natural beauty.</t>
        </is>
      </c>
      <c r="G790" s="892" t="inlineStr">
        <is>
          <t>• High-quality soft mesh with 100% cotton lining for comfort. • Lace imported from Germany; fine detail, lays flat &amp; delicate on the skin. • Side cross-design for better fit &amp; coverage.</t>
        </is>
      </c>
      <c r="H790" s="893" t="inlineStr">
        <is>
          <t>base: 63% nylon, 28% Spandex, 9% polyester; monochrome lace: 75% nylon, 25% Spandex; gusset lining: 100% cotton • Imported fabric: German lace. • Care instructions: Machine wash on gentle cycle or hand wash in cold water, lay flat to dry or tumble dry on low heat</t>
        </is>
      </c>
      <c r="I790" s="894" t="inlineStr">
        <is>
          <t>Categeory_Underwear, Category_Lingerie, Category_Lingerie/Brief, Category_Lingerie/Brief/Low Waist, Category_Underwear, Category_Underwear/Bottoms, Category_Underwear/Bottoms/Panties, Category_Underwear/Bottoms/Panties/Low Waist, Collection_Belle Lace, Collection_November Sale, color-mauve-chalk, color-twilight-purple, Fabric_Lingerie/Germany Lace, Fabric_Underwear/Lace, HR-CX, no-returns, Pre-adjustment Size Brief</t>
        </is>
      </c>
      <c r="J790" s="895" t="inlineStr">
        <is>
          <t>belle-lace-low-waist-brief</t>
        </is>
      </c>
    </row>
    <row r="791" ht="70" customHeight="1" s="229">
      <c r="A791" s="880" t="inlineStr">
        <is>
          <t>Belle Lace Triangle Bralette</t>
        </is>
      </c>
      <c r="B791" s="881" t="inlineStr">
        <is>
          <t>Underwear</t>
        </is>
      </c>
      <c r="C791" s="882" t="n">
        <v>68</v>
      </c>
      <c r="D791" s="882" t="n">
        <v>47.6</v>
      </c>
      <c r="E791" s="937" t="inlineStr">
        <is>
          <t>Yes</t>
        </is>
      </c>
      <c r="F791" s="883" t="inlineStr">
        <is>
          <t>This elegant bralette from our Belle Lace Collection is the perfect style for a refined and vintage look. Comfortable and light enough for any occasion, with enough support and security for up to a D cup. Triangle-style lace cups lined with cotton offer breathability with edge lace embellishments for a feminine touch with no discomfort</t>
        </is>
      </c>
      <c r="G791" s="884" t="inlineStr">
        <is>
          <t>• Lace imported from Germany; soft and delicate on the skin • Low back; suitable for the low back cut tops or dresses • Pullover style, with adjustable and convertible straps • Suitable for A-C/D cup sizes</t>
        </is>
      </c>
      <c r="H791" s="885" t="inlineStr">
        <is>
          <t>Lace Material: 63% Nylon 28% Spandex 9% Polyester • Monochrome Lace: 75% Nylon 25% Spandex • Lining: 72% Nylon 28% Spandex • Cup Material: 100% Cotton • Imported fabric • Care instructions: Machine wash on gentle cycle or hand wash in cold water, lay flat to dry</t>
        </is>
      </c>
      <c r="I791" s="886" t="inlineStr">
        <is>
          <t>22 Spring Sale, Categeory_Underwear, Category_Bras/Light Support, Category_Lingerie, Category_Lingerie/Wireless Bra, Category_Lingerie/Wireless Bra/Triangle, Category_Underwear, Category_Underwear/Tops, Category_Underwear/Tops/Wireless Bra, Category_Underwear/Tops/Wireless Bra/Triangle, Collection_Belle Lace, color-mauve-chalk, color-twilight-purple, Cup_A_C, Cup_B_D, Fabric_Lingerie/Germany Lace, Fabric_Underwear/Lace, no-returns</t>
        </is>
      </c>
      <c r="J791" s="887" t="inlineStr">
        <is>
          <t>belle-lace-triangle-bralette</t>
        </is>
      </c>
    </row>
    <row r="792" ht="70" customHeight="1" s="229">
      <c r="A792" s="888" t="inlineStr">
        <is>
          <t>Belle Lace 1/2 Cup Demi Bra</t>
        </is>
      </c>
      <c r="B792" s="889" t="inlineStr">
        <is>
          <t>Underwear</t>
        </is>
      </c>
      <c r="C792" s="890" t="n">
        <v>58</v>
      </c>
      <c r="D792" s="890" t="n">
        <v>58</v>
      </c>
      <c r="E792" s="889" t="inlineStr"/>
      <c r="F792" s="891" t="inlineStr">
        <is>
          <t>This elegant and simple bra from our Belle Lace Collection is the perfect style for a refined, vintage look. Comfortable and light enough for any occasion, this bra offers support and security for up to a C cup with its contoured half-cups lined with light boning at the sides. Edge lace embellishments bring a feminine touch with no discomfort.</t>
        </is>
      </c>
      <c r="G792" s="892" t="inlineStr">
        <is>
          <t>• Lace imported from Germany; soft and delicate on the skin • Light boning at side seams for structure and shape • Mesh lining for breathability and comfort • Demi 1/2 style cup; wireless • Adjustable and convertible straps • Suitable of A-C cup sizes</t>
        </is>
      </c>
      <c r="H792" s="893" t="inlineStr">
        <is>
          <t>Lace: 63% Nylon; 28% Spandex; 9% Polyester • Monochrome Lace: 75% Nylon; 25% Spandex • Lining: 72% Nylon; 28% Spandex • Cup Material: 100% Cotton • Care instructions: Machine wash on gentle cycle or hand wash in cold water, lay flat to dry</t>
        </is>
      </c>
      <c r="I792" s="894" t="inlineStr">
        <is>
          <t>Categeory_Underwear, Category_Lingerie, Category_Lingerie/Wireless Bra, Category_Lingerie/Wireless Bra/Demi, Category_Underwear, Category_Underwear/Tops, Category_Underwear/Tops/Wireless Bra, Collection_Belle Lace, color-mauve-chalk, color-twilight-purple, Cup_A_C, Fabric_Lingerie/Germany Lace, Fabric_Underwear/Lace, Feature_Casuals, Feature_Essentials, Feature_New Arrival, over-10, Size_L, Size_M, Size_S, Size_XL, Size_XS, Size_XXL</t>
        </is>
      </c>
      <c r="J792" s="895" t="inlineStr">
        <is>
          <t>belle-lace-1-2-cup-demi-bra</t>
        </is>
      </c>
    </row>
    <row r="793" ht="70" customHeight="1" s="229">
      <c r="A793" s="880" t="inlineStr">
        <is>
          <t>Belle Lace Leavers Lace Triangle Bra</t>
        </is>
      </c>
      <c r="B793" s="881" t="inlineStr">
        <is>
          <t>Underwear</t>
        </is>
      </c>
      <c r="C793" s="882" t="n">
        <v>88</v>
      </c>
      <c r="D793" s="882" t="n">
        <v>61.6</v>
      </c>
      <c r="E793" s="937" t="inlineStr">
        <is>
          <t>Yes</t>
        </is>
      </c>
      <c r="F793" s="883" t="inlineStr">
        <is>
          <t>Travel back in time with our Belle Lace Collection Leavers Lace Triangle Bra, made from the softest stretch Leavers lace that lays comfortably flat against your skin. Adjustable straps and alluring scalloped lace detail perfectly frame the triangle cups in a plunging style, simultaneously molding cup for definition and making a statement on timeless fashion trends at the same time!</t>
        </is>
      </c>
      <c r="G793" s="884" t="inlineStr">
        <is>
          <t>• Made from Italian fabric, creating a smooth, soft undergarment • Exquisite Leavers lace with an elegant layering that retain its form over time • Straps can cross at back, to avoid slipping off the shoulders • Built-in mold cup shape for a defined shape, with detachable pads • Suitable for A-C cups</t>
        </is>
      </c>
      <c r="H793" s="885" t="inlineStr">
        <is>
          <t>75% Polyester; 25% Spandex • Lining: 88% Nylon; 12% Spandex • Cup Material: 78% Polyester; 22% Spandex • Constructed from imported fabrics -- Italian Leavers lace • Care instructions: Gently hand wash with cold water, lay flat to dry</t>
        </is>
      </c>
      <c r="I793" s="886" t="inlineStr">
        <is>
          <t>22 Spring Sale, Categeory_Underwear, Category_Lingerie, Category_Lingerie/Wireless Bra, Category_Lingerie/Wireless Bra/Triangle, Category_Underwear, Category_Underwear/Tops, Category_Underwear/Tops/Wireless Bra, Category_Underwear/Tops/Wireless Bra/Triangle, Collection_Belle Lace, color-amaranth, color-gray, color-night-shade, Cup_A_C, Fabric_Lingerie/Leavers Lace, Fabric_Underwear/Lace, Feature_Casuals, Feature_Essentials, hide-bis, no-returns, over-10, Pre-adjustment Small Size Bra, Sale, Size_L, Size_M, Size_S, Size_XL, Size_XS, Size_XXL</t>
        </is>
      </c>
      <c r="J793" s="887" t="inlineStr">
        <is>
          <t>belle-lace-leavers-lace-triangle-bra</t>
        </is>
      </c>
    </row>
    <row r="794" ht="112" customHeight="1" s="229">
      <c r="A794" s="912" t="inlineStr">
        <is>
          <t>NEIWAI ACTIVE x Yuan Yuan Tan Low Back Ballet Top</t>
        </is>
      </c>
      <c r="B794" s="913" t="inlineStr">
        <is>
          <t>Active</t>
        </is>
      </c>
      <c r="C794" s="914" t="n">
        <v>78</v>
      </c>
      <c r="D794" s="914" t="n">
        <v>39</v>
      </c>
      <c r="E794" s="955" t="inlineStr">
        <is>
          <t>Yes</t>
        </is>
      </c>
      <c r="F794" s="915" t="inlineStr">
        <is>
          <t>From yoga to the dance studio or anywhere in between, this Low Back Top from our NEIWAI ACTIVE x Yuan Yuan Tan is a perfect item for any active woman to have in her wardrobe. Premium Japanese Bemberg‚Ñ¢ fiber gives this top a silky-soft feeling that drapes nicely and feels gentle on the skin. Features a low scoop neck, elegant back drop, curved hem, dropped armholes and an elevated horizontal string connecting the shoulder straps to support movement – all making this an easy wear over your bra to and from practice or recital. This item is final sale and cannot be returned or exchanged .</t>
        </is>
      </c>
      <c r="G794" s="916" t="inlineStr">
        <is>
          <t>• Japanese Bemberg‚Ñ¢ is delicate on the skin, moisture wicking, and comfortable to wear year-round • The open back lets your body breathe during your routine • Wide shoulder straps allow for perfect light, everyday support • Designed for ballet, yoga, light sports, or other leisure activities</t>
        </is>
      </c>
      <c r="H794" s="917" t="inlineStr">
        <is>
          <t>90% Japan's Bemberg‚Ñ¢ Cotton Fiber , 10% Spandex • Care instructions: Machine wash gentle in cold water, tumble dry on low heat</t>
        </is>
      </c>
      <c r="I794" s="918" t="inlineStr">
        <is>
          <t>22 Spring Sale, Active/Ballet/Tops, Activity_Active/Ballet, Activity_Active/Ballet&amp;Dance, Activity_Active/Dance, Activity_Active/Gym, Activity_Active/Jogging, Activity_Active/Outdoor, Activity_Active/Pilates, Activity_Active/Running, Activity_Active/Yoga, Category_Active, Category_Active/Ballet, Category_Active/Sport Bra &amp; Top, Category_Active/Tops, Collection_Yuan Yuan Tan, color-light-pink, color-red-bud, Fabric_Active/Cotton, Final Sale, hide-bis, no-returns, over-10, Sale</t>
        </is>
      </c>
      <c r="J794" s="919" t="inlineStr">
        <is>
          <t>neiwai-active-yuan-yuan-tan-low-back-ballet-top</t>
        </is>
      </c>
    </row>
    <row r="795" ht="84" customHeight="1" s="229">
      <c r="A795" s="896" t="inlineStr">
        <is>
          <t>Pure Simplicity Silk Blend Wide Leg Capris Pants</t>
        </is>
      </c>
      <c r="B795" s="897" t="inlineStr">
        <is>
          <t>Loungewear</t>
        </is>
      </c>
      <c r="C795" s="898" t="n">
        <v>138</v>
      </c>
      <c r="D795" s="898" t="n">
        <v>69</v>
      </c>
      <c r="E795" s="957" t="inlineStr">
        <is>
          <t>Yes</t>
        </is>
      </c>
      <c r="F795" s="899" t="inlineStr">
        <is>
          <t>Our Boundless Wide-Leg Cotton/Silk Blend Capri is knitted instead of woven for more coziness and comfort! These Pure Simplicity Collection pants have a loose fit, lay flat, and are enhanced with a silk blend for flexibility and comfort. Breathable enough for summer wear, cozy enough for winter - you'll want to wear these every single day. This item is final sale and cannot be returned or exchanged.</t>
        </is>
      </c>
      <c r="G795" s="900" t="inlineStr">
        <is>
          <t>• Made with Austrian TENCEL‚Ñ¢ Modal - eco-friendly, extra soft • Relaxed fit for movement and a modest silhouette • Easy pull-on with side pockets and adjustable waistband</t>
        </is>
      </c>
      <c r="H795" s="901" t="inlineStr">
        <is>
          <t>90% Cotton; 10% Silk • Care instructions: Machine wash on gentle cycle, line dry or tumble dry on low heat</t>
        </is>
      </c>
      <c r="I795" s="902" t="inlineStr">
        <is>
          <t>22 Spring Sale, Category_Lounge, Category_Lounge/Bottoms, Category_Lounge/Knitwear, Category_Lounge/Pants, Category_Lounge/Sweaters&amp;Outerwear, Collection_Knitted, Collection_Pure Simplicity, color-autumn-leaf, color-cascade, color-sand-dollar, Fabric_Lounge/Cotton, Fabric_Lounge/Mulberry Silk, Fabric_Lounge/Silk, Final Sale, Function_Lounge/Essential, Function_Lounge/Essential/Pants, no-returns, over-10</t>
        </is>
      </c>
      <c r="J795" s="903" t="inlineStr">
        <is>
          <t>pure-simplicity-silk-blend-wide-leg-capris-pants</t>
        </is>
      </c>
    </row>
    <row r="796" ht="56" customHeight="1" s="229">
      <c r="A796" s="928" t="inlineStr">
        <is>
          <t>Self Silk Lounge Pants</t>
        </is>
      </c>
      <c r="B796" s="929" t="inlineStr">
        <is>
          <t>Loungewear</t>
        </is>
      </c>
      <c r="C796" s="930" t="n">
        <v>198</v>
      </c>
      <c r="D796" s="930" t="n">
        <v>99</v>
      </c>
      <c r="E796" s="936" t="inlineStr">
        <is>
          <t>Yes</t>
        </is>
      </c>
      <c r="F796" s="931" t="inlineStr">
        <is>
          <t>Enjoy a leisurely weekend at home, stay in bed a bit longer, and lounge around in these elegant, comfortable Boundless Collection mulberry silk bottoms. The easy, soft-feeling fit and feminine details make these a perfect choice for those days spent lying around.</t>
        </is>
      </c>
      <c r="G796" s="932" t="inlineStr">
        <is>
          <t>• Matte look, smooth texture • Classic straight leg cut, rises to mid-waist • Adjustable waist with drawstrings, side pockets on both sides • Elegant for home and comfortable sleep</t>
        </is>
      </c>
      <c r="H796" s="933" t="inlineStr">
        <is>
          <t>100% Mulberry Silk • Care instructions: Machine or hand wash in cold water, lay flat to dry</t>
        </is>
      </c>
      <c r="I796" s="934" t="inlineStr">
        <is>
          <t>22 Spring Sale, Category_Lounge, Category_Lounge/Bottoms, Category_Lounge/Pajamas &amp; Robes, Category_Lounge/Pajamas &amp; Robes/Bottoms, Category_Lounge/Pants, Collection_Boundless, Collection_Self Silk, color-illusion-blue, color-pink-nectar, Fabric_Lounge/Mulberry Silk, Fabric_Lounge/Silk, Final Sale, Function_Lounge/Sleep, Function_Lounge/Sleep/Pajama, no-returns, over-10</t>
        </is>
      </c>
      <c r="J796" s="935" t="inlineStr">
        <is>
          <t>boundless-silk-lounge-pants</t>
        </is>
      </c>
    </row>
    <row r="797" ht="42" customHeight="1" s="229">
      <c r="A797" s="896" t="inlineStr">
        <is>
          <t>Boundless Asymmetrical Long-Sleeve Tee</t>
        </is>
      </c>
      <c r="B797" s="897" t="inlineStr">
        <is>
          <t>Loungewear</t>
        </is>
      </c>
      <c r="C797" s="898" t="n">
        <v>68</v>
      </c>
      <c r="D797" s="898" t="n">
        <v>47.6</v>
      </c>
      <c r="E797" s="957" t="inlineStr">
        <is>
          <t>Yes</t>
        </is>
      </c>
      <c r="F797" s="899" t="inlineStr">
        <is>
          <t>A twisted stitching design gives this Boundless Collection asymmetrical long-sleeve tee stylish layers and funnel sleeves. Primarily cotton, this top is comfortable indoors or outdoors, and will add a chic look to any ensemble.</t>
        </is>
      </c>
      <c r="G797" s="900" t="inlineStr">
        <is>
          <t>• Soft velvet cotton is soft to the touch, making for a comfortable yet stylish piece for your wardrobe • Boat neckline and long funnel sleeves • Designed for versatility, this top pairs well with nearly any thing and will look great in any season</t>
        </is>
      </c>
      <c r="H797" s="901" t="inlineStr">
        <is>
          <t>94.3% Cotton, 5.7% Spandex • Care Instructions: Machine wash on gentle cycle, tumble dry on low heat</t>
        </is>
      </c>
      <c r="I797" s="902" t="inlineStr">
        <is>
          <t>Category_Lounge, Category_Lounge/Top, Collection_Boundless, color-egret, color-navy, Essentials/Shop All, Fabric_Lounge/Cotton, Final Sale, Function_Lounge/Essential/Mid &amp; Long Sleeve, no-returns, over-10</t>
        </is>
      </c>
      <c r="J797" s="903" t="inlineStr">
        <is>
          <t>boundless-asymmetrical-long-sleeve-tee</t>
        </is>
      </c>
    </row>
    <row r="798" ht="70" customHeight="1" s="229">
      <c r="A798" s="928" t="inlineStr">
        <is>
          <t>Boundless Cotton Backless Dress</t>
        </is>
      </c>
      <c r="B798" s="929" t="inlineStr">
        <is>
          <t>Loungewear</t>
        </is>
      </c>
      <c r="C798" s="930" t="n">
        <v>168</v>
      </c>
      <c r="D798" s="930" t="n">
        <v>84</v>
      </c>
      <c r="E798" s="936" t="inlineStr">
        <is>
          <t>Yes</t>
        </is>
      </c>
      <c r="F798" s="931" t="inlineStr">
        <is>
          <t>A simple backless long dress with a U-back design that would look as at-home at a gala as it will in your office. Elegantly displays the back lines while a chic frill around the waist gives this dress a classic Greek-inspired aesthetic. The strong cotton blend makes it breathable and comfortable for any occasion. This item is final sale and cannot be returned or exchanged.</t>
        </is>
      </c>
      <c r="G798" s="932" t="inlineStr">
        <is>
          <t>• Made with cotton fabric for comfortable, breathable all-season wear • Low U-shaped backline and elegant frill on the waist • Elegant frill on the waist • Open side hem for easy movement, designed for any occasion</t>
        </is>
      </c>
      <c r="H798" s="933" t="inlineStr">
        <is>
          <t>94% Cotton; 6% Spandex • Lining: 94.3% Cotton 5.7% Spandex • Care instructions: Machine wash on gentle cycle, lay flat to dry or tumble dry on low heat</t>
        </is>
      </c>
      <c r="I798" s="934" t="inlineStr">
        <is>
          <t>22 Spring Sale, Category_Daywear, Category_Daywear/Dress, Category_Lounge, Category_Lounge/Dress, Category_Lounge/Dress&amp;Jumpsuit, Collection_Boundless, color-cloud-gray, color-gunmetal, Fabric_Lounge/Cotton, Final Sale, Function_Lounge/Casual, Function_Lounge/Casual/Dress &amp; Jumpsuit, hide-bis, no-returns, over-10, Sale</t>
        </is>
      </c>
      <c r="J798" s="935" t="inlineStr">
        <is>
          <t>boundless-cotton-backless-dress</t>
        </is>
      </c>
    </row>
    <row r="799" ht="70" customHeight="1" s="229">
      <c r="A799" s="888" t="inlineStr">
        <is>
          <t>Pure Beauty Matte Mesh Mid Waist Brief</t>
        </is>
      </c>
      <c r="B799" s="889" t="inlineStr">
        <is>
          <t>Underwear</t>
        </is>
      </c>
      <c r="C799" s="890" t="n">
        <v>25</v>
      </c>
      <c r="D799" s="890" t="n">
        <v>12.5</v>
      </c>
      <c r="E799" s="985" t="inlineStr">
        <is>
          <t>Yes</t>
        </is>
      </c>
      <c r="F799" s="891" t="inlineStr">
        <is>
          <t>This Pure Beauty Collection brief sits above the waist and are a simple, yet elegant style that can be paired with any of NEIWAI's wireless bras. Made with a LYCRA¬Æ fiber to enhance comfort and retain its form, this design uses micro-velvet stitching for a softer texture. This item is final sale and cannot be returned or exchanged .</t>
        </is>
      </c>
      <c r="G799" s="892" t="inlineStr">
        <is>
          <t>• A splicing of smooth matte fabric with LYCRA¬Æ fiber for a comfortable stretch and durable fit • Slightly higher than regular mid-waist, with better coverage • Micro-velvet stitching for comfortable shaping</t>
        </is>
      </c>
      <c r="H799" s="893" t="inlineStr">
        <is>
          <t>Outer: 58% Nylon, 42% LYCRA¬Æ fiber • Lining: 72.4% Nylon, 27.6% LYCRA¬Æ fiber • 100% cotton gusset • Care instructions: Machine wash on gentle cycle in cold water, tumble dry on low heat</t>
        </is>
      </c>
      <c r="I799" s="894" t="inlineStr">
        <is>
          <t>22 Spring Sale, 22FW 50OFF, Category_Lingerie, Category_Lingerie/Brief, Category_Lingerie/Brief/Mid Waist, Category_Underwear, Category_Underwear/Bottoms, Category_Underwear/Bottoms/Panties, Category_Underwear/Bottoms/Panties/Mid Waist, Collection_Pure Beauty, color-lilac-ash, color-olive, Fabric_Lingerie/Lycra, Fabric_Underwear/Lycra, hide-bis, HR-CX, no-returns, over-10, Pre-adjustment Size Brief, Sale</t>
        </is>
      </c>
      <c r="J799" s="895" t="inlineStr">
        <is>
          <t>pure-beauty-matte-mesh-mid-waist-brief</t>
        </is>
      </c>
    </row>
    <row r="800" ht="56" customHeight="1" s="229">
      <c r="A800" s="880" t="inlineStr">
        <is>
          <t>Nude Semi Sheer Padded Bodysuit</t>
        </is>
      </c>
      <c r="B800" s="881" t="inlineStr">
        <is>
          <t>Underwear</t>
        </is>
      </c>
      <c r="C800" s="882" t="n">
        <v>88</v>
      </c>
      <c r="D800" s="882" t="n">
        <v>44</v>
      </c>
      <c r="E800" s="937" t="inlineStr">
        <is>
          <t>Yes</t>
        </is>
      </c>
      <c r="F800" s="883" t="inlineStr">
        <is>
          <t>This elegant bodysuit is made from high-quality LYCRA¬Æ fiber to enhance comfort and movement. This style features mesh lining, a bottom snap closure, and built-in molded cups that help support and shape your body. This item is final sale and cannot be returned or exchanged .</t>
        </is>
      </c>
      <c r="G800" s="884" t="inlineStr">
        <is>
          <t>• Made from German jacquard fabric and Italian LYCRA¬Æ fiber for a smooth, elastic, and featherweight fit and feel • Fixed padding with an inner structure for support, suitable for A-C cup sizes • Pullover style, with bottom snap closure for easy bathroom breaks</t>
        </is>
      </c>
      <c r="H800" s="885" t="inlineStr">
        <is>
          <t>87% Nylon 13% Spandex • Mesh: 89% Nylon 11% Spandex • Lining: 70% Nylon 30% Spandex • 100% Cotton gusset • Care instructions: Machine wash on gentle cycle, lay flat to dry</t>
        </is>
      </c>
      <c r="I800" s="886" t="inlineStr">
        <is>
          <t>2023 BTS Sale, 22 Spring Sale, 22FW 50OFF, Category_Lingerie, Category_Lingerie/BRApparel, Category_Lounge/Bodysuits, Category_Underwear, Category_Underwear/Tops, Category_Underwear/Tops/Bodysuits, Collection_Nude, color-lilac-ash, color-white, Cup_A_C, Fabric_Lingerie/Lycra, Feature_Casuals, Feature_Essentials, Feature_New Arrival, hide-bis, HR-CX, LBD23, Lingerie/BRApparel/Bodysuit, no-returns, over-10, Sale, Size_L, Size_M, Size_S, Size_XL, Size_XS, Size_XXL, Sized Bodysuit</t>
        </is>
      </c>
      <c r="J800" s="887" t="inlineStr">
        <is>
          <t>nude-semi-sheer-padded-bodysuit</t>
        </is>
      </c>
    </row>
    <row r="801" ht="84" customHeight="1" s="229">
      <c r="A801" s="888" t="inlineStr">
        <is>
          <t>Pure Elegancy Hollow Stitching Bandeau Bra</t>
        </is>
      </c>
      <c r="B801" s="889" t="inlineStr">
        <is>
          <t>Underwear</t>
        </is>
      </c>
      <c r="C801" s="890" t="n">
        <v>68</v>
      </c>
      <c r="D801" s="890" t="n">
        <v>47.6</v>
      </c>
      <c r="E801" s="985" t="inlineStr">
        <is>
          <t>Yes</t>
        </is>
      </c>
      <c r="F801" s="891" t="inlineStr">
        <is>
          <t>Be carefree in our wire-free bandeau style bra – unmatched elegance and the support you need for all-day comfort. This versatile Pure Elegancy Collection bra is sure to become your go-to choice when you want to look exquisite with its hollow stitching and simple outline of the chest. The band is made with high grade elastic TENCEL‚Ñ¢ Modal for enhanced stretch and comfort. This item is final sale and cannot be returned or exchanged.</t>
        </is>
      </c>
      <c r="G801" s="892" t="inlineStr">
        <is>
          <t>• Made with high-quality TENCEL‚Ñ¢ Modal with added silk • Vintage bandeau style with fixed padding, nice coverage and comfortable support • Light ribbing at side seams for structure and shape • Adjustable stretch straps &amp; band, smooth leotard back</t>
        </is>
      </c>
      <c r="H801" s="893" t="inlineStr">
        <is>
          <t>84.6% TENCEL‚Ñ¢ Modal ; 8.6% Spandex; 6.8% Mulberry Silk • Imported Fabric; Austria Modal • Care instructions: Gently hand wash or machine wash on delicate cycle, lay flat to dry</t>
        </is>
      </c>
      <c r="I801" s="894" t="inlineStr">
        <is>
          <t>22 Spring Sale, Category_Lingerie, Category_Lingerie/Wireless Bra/Bandeau, Category_Underwear, Category_Underwear/Tops, Category_Underwear/Tops/Wireless Bra, Category_Underwear/Tops/Wireless Bra/Bandeau, Collection_Pure Elegancy, color-cloud-gray, color-grape-wine, color-green-essence, Cup_A_C, Fabric_Lingerie/Tencel, no-returns, over-10, Pre-adjustment Small Size Bra</t>
        </is>
      </c>
      <c r="J801" s="895" t="inlineStr">
        <is>
          <t>pure-elegancy-hollow-stitching-bandeau-bra</t>
        </is>
      </c>
    </row>
    <row r="802" ht="70" customHeight="1" s="229">
      <c r="A802" s="880" t="inlineStr">
        <is>
          <t>Pure Elegancy Hollow Stitching Low Waist Brief</t>
        </is>
      </c>
      <c r="B802" s="881" t="inlineStr">
        <is>
          <t>Underwear</t>
        </is>
      </c>
      <c r="C802" s="882" t="n">
        <v>25</v>
      </c>
      <c r="D802" s="882" t="n">
        <v>17.5</v>
      </c>
      <c r="E802" s="937" t="inlineStr">
        <is>
          <t>Yes</t>
        </is>
      </c>
      <c r="F802" s="883" t="inlineStr">
        <is>
          <t>Be carefree in our Pure Elegancy Collection Hollow Stitching Low-Waist Brief with the support you need for all-day comfort. Make every day a perfect day with the supportive comfort offered by these quality undergarments made with imported Austrian TENCEL‚Ñ¢ Modal. This item is final sale and cannot be returned or exchanged.</t>
        </is>
      </c>
      <c r="G802" s="884" t="inlineStr">
        <is>
          <t>• Made with imported Austrian TENCEL‚Ñ¢ Modal • Exquisite hollow stitching and elegant embellishment around the waist • Simple low waistline • Soft texture and elasticity for comfort and breathability</t>
        </is>
      </c>
      <c r="H802" s="885" t="inlineStr">
        <is>
          <t>84.6% TENCEL‚Ñ¢ Modal ; 8.6% Spandex; 6.8% Mulberry Silk • 100% Cotton gusset • Imported Fabric Austria Modal • Care instructions: Machine wash on gentle cycle in cold water. Line dry</t>
        </is>
      </c>
      <c r="I802" s="886" t="inlineStr">
        <is>
          <t>22 Spring Sale, Category_Lingerie, Category_Lingerie/Brief, Category_Lingerie/Brief/Low Waist, Category_Underwear, Category_Underwear/Bottoms, Category_Underwear/Bottoms/Panties, Category_Underwear/Bottoms/Panties/Low Waist, Collection_Pure Elegancy, color-cloud-gray, color-grape-wine, color-green-essence, Fabric_Lingerie/Tencel, Fabric_Underwear/Tencel Modal, hide-bis, HR-CX, no-returns, over-10, Pre-adjustment Size Brief, Sale</t>
        </is>
      </c>
      <c r="J802" s="887" t="inlineStr">
        <is>
          <t>pure-elegancy-hollow-stitching-low-waist-brief</t>
        </is>
      </c>
    </row>
    <row r="803" ht="42" customHeight="1" s="229">
      <c r="A803" s="896" t="inlineStr">
        <is>
          <t>Knitted Sleeveless Mock Neck Tank Top</t>
        </is>
      </c>
      <c r="B803" s="897" t="inlineStr">
        <is>
          <t>Loungewear</t>
        </is>
      </c>
      <c r="C803" s="898" t="n">
        <v>88</v>
      </c>
      <c r="D803" s="898" t="n">
        <v>44</v>
      </c>
      <c r="E803" s="957" t="inlineStr">
        <is>
          <t>Yes</t>
        </is>
      </c>
      <c r="F803" s="899" t="inlineStr">
        <is>
          <t>This Knitted Collection form-fitting sleeveless mock neck tank top is ideal for layering under a blazer or jacket. A hint of stretch and a side hem for flexibility makes this an essential, timeless piece for your wardrobe.</t>
        </is>
      </c>
      <c r="G803" s="900" t="inlineStr">
        <is>
          <t>• Highly elastic, comfortably fitted to the body • The modern take on a classic design maximizes comfort, suitable for any occasions • Elevated essential</t>
        </is>
      </c>
      <c r="H803" s="901" t="inlineStr">
        <is>
          <t>66% Cotton, 34% Polyamide • Care instructions: Hand wash gently in cold water, line dry</t>
        </is>
      </c>
      <c r="I803" s="902" t="inlineStr">
        <is>
          <t>22 Spring Sale, Category_Lounge, Category_Lounge/Knitwear, Category_Lounge/Sweaters&amp;Outerwear, Category_Lounge/Top, Collection_Knitted, color-serenity, Fabric_Lounge/Cotton, Fabric_Lounge/Kintwear, Final Sale, Function_Lounge/Casual, Function_Lounge/Casual/Top &amp; Sweater, hide-bis, no-returns, over-10, Sale</t>
        </is>
      </c>
      <c r="J803" s="903" t="inlineStr">
        <is>
          <t>knitted-sleeveless-mock-neck-tank-top</t>
        </is>
      </c>
    </row>
    <row r="804" ht="56" customHeight="1" s="229">
      <c r="A804" s="928" t="inlineStr">
        <is>
          <t>Pure Simplicity Silk Blend V-neck Short Sleeve Top</t>
        </is>
      </c>
      <c r="B804" s="929" t="inlineStr">
        <is>
          <t>Loungewear</t>
        </is>
      </c>
      <c r="C804" s="930" t="n">
        <v>118</v>
      </c>
      <c r="D804" s="930" t="n">
        <v>59</v>
      </c>
      <c r="E804" s="936" t="inlineStr">
        <is>
          <t>Yes</t>
        </is>
      </c>
      <c r="F804" s="931" t="inlineStr">
        <is>
          <t>Never underestimate the power of simplicity. This Pure Simplicity Collection cotton-silk blend knit top (with just a hint of gloss) is a sophisticated choice for any casual occasion. Designed with a straight hem that gives a neat and comfortable fit. This item is final sale and cannot be returned or exchanged.</t>
        </is>
      </c>
      <c r="G804" s="932" t="inlineStr">
        <is>
          <t>• Made from a blend of cotton and silk for a light and breathable feel • V-neckline to highlight the neck, collarbones, and shoulders • Sophisticated &amp; comfortable fit, suitable for home, work, or a night out</t>
        </is>
      </c>
      <c r="H804" s="933" t="inlineStr">
        <is>
          <t>90% Cotton; 10% Mulberry Silk • Imported fabric • Care instructions: Gently hand wash in cold water, lay flat to dry</t>
        </is>
      </c>
      <c r="I804" s="934" t="inlineStr">
        <is>
          <t>22 Spring Sale, Category_Lounge, Category_Lounge/Knitwear, Category_Lounge/Sweaters&amp;Outerwear, Category_Lounge/Top, Collection_Knitted, Collection_Pure Simplicity, color-autumn-leaf, color-cascade, color-sand-dollar, Fabric_Lounge/Cotton, Fabric_Lounge/Mulberry Silk, Fabric_Lounge/Silk, Final Sale, Function_Lounge/Casual, Function_Lounge/Casual/Top &amp; Sweater, hide-bis, no-returns, over-10, Sale</t>
        </is>
      </c>
      <c r="J804" s="935" t="inlineStr">
        <is>
          <t>pure-simplicity-silk-blend-v-neck-short-sleeve-top</t>
        </is>
      </c>
    </row>
    <row r="805" ht="56" customHeight="1" s="229">
      <c r="A805" s="896" t="inlineStr">
        <is>
          <t>Knitted Split Back Cami</t>
        </is>
      </c>
      <c r="B805" s="897" t="inlineStr">
        <is>
          <t>Loungewear</t>
        </is>
      </c>
      <c r="C805" s="898" t="n">
        <v>88</v>
      </c>
      <c r="D805" s="898" t="n">
        <v>44</v>
      </c>
      <c r="E805" s="957" t="inlineStr">
        <is>
          <t>Yes</t>
        </is>
      </c>
      <c r="F805" s="899" t="inlineStr">
        <is>
          <t>This simple yet ultra-elegant Knitted Collection cami is a generous and comfortable fit for any body type. The ribbed split-back is versatile and designed to be an easy item to wear in multiple scenes. This item is final sale and cannot be returned or exchanged .</t>
        </is>
      </c>
      <c r="G805" s="900" t="inlineStr">
        <is>
          <t>• Lightweight material with a nice drape, a lustrous finish, and a soft feel • Highly elastic for a comfortable fit, split on the back hem for easy movement • Elegantly twisted straps; V-neck highlights the neck, collarbones, and shoulders • Elevated essential</t>
        </is>
      </c>
      <c r="H805" s="901" t="inlineStr">
        <is>
          <t>77% Viscose, 23% Nylon • Care instructions: Machine wash gentle, lay flat to dry or tumble dry low</t>
        </is>
      </c>
      <c r="I805" s="902" t="inlineStr">
        <is>
          <t>22 Spring Sale, Category_Lounge, Category_Lounge/Knitwear, Category_Lounge/Sweaters&amp;Outerwear, Category_Lounge/Tees&amp;Tanks, Category_Lounge/Top, Collection_Knitted, color-plum, Fabric_Lounge/Kintwear, Final Sale, Function_Lounge/Essential, Function_Lounge/Essential/Cami, hide-bis, no-returns, over-10, Sale</t>
        </is>
      </c>
      <c r="J805" s="903" t="inlineStr">
        <is>
          <t>knitted-split-back-cami</t>
        </is>
      </c>
    </row>
    <row r="806" ht="84" customHeight="1" s="229">
      <c r="A806" s="928" t="inlineStr">
        <is>
          <t>Knitted Wide Leg Lounge Pants</t>
        </is>
      </c>
      <c r="B806" s="929" t="inlineStr">
        <is>
          <t>Loungewear</t>
        </is>
      </c>
      <c r="C806" s="930" t="n">
        <v>138</v>
      </c>
      <c r="D806" s="930" t="n">
        <v>96.59999999999999</v>
      </c>
      <c r="E806" s="936" t="inlineStr">
        <is>
          <t>Yes</t>
        </is>
      </c>
      <c r="F806" s="931" t="inlineStr">
        <is>
          <t>The Knitted Collection Ribbed Lounge Pants are knitted with viscose for a flexible ribbed finish that pairs well with any top and footwear. These pants hug your leg before flaring at the ankle for a distinctly retro-contemporary aesthetic. They are topped with a comfortable elastic waistband which makes this ideal for long travel or lounging around. These pants pair perfectly with our Boundless ribbed mock tank top or shirt!</t>
        </is>
      </c>
      <c r="G806" s="932" t="inlineStr">
        <is>
          <t>• Lightweight material with a nice drape, lustrous finish, and a soft feel • Highly elastic for a comfortable fit, with a wide waistband and split on the back hem for easy movement • Elevated essential</t>
        </is>
      </c>
      <c r="H806" s="933" t="inlineStr">
        <is>
          <t>77% Viscose, 23% Nylon • Care instructions: Machine wash on gentle cycle, lay flat to dry or tumble dry on low heat</t>
        </is>
      </c>
      <c r="I806" s="934" t="inlineStr">
        <is>
          <t>22 Spring Sale, Category_Lounge, Category_Lounge/Bottoms, Category_Lounge/Knitwear, Category_Lounge/Pants, Category_Lounge/Sweaters&amp;Outerwear, Collection_Knitted, color-plum, Fabric_Lounge/Kintwear, Final Sale, Function_Lounge/Essential, Function_Lounge/Essential/Pants, no-returns, over-10</t>
        </is>
      </c>
      <c r="J806" s="935" t="inlineStr">
        <is>
          <t>knitted-wide-leg-lounge-pants</t>
        </is>
      </c>
    </row>
    <row r="807" ht="42" customHeight="1" s="229">
      <c r="A807" s="896" t="inlineStr">
        <is>
          <t>Knitted Round Neck Short Sleeve Top</t>
        </is>
      </c>
      <c r="B807" s="897" t="inlineStr">
        <is>
          <t>Loungewear</t>
        </is>
      </c>
      <c r="C807" s="898" t="n">
        <v>98</v>
      </c>
      <c r="D807" s="898" t="n">
        <v>49</v>
      </c>
      <c r="E807" s="957" t="inlineStr">
        <is>
          <t>Yes</t>
        </is>
      </c>
      <c r="F807" s="899" t="inlineStr">
        <is>
          <t>From our Knitted Collection , this form-fitting short sleeve tee is ideal for layering under a blazer or jacket. With a light stretch and side hem for flexibility, this is an essential, versatile, and timeless piece in anyone's wardrobe.</t>
        </is>
      </c>
      <c r="G807" s="900" t="inlineStr">
        <is>
          <t>• Soft, lightly elastic material that is comfortably fitted to the body • A modern design on a timeless classic that maximizes comfort and style • Simple round neck opening • Elevated essential</t>
        </is>
      </c>
      <c r="H807" s="901" t="inlineStr">
        <is>
          <t>66% Cotton, 34% Nylon • Care instructions: Gently hand wash, lay flat to dry or tumble dry on low heat</t>
        </is>
      </c>
      <c r="I807" s="902" t="inlineStr">
        <is>
          <t>22 Spring Sale, Category_Lounge, Category_Lounge/Knitwear, Category_Lounge/Sweaters&amp;Outerwear, Category_Lounge/Top, Collection_Knitted, color-serenity, Fabric_Lounge/Cotton, Fabric_Lounge/Kintwear, Final Sale, Function_Lounge/Casual/Top &amp; Sweater, no-returns, over-10</t>
        </is>
      </c>
      <c r="J807" s="903" t="inlineStr">
        <is>
          <t>knitted-round-neck-short-sleeve-top</t>
        </is>
      </c>
    </row>
    <row r="808" ht="42" customHeight="1" s="229">
      <c r="A808" s="928" t="inlineStr">
        <is>
          <t>Knitted Split Hem Dress</t>
        </is>
      </c>
      <c r="B808" s="929" t="inlineStr">
        <is>
          <t>Loungewear</t>
        </is>
      </c>
      <c r="C808" s="930" t="n">
        <v>128</v>
      </c>
      <c r="D808" s="930" t="n">
        <v>64</v>
      </c>
      <c r="E808" s="936" t="inlineStr">
        <is>
          <t>Yes</t>
        </is>
      </c>
      <c r="F808" s="931" t="inlineStr">
        <is>
          <t>This chic, simple dress from our Knitted Collection is a comfortable fit with its ribbed split back - designed to be a versatile item to wear on a day at home with your family, an evening alone, or even a walk in the park.</t>
        </is>
      </c>
      <c r="G808" s="932" t="inlineStr">
        <is>
          <t>• Lightweight material with a nice drape, a lustrous finish, and a soft feel • Highly elastic and loose for a comfortable fit, split on the back hem for ease of movement • Elegant twisted straps and a V-neck which highlights the neck, collarbones, and shoulders • Elevated essential</t>
        </is>
      </c>
      <c r="H808" s="933" t="inlineStr">
        <is>
          <t>77% Viscose, 23% Nylon • Care instructions: Machine wash on gentle cycle, lay flat to dry or tumble dry on low heat</t>
        </is>
      </c>
      <c r="I808" s="934" t="inlineStr">
        <is>
          <t>22 Spring Sale, Category_Daywear, Category_Daywear/Dress, Category_Lounge, Category_Lounge/Dress, Category_Lounge/Dress&amp;Jumpsuit, Category_Lounge/Knitwear, Category_Lounge/Sweaters&amp;Outerwear, Collection_Knitted, color-plum, Fabric_Lounge/Kintwear, Feature_Casuals, Feature_Essentials, Feature_New Arrival, Final Sale, Function_Lounge/Essential, Function_Lounge/Essential/Cami, hide-bis, no-returns, over-10, Sale, Size_L, Size_M, Size_S, Size_XL, Size_XS, Size_XXL</t>
        </is>
      </c>
      <c r="J808" s="935" t="inlineStr">
        <is>
          <t>knitted-split-hem-dress</t>
        </is>
      </c>
    </row>
    <row r="809" ht="42" customHeight="1" s="229">
      <c r="A809" s="888" t="inlineStr">
        <is>
          <t>Pure Elegancy LENZING‚Ñ¢ Modal Open Back Bodysuit</t>
        </is>
      </c>
      <c r="B809" s="889" t="inlineStr">
        <is>
          <t>Underwear</t>
        </is>
      </c>
      <c r="C809" s="890" t="n">
        <v>108</v>
      </c>
      <c r="D809" s="890" t="n">
        <v>54</v>
      </c>
      <c r="E809" s="985" t="inlineStr">
        <is>
          <t>Yes</t>
        </is>
      </c>
      <c r="F809" s="891" t="inlineStr">
        <is>
          <t>Made from high-quality LENZING‚Ñ¢ Micro Modal, this bodysuit provides moderate stretch and a versatile neckline for all outfits. This item is final sale and cannot be returned or exchanged .</t>
        </is>
      </c>
      <c r="G809" s="892" t="inlineStr">
        <is>
          <t>• Made with imported LENZING‚Ñ¢ Modal and Spandex for a smooth, light fit • Adjustable straps, snap closure, and removable pad inserts</t>
        </is>
      </c>
      <c r="H809" s="893" t="inlineStr">
        <is>
          <t>85% LENZING‚Ñ¢ Modal; 9% Spandex; 6% Silk • 100% Cotton gusset • Imported Fabric from Austria • Care instructions: Machine wash on gentle cycle or hand wash in cold water, lay flat to dry</t>
        </is>
      </c>
      <c r="I809" s="894" t="inlineStr">
        <is>
          <t>2023 BTS Sale, 23 May Sale, Canada, Category_Lingerie, Category_Lingerie/BRApparel, Category_Lounge/Bodysuits, Category_Underwear, Category_Underwear/Tops, Category_Underwear/Tops/Bodysuits, Collection_Pure Elegancy, color-stone, Cup_A_C, Cup_B_D, Fabric_Lingerie/Lenzing, Feature_Casuals, Feature_Essentials, Feature_New Arrival, Flexport Stock, hide-bis, HR-CX, LBD23, no-returns, over-10, Sale, Size_L, Size_M, Size_S, Size_XL, Size_XS, Size_XXL, Sized Bodysuit, US Inventory</t>
        </is>
      </c>
      <c r="J809" s="895" t="inlineStr">
        <is>
          <t>pure-elegancy-lenzing-modal-open-back-bodysuit</t>
        </is>
      </c>
    </row>
    <row r="810" ht="56" customHeight="1" s="229">
      <c r="A810" s="896" t="inlineStr">
        <is>
          <t>Boundless Back Twist Cowl Neck Jumpsuit</t>
        </is>
      </c>
      <c r="B810" s="897" t="inlineStr">
        <is>
          <t>Loungewear</t>
        </is>
      </c>
      <c r="C810" s="898" t="n">
        <v>198</v>
      </c>
      <c r="D810" s="898" t="n">
        <v>99</v>
      </c>
      <c r="E810" s="957" t="inlineStr">
        <is>
          <t>Yes</t>
        </is>
      </c>
      <c r="F810" s="899" t="inlineStr">
        <is>
          <t>Our Boundless Collection Back Twist Cowl Neck jumpsuit makes a statement at any event. Cut from lustrous Cupro with a slightly loose fit, this piece is a refined, simplistic look all on its own - making it an elegant choice day or night. This item is final sale and cannot be returned or exchanged .</t>
        </is>
      </c>
      <c r="G810" s="900" t="inlineStr">
        <is>
          <t>• High-quality Cupro is light, smooth, cool, and silky to the touch with a subtle gloss sheen • Cowl neck with twisted back • Jumpsuit, slightly loose and extremely comfortable • Back split for easy wear • Suitable for multiple occasions</t>
        </is>
      </c>
      <c r="H810" s="901" t="inlineStr">
        <is>
          <t>90% Cupro, 10% Spandex • Care instructions: Machine wash on gentle cycle or hand wash; line dry</t>
        </is>
      </c>
      <c r="I810" s="902" t="inlineStr">
        <is>
          <t>22 Spring Sale, Category_Lounge, Category_Lounge/Dress&amp;Jumpsuit, Category_Lounge/Jumpsuit, Collection_Boundless, color-burnt-olive, color-canyon-sunset, color-navy, Fabric_Lounge/Cupro, Feature_Casuals, Feature_Essentials, Feature_New Arrival, Final Sale, Function_Lounge/Casual/Dress &amp; Jumpsuit, hide-bis, no-returns, over-10, Sale, Size_L, Size_M, Size_S, Size_XL, Size_XS, Size_XXL, US Inventory, US Main</t>
        </is>
      </c>
      <c r="J810" s="903" t="inlineStr">
        <is>
          <t>boundless-back-twist-cowl-neck-jumpsuit</t>
        </is>
      </c>
    </row>
    <row r="811" ht="56" customHeight="1" s="229">
      <c r="A811" s="928" t="inlineStr">
        <is>
          <t>Boundless Back Twist Cowl Neck Dress</t>
        </is>
      </c>
      <c r="B811" s="929" t="inlineStr">
        <is>
          <t>Loungewear</t>
        </is>
      </c>
      <c r="C811" s="930" t="n">
        <v>178</v>
      </c>
      <c r="D811" s="930" t="n">
        <v>124.6</v>
      </c>
      <c r="E811" s="936" t="inlineStr">
        <is>
          <t>Yes</t>
        </is>
      </c>
      <c r="F811" s="931" t="inlineStr">
        <is>
          <t>The Boundless Back Twist Cowl Neck dress is the perfect piece for any occasion, it is cut from lustrous cupro and has a slightly loose fit and exquisite back detail adding a refined look making it an elegant choice to wear during the day or evening. This item is final sale and cannot be returned or exchanged .</t>
        </is>
      </c>
      <c r="G811" s="932" t="inlineStr">
        <is>
          <t>• High-quality cupro light and smooth, cool and silky touch with a subtle gloss • Cowl neck twisted back, elegant look • Dress, slightly loose and comfortable • Back split for easy wear • Suitable for multiple occasions</t>
        </is>
      </c>
      <c r="H811" s="933" t="inlineStr">
        <is>
          <t>90% Cupro, 10% Spandex • Care instructions: Machine wash gentle or hand wash, line dry</t>
        </is>
      </c>
      <c r="I811" s="934" t="inlineStr">
        <is>
          <t>22 Spring Sale, Category_Daywear, Category_Daywear/Dress, Category_Lounge, Category_Lounge/Dress&amp;Jumpsuit, Collection_Boundless, color-burnt-olive, color-canyon-sunset, color-chalk, Feature_Casuals, Feature_Essentials, Feature_New Arrival, Final Sale, hide-bis, Lounge/Lounge &amp; Casuals /Dresses &amp; Jumpsuits, Lounge/Ready To Wear/Dresses &amp; Jumpsuits, no-returns, over-10, Sale, Size_L, Size_M, Size_S, Size_XL, Size_XS, Size_XXL</t>
        </is>
      </c>
      <c r="J811" s="935" t="inlineStr">
        <is>
          <t>boundless-back-twist-cowl-neck-dress</t>
        </is>
      </c>
    </row>
    <row r="812" ht="56" customHeight="1" s="229">
      <c r="A812" s="896" t="inlineStr">
        <is>
          <t>Boundless Back Twist Cowl Neck Cami</t>
        </is>
      </c>
      <c r="B812" s="897" t="inlineStr">
        <is>
          <t>Loungewear</t>
        </is>
      </c>
      <c r="C812" s="898" t="n">
        <v>118</v>
      </c>
      <c r="D812" s="898" t="n">
        <v>80</v>
      </c>
      <c r="E812" s="957" t="inlineStr">
        <is>
          <t>Yes</t>
        </is>
      </c>
      <c r="F812" s="899" t="inlineStr">
        <is>
          <t>This Boundless Collection Back Twist Cowl Neck Cami is the perfect piece for any occasion. Cut from lustrous cupra for a slightly loose fit and subtle back detail, this camisole has a refined look and makes for an elegant choice for wear during the day or evening. This item is for Final Sale.</t>
        </is>
      </c>
      <c r="G812" s="900" t="inlineStr">
        <is>
          <t>• High-quality cupro - light and smooth, cool and silky to the touch with a subtle gloss • Cowl neck and twisted back for an elegant look • Back split for easy wear • Pair with a skirt or pants to dress up or down for the occasion</t>
        </is>
      </c>
      <c r="H812" s="901" t="inlineStr">
        <is>
          <t>90% Cupro, 10% Spandex • Care Instructions: Machine wash on gentle cycle or hand wash; line dry</t>
        </is>
      </c>
      <c r="I812" s="902" t="inlineStr">
        <is>
          <t>22 Spring Sale, Category_Lounge, Category_Lounge/Knitwear, Category_Lounge/Top, Collection_Boundless, color-canyon-sunset, color-chalk, Fabric_Lounge/Cupro, Feature_Casuals, Feature_Essentials, Feature_New Arrival, Final Sale, Function_Lounge/Casual, Function_Lounge/Casual/Top &amp; Sweater, hide-bis, no-returns, over-10, Sale, Size_L, Size_M, Size_S, Size_XL, Size_XS, Size_XXL</t>
        </is>
      </c>
      <c r="J812" s="903" t="inlineStr">
        <is>
          <t>boundless-back-twist-cowl-neck-cami</t>
        </is>
      </c>
    </row>
    <row r="813" ht="84" customHeight="1" s="229">
      <c r="A813" s="904" t="inlineStr">
        <is>
          <t>Yoya Yoga Cross Back Sports Bra</t>
        </is>
      </c>
      <c r="B813" s="905" t="inlineStr">
        <is>
          <t>Active</t>
        </is>
      </c>
      <c r="C813" s="906" t="n">
        <v>68</v>
      </c>
      <c r="D813" s="906" t="n">
        <v>47.6</v>
      </c>
      <c r="E813" s="956" t="inlineStr">
        <is>
          <t>Yes</t>
        </is>
      </c>
      <c r="F813" s="907" t="inlineStr">
        <is>
          <t>The NEIWAI ACTIVE Yoya Yoga Collection Cross Back Sports Bra is designed with yoga and Pilates in mind. Sweat-wicking fabric and high elasticity help you stay cool and comfortable as you move through your routine. Designed with a higher round neck for better coverage and cross back design for ultimate support and movement, this sports bra is a great choice to wear for light sports or rigorous activity.</t>
        </is>
      </c>
      <c r="G813" s="908" t="inlineStr">
        <is>
          <t>• Imported Italian fabrics make this bra the perfect intersection of form-fitting and flexible • A snug fit without compression or tightness. Rounded seams for comfort • Breathable padding for ultimate support and coverage • Smooth, adjustable band and easy to use closure</t>
        </is>
      </c>
      <c r="H813" s="909" t="inlineStr">
        <is>
          <t>82% Nylon, 18% Spandex • Lining: 100% Polyester • Care instructions: Machine wash on gentle cycle, lay flat to dry</t>
        </is>
      </c>
      <c r="I813" s="910" t="inlineStr">
        <is>
          <t>Active/Bras &amp; Tops/Sports Bra, Activity_Active/Gym, Activity_Active/Jogging, Activity_Active/Outdoor, Activity_Active/Pilates, Activity_Active/Running, Activity_Active/Yoga, Category_Active, Category_Active/Sport Bra &amp; Top, Collection_Yoya Yoga, color-egret, color-orange-rust, Fabric_Active/2-Way-Stretchy, Feature_Casuals, Feature_Essentials, Feature_New Arrival, no-returns, over-10, Size_L, Size_M, Size_S, Size_XL, Size_XS, Size_XXL</t>
        </is>
      </c>
      <c r="J813" s="911" t="inlineStr">
        <is>
          <t>yoya-yoga-cross-back-sports-bra</t>
        </is>
      </c>
    </row>
    <row r="814" ht="56" customHeight="1" s="229">
      <c r="A814" s="912" t="inlineStr">
        <is>
          <t>NEIWAI ACTIVE x Yuan Yuan Tan Satin Splicing Sweatpants</t>
        </is>
      </c>
      <c r="B814" s="913" t="inlineStr">
        <is>
          <t>Active</t>
        </is>
      </c>
      <c r="C814" s="914" t="n">
        <v>108</v>
      </c>
      <c r="D814" s="914" t="n">
        <v>108</v>
      </c>
      <c r="E814" s="913" t="inlineStr"/>
      <c r="F814" s="915" t="inlineStr">
        <is>
          <t>Combining elegance and multi-functional design, this NEIWAI ACTIVE x Yuan Yuan Tan high-waisted feminine piece is soft with imported Italian fabric construction and an added satin splicing for a dressier look. Inspired by traditional ballet attire, this piece will make a delicate addition to your wardrobe.</t>
        </is>
      </c>
      <c r="G814" s="916" t="inlineStr">
        <is>
          <t>• Made with imported Italian fabrics, with satin splicing for a dressier look • Outer lining has a soft brushed texture while the inner lining is breathable with a velvet feel • Functional two-sided zipper pocket for small items • Suitable for light sports or casual wear</t>
        </is>
      </c>
      <c r="H814" s="917" t="inlineStr">
        <is>
          <t>81% Polyester, 19% Spandex • Waistline Materials: 76% Nylon 24% Spandex • Care instructions: Machine wash gentle, line dry or tumble dry low</t>
        </is>
      </c>
      <c r="I814" s="918" t="inlineStr">
        <is>
          <t>Activity_Active/Ballet, Activity_Active/Ballet&amp;Dance, Activity_Active/Dance, Activity_Active/Gym, Activity_Active/Jogging, Activity_Active/Outdoor, Activity_Active/Yoga, Category_Active, Category_Active/Ballet, Category_Active/Joggers, Category_Active/Leggings &amp; Skirt, Collection_Yuan Yuan Tan, color-egret, Feature_Casuals, Feature_Essentials, Feature_New Arrival, over-10, Size_L, Size_M, Size_S, Size_XL, Size_XS, Size_XXL</t>
        </is>
      </c>
      <c r="J814" s="919" t="inlineStr">
        <is>
          <t>neiwai-active-yuan-yuan-tan-ballet-satin-splicing-sweatpants</t>
        </is>
      </c>
    </row>
    <row r="815" ht="70" customHeight="1" s="229">
      <c r="A815" s="880" t="inlineStr">
        <is>
          <t>Belle Lace Leavers Lace Low Waist Brief</t>
        </is>
      </c>
      <c r="B815" s="881" t="inlineStr">
        <is>
          <t>Underwear</t>
        </is>
      </c>
      <c r="C815" s="882" t="n">
        <v>45</v>
      </c>
      <c r="D815" s="882" t="n">
        <v>31.5</v>
      </c>
      <c r="E815" s="937" t="inlineStr">
        <is>
          <t>Yes</t>
        </is>
      </c>
      <c r="F815" s="883" t="inlineStr">
        <is>
          <t>Take a trip back in time in our Belle Lace Collection Leavers Lace Low Waist Brief, made from the softest stretch leavers lace - 'Queen of the laces' that lays comfortably flat against your skin. Designed with a soft lining and high cut in the leg to create a generous opening. This item is final sale and cannot be returned or exchanged.</t>
        </is>
      </c>
      <c r="G815" s="884" t="inlineStr">
        <is>
          <t>• Made from imported Italian fabric: unmatched elasticityÔºåsmooth texture • Low waistline, soft lace lining • Generous leg openings, no digging in or riding up</t>
        </is>
      </c>
      <c r="H815" s="885" t="inlineStr">
        <is>
          <t>78% Polyester, 22% Spandex • Lace Material: 88% Nylon 12% Spandex • Lining: 75% Polyester 25% Spandex • 100% Cotton gusset • Imported Italian Leavers Lace • Care instructions: Machine wash on gentle cycle or hand wash in cold water, lay flat to dry</t>
        </is>
      </c>
      <c r="I815" s="886" t="inlineStr">
        <is>
          <t>22 Spring Sale, Categeory_Underwear, Category_Lingerie, Category_Lingerie/Brief, Category_Lingerie/Brief/Low Waist, Category_Underwear, Category_Underwear/Bottoms, Category_Underwear/Bottoms/Panties, Category_Underwear/Bottoms/Panties/Low Waist, Collection_Belle Lace, color-amaranth, color-gray, color-night-shade, Fabric_Lingerie/Leavers Lace, Fabric_Underwear/Lace, Feature_Casuals, Feature_Essentials, Feature_New Arrival, HR-CX, no-returns, Pre-adjustment Size Brief, Size_L, Size_M, Size_S, Size_XL, Size_XS, Size_XXL</t>
        </is>
      </c>
      <c r="J815" s="887" t="inlineStr">
        <is>
          <t>belle-lace-leavers-lace-low-waist-brief</t>
        </is>
      </c>
    </row>
    <row r="816" ht="70" customHeight="1" s="229">
      <c r="A816" s="888" t="inlineStr">
        <is>
          <t>Pure Comfort Turkish Cotton 5/8 Cup Plunge Bra</t>
        </is>
      </c>
      <c r="B816" s="889" t="inlineStr">
        <is>
          <t>Underwear</t>
        </is>
      </c>
      <c r="C816" s="890" t="n">
        <v>48</v>
      </c>
      <c r="D816" s="890" t="n">
        <v>33.6</v>
      </c>
      <c r="E816" s="985" t="inlineStr">
        <is>
          <t>Yes</t>
        </is>
      </c>
      <c r="F816" s="891" t="inlineStr">
        <is>
          <t>The Turkish Cotton Wireless Bra from our Pure Comfort Collection is enhanced with soft, breathable Supima¬Æ Cotton blended with Austrian TENCEL‚Ñ¢ Modal to create an extra smooth, comfortable stretch fit for everyday wear. Its deep V-neck shape and memory foam cups form to your body, keeping you secure throughout your day.</t>
        </is>
      </c>
      <c r="G816" s="892" t="inlineStr">
        <is>
          <t>• Made with a blend of imported Turkish natural cotton and Supima¬Æ Cotton to enhance breathability, and Austrian TENCEL‚Ñ¢ Modal for extra softness and a seamless fit • 5/8 cup style, v-neckline suitable for low cut tops or t-shirts • Suitable for A-C cup sizes</t>
        </is>
      </c>
      <c r="H816" s="893" t="inlineStr">
        <is>
          <t>94.6% Turkish Cotton 5.4% Spandex • Lining: 44.2% Supima¬Æ Cotton 40.7% TENCEL‚Ñ¢ Modal 15% Modal • Cup Material: 100% Cotton • Imported Fabric Austria Modal • Care instructions: Machine wash on gentle cycle or hand wash in cold water, lay flat to dry</t>
        </is>
      </c>
      <c r="I816" s="894" t="inlineStr">
        <is>
          <t>Category_Bras/Cotton, Category_Lingerie, Category_Lingerie/Wireless Bra, Category_Lingerie/Wireless Bra/Soft-Cup, Category_Underwear, Category_Underwear/Tops, Category_Underwear/Tops/Wireless Bra, Collection_Pure Comfort, color-mauve-chalk, color-navy, color-warm-olive, Cup_A_C, Fabric_Lingerie/Turkish Cotton, Feature_Casuals, Feature_Essentials, Feature_New Arrival, no-returns, Size_L, Size_M, Size_S, Size_XL, Size_XS, Size_XXL</t>
        </is>
      </c>
      <c r="J816" s="895" t="inlineStr">
        <is>
          <t>pure-comfort-turkish-cotton-5-8-cup-plunge-bra</t>
        </is>
      </c>
    </row>
    <row r="817" ht="70" customHeight="1" s="229">
      <c r="A817" s="880" t="inlineStr">
        <is>
          <t>Pure Comfort Supima¬Æ Cotton Deep Plunge Cami</t>
        </is>
      </c>
      <c r="B817" s="881" t="inlineStr">
        <is>
          <t>Underwear</t>
        </is>
      </c>
      <c r="C817" s="882" t="n">
        <v>58</v>
      </c>
      <c r="D817" s="882" t="n">
        <v>58</v>
      </c>
      <c r="E817" s="881" t="inlineStr"/>
      <c r="F817" s="883" t="inlineStr">
        <is>
          <t>Diversify your basics with the Pure Comfort Collection Deep Plunge Supima¬Æ Cotton Cami, a perfect option for layering and support. Made with premium Supima¬Æ Cotton and Tencel‚Ñ¢ Modal for ultimate comfort &amp; softness. Designed with an elegant plunging neckline and professional full wireless bra structure making it effective and supportive.</t>
        </is>
      </c>
      <c r="G817" s="884" t="inlineStr">
        <is>
          <t>• Made with premium Supima¬Æ Cotton and Tencel‚Ñ¢ Modal • Adjustable straps in the back to fit multiple heights • Excellent choice for layering with support • Suitable for A-C cup sizes</t>
        </is>
      </c>
      <c r="H817" s="885" t="inlineStr">
        <is>
          <t>94% Supima¬Æ Cotton, 6% Spandex • Lining: 44.2% Supima¬Æ Cotton, 40.7% Tencel‚Ñ¢ Modal, 15% Spandex • Cup Material: 100% Cotton • Imported Fabric; Austria Modal • Care instructions: Machine wash on gentle cycle, lay flat to dry or tumble dry on low heat</t>
        </is>
      </c>
      <c r="I817" s="886" t="inlineStr">
        <is>
          <t>Category_Bras/Cotton, Category_Lingerie, Category_Lingerie/BRApparel, Category_Lingerie/BRApparel/Cami, Category_Underwear, Collection_Pure Comfort, color-navy, Cup_A_C, Fabric_Lingerie/Supima, Fabric_Underwear/Cotton, Feature_Casuals, Feature_Essentials, Feature_New Arrival, over-10, Size_L, Size_M, Size_S, Size_XL, Size_XS, Size_XXL</t>
        </is>
      </c>
      <c r="J817" s="887" t="inlineStr">
        <is>
          <t>pure-comfort-supima-cotton-deep-plunge-cami</t>
        </is>
      </c>
    </row>
    <row r="818" ht="70" customHeight="1" s="229">
      <c r="A818" s="928" t="inlineStr">
        <is>
          <t>Laid Back Ribbed V-Tie Padded Slip Dress Archive</t>
        </is>
      </c>
      <c r="B818" s="929" t="inlineStr">
        <is>
          <t>Loungewear</t>
        </is>
      </c>
      <c r="C818" s="930" t="n">
        <v>58</v>
      </c>
      <c r="D818" s="930" t="n">
        <v>40.6</v>
      </c>
      <c r="E818" s="936" t="inlineStr">
        <is>
          <t>Yes</t>
        </is>
      </c>
      <c r="F818" s="931" t="inlineStr">
        <is>
          <t>Comfort like you haven't felt in years, and sleep to match. Made with TENCEL‚Ñ¢ Modal that regulates your temperature through the night and super soft cotton with just a touch of stretch, this luxuriously smooth piece is so light on the skin that you'll hardly feel it's there. An elegant Laid Back Collection slip dress made with your bed in mind.</t>
        </is>
      </c>
      <c r="G818" s="932" t="inlineStr">
        <is>
          <t>• Made with imported Austrian TENCEL‚Ñ¢ Modal - eco-friendly, and adding extra softness and comfort • V-neck slip style dress with removable chest pads • Delicate rib-knitted texture</t>
        </is>
      </c>
      <c r="H818" s="933" t="inlineStr">
        <is>
          <t>47% Cotton, 47% TENCEL‚Ñ¢ Modal, 6% Spandex • Care instructions: Machine wash on gentle cycle, lay flat to dry or tumble dry on low heat</t>
        </is>
      </c>
      <c r="I818" s="934" t="inlineStr">
        <is>
          <t>2022 Title Update, 22 Spring Sale, Category_Lounge, Category_Lounge/Dress&amp;Jumpsuit, Category_Lounge/Pajamas &amp; Robes, Category_Lounge/Pajamas &amp; Robes/Dress, Collection_Laid Back, color-mojito, color-soft-pink, Fabric_Lounge/Cotton, Fabric_Lounge/Tencel, Fabric_Lounge/Tencel Modal, Feature_Casuals, Feature_Essentials, Feature_New Arrival, Final Sale, Function_Lounge/Sleep, Function_Lounge/Sleep/Nightdress, no-returns, Size_L, Size_M, Size_S, Size_XL, Size_XS, Size_XXL, Sleep</t>
        </is>
      </c>
      <c r="J818" s="935" t="inlineStr">
        <is>
          <t>laid-back-rib-v-tie-padded-slip-dress-archive</t>
        </is>
      </c>
    </row>
    <row r="819" ht="70" customHeight="1" s="229">
      <c r="A819" s="896" t="inlineStr">
        <is>
          <t>Cozy Cotton Cropped Sleep Pants</t>
        </is>
      </c>
      <c r="B819" s="897" t="inlineStr">
        <is>
          <t>Loungewear</t>
        </is>
      </c>
      <c r="C819" s="898" t="n">
        <v>78</v>
      </c>
      <c r="D819" s="898" t="n">
        <v>39</v>
      </c>
      <c r="E819" s="957" t="inlineStr">
        <is>
          <t>Yes</t>
        </is>
      </c>
      <c r="F819" s="899" t="inlineStr">
        <is>
          <t>A contemporary, chic look, these Cotton Sleep Pants are the ultimate lower-body sleepwear from our Cozy Cotton Collection . Made from 100% cotton, these lightweight pants are comfortable enough to lounge around yet stylish enough to leave the house in! A loose, relaxed fit, these pants feature an adjustable waistband and side pockets. This item is final sale and cannot be returned or exchanged .</t>
        </is>
      </c>
      <c r="G819" s="900" t="inlineStr">
        <is>
          <t>• An easy fit for anyone – and a flattering silhouette to boot • Drawstring waistband for a comfortable fit • Soft delicate and smooth texture</t>
        </is>
      </c>
      <c r="H819" s="901" t="inlineStr">
        <is>
          <t>100% Cotton • Care instructions: Machine wash cold, tumble dry on low heat or lay flat to dry</t>
        </is>
      </c>
      <c r="I819" s="902" t="inlineStr">
        <is>
          <t>22 Spring Sale, Category_Lounge, Category_Lounge/Bottoms, Category_Lounge/Pajamas &amp; Robes, Category_Lounge/Pajamas &amp; Robes/Bottoms, Category_Lounge/Pants, Collection_Classic, Collection_Cozy Cotton, color-hazelnut, color-mojito, Fabric_Lounge/100 Cotton, Fabric_Lounge/Cotton, Feature_Casuals, Feature_Essentials, Feature_New Arrival, Final Sale, Function_Lounge/Sleep/Pajama, hide-bis, no-returns, over-10, Sale, Size_L, Size_M, Size_S, Size_XL, Size_XS, Size_XXL, Sleep</t>
        </is>
      </c>
      <c r="J819" s="903" t="inlineStr">
        <is>
          <t>cotton-seven-point-sleep-pants</t>
        </is>
      </c>
    </row>
    <row r="820" ht="70" customHeight="1" s="229">
      <c r="A820" s="928" t="inlineStr">
        <is>
          <t>Cozy Cotton Sleep Shorts</t>
        </is>
      </c>
      <c r="B820" s="929" t="inlineStr">
        <is>
          <t>Loungewear</t>
        </is>
      </c>
      <c r="C820" s="930" t="n">
        <v>58</v>
      </c>
      <c r="D820" s="930" t="n">
        <v>40.6</v>
      </c>
      <c r="E820" s="936" t="inlineStr">
        <is>
          <t>Yes</t>
        </is>
      </c>
      <c r="F820" s="931" t="inlineStr">
        <is>
          <t>A timeless fixture in sleepwear, our Cozy Cotton Collection Sleep Shorts are 100% cotton, lightweight, and smooth on your skin. This modern version of a classic is the perfect choice for a self-care day or the most comfortable yoga you've ever done. Cut for a loose fit, features a drawstring waistband and functional side pockets.</t>
        </is>
      </c>
      <c r="G820" s="932" t="inlineStr">
        <is>
          <t>• Front &amp; center drawstring lets you customize your fit • Soft and cozy, guaranteed 100% cotton • Soft delicate and smooth texture • Functional pockets</t>
        </is>
      </c>
      <c r="H820" s="933" t="inlineStr">
        <is>
          <t>100% Cotton • Care instructions: Machine wash cold, tumble dry on low heat or lay flat to dry</t>
        </is>
      </c>
      <c r="I820" s="934" t="inlineStr">
        <is>
          <t>Category_Lounge, Category_Lounge/Bottoms, Category_Lounge/Pajamas &amp; Robes, Category_Lounge/Pajamas &amp; Robes/Bottoms, Category_Lounge/Shorts, Collection_Cozy Cotton, color-hazelnut, color-mojito, Fabric_Lounge/100 Cotton, Fabric_Lounge/Cotton, Feature_Casuals, Feature_Essentials, Feature_New Arrival, Final Sale, Function_Lounge/Sleep, Function_Lounge/Sleep/Pajama, no-returns, over-10, Size_L, Size_M, Size_S, Size_XL, Size_XS, Size_XXL</t>
        </is>
      </c>
      <c r="J820" s="935" t="inlineStr">
        <is>
          <t>cozy-cotton-sleep-shorts</t>
        </is>
      </c>
    </row>
    <row r="821" ht="84" customHeight="1" s="229">
      <c r="A821" s="896" t="inlineStr">
        <is>
          <t>Cozy Cotton Pleated Short Sleeve Shirt</t>
        </is>
      </c>
      <c r="B821" s="897" t="inlineStr">
        <is>
          <t>Loungewear</t>
        </is>
      </c>
      <c r="C821" s="898" t="n">
        <v>68</v>
      </c>
      <c r="D821" s="898" t="n">
        <v>34</v>
      </c>
      <c r="E821" s="957" t="inlineStr">
        <is>
          <t>Yes</t>
        </is>
      </c>
      <c r="F821" s="899" t="inlineStr">
        <is>
          <t>From our Cozy Cotton Collection , these Pleated Short-Sleeve Pajamas are light, cozy, and allow you to take on a minimalist style for bedtime. Made from 100% cotton, these comfortable, modern pajamas is the perfect choice when traveling or for a night at home with the family. Designed for a loose fit and features a lazy shoulder-to-shoulder arc hem. This item is final sale and cannot be returned or exchanged .</t>
        </is>
      </c>
      <c r="G821" s="900" t="inlineStr">
        <is>
          <t>• Soft and delicate on the skin • Comfortable and attractive, yet with a modest silhouette • Large functional pockets • Pullover style</t>
        </is>
      </c>
      <c r="H821" s="901" t="inlineStr">
        <is>
          <t>100% Cotton • Care instructions: Machine wash cold, tumble dry on low heat or lay flat to dry</t>
        </is>
      </c>
      <c r="I821" s="902" t="inlineStr">
        <is>
          <t>22 Spring Sale, Category_Lounge, Category_Lounge/Pajamas &amp; Robes, Category_Lounge/Pajamas &amp; Robes/Top, Category_Lounge/Top, Collection_Classic, Collection_Cozy Cotton, color-hazelnut, color-mojito, Fabric_Lounge/100 Cotton, Fabric_Lounge/Cotton, Feature_Casuals, Feature_Essentials, Feature_New Arrival, Final Sale, Function_Lounge/Sleep, Function_Lounge/Sleep/Pajama, no-returns, over-10, Size_L, Size_M, Size_S, Size_XL, Size_XS, Size_XXL, Sleep</t>
        </is>
      </c>
      <c r="J821" s="903" t="inlineStr">
        <is>
          <t>cozy-cotton-pleated-short-sleeve-shirt</t>
        </is>
      </c>
    </row>
    <row r="822" ht="70" customHeight="1" s="229">
      <c r="A822" s="888" t="inlineStr">
        <is>
          <t>Belle Lace Triangle Bra (draft)</t>
        </is>
      </c>
      <c r="B822" s="889" t="inlineStr">
        <is>
          <t>Underwear</t>
        </is>
      </c>
      <c r="C822" s="890" t="n">
        <v>68</v>
      </c>
      <c r="D822" s="890" t="n">
        <v>68</v>
      </c>
      <c r="E822" s="889" t="inlineStr"/>
      <c r="F822" s="891" t="inlineStr">
        <is>
          <t>This elegant and simple bra from the Belle Collection is the perfect style for sleep or work. Comfortable and light enough for lounging, but enough support and security for up to a C cup. Plunge lace cups lined with light boning at the side seams for full support and comfort. The edge lace embellishment brings a feminine touch with no discomfort.</t>
        </is>
      </c>
      <c r="G822" s="892" t="n"/>
      <c r="H822" s="893" t="n"/>
      <c r="I822" s="894" t="inlineStr">
        <is>
          <t>Categeory_Underwear, Category_Bras/Light Support, Category_Lingerie, Category_Lingerie/Wireless Bra/Triangle, Category_Underwear, Category_Underwear/Tops, Category_Underwear/Tops/Wireless Bra, Category_Underwear/Tops/Wireless Bra/Triangle, Collection_Belle Lace, color-primrose-pink, color-white, Fabric_Underwear/Lace, Feature_Casuals, Feature_Essentials, Feature_New Arrival, over-10, Size_L, Size_M, Size_S, Size_XL, Size_XS, Size_XXL</t>
        </is>
      </c>
      <c r="J822" s="895" t="inlineStr">
        <is>
          <t>belle-lace-triangle-bra-draft</t>
        </is>
      </c>
    </row>
    <row r="823" ht="84" customHeight="1" s="229">
      <c r="A823" s="880" t="inlineStr">
        <is>
          <t>Pure Beauty Matte Plunged V-back Bodysuit</t>
        </is>
      </c>
      <c r="B823" s="881" t="inlineStr">
        <is>
          <t>Underwear</t>
        </is>
      </c>
      <c r="C823" s="882" t="n">
        <v>88</v>
      </c>
      <c r="D823" s="882" t="n">
        <v>61.6</v>
      </c>
      <c r="E823" s="937" t="inlineStr">
        <is>
          <t>Yes</t>
        </is>
      </c>
      <c r="F823" s="883" t="inlineStr">
        <is>
          <t>A versatile, vintage-yet-contemporary bodysuit design that can be easily paired with any accessory and layered with a jacket. Our Pure Beauty Collection bodysuit is accented with high-quality LYCRA¬Æ fiber to enhance comfort and retain its form and shape, with a built-in mesh lining for additional support and tighter fit. Features a V-shape neckline &amp; back with built-in molded cups to define your shape and provide support with a bottom snap closure and convertible straps.</t>
        </is>
      </c>
      <c r="G823" s="884" t="inlineStr">
        <is>
          <t>• Made with LYCRA¬Æ fiber for a comfortable stretch and durable fit • Convertible straps and detachable cups with no back buckle • Jumper style with an easy snap and V-shape back • Suitable for B-D cup sizes</t>
        </is>
      </c>
      <c r="H823" s="885" t="inlineStr">
        <is>
          <t>Outer lining: 58% Nylon, 42% LYCRA¬Æ fiber; a mixture of smooth and light fabrics • Mesh lining: 72.4% Nylon, 27.6% LYCRA¬Æ fiber; high-quality mesh • Inner lining: 71.5% Nylon, 28.5% LYCRA¬Æ fiber • 100% cotton gusset • Care instructions: Machine wash on gentle cycle or hand wash in cold water; lay flat to dry</t>
        </is>
      </c>
      <c r="I823" s="886" t="inlineStr">
        <is>
          <t>Category_Lingerie, Category_Lingerie/BRApparel, Category_Lounge/Bodysuits, Category_Underwear, Category_Underwear/Tops, Category_Underwear/Tops/Bodysuits, Collection_Pure Beauty, color-lilac-ash, color-olive, Cup_B_D, Fabric_Lingerie/Lycra, Feature_Casuals, Feature_Essentials, Feature_New Arrival, HR-CX, Lingerie/BRApparel/Bodysuit, over-10, Size_L, Size_M, Size_S, Size_XL, Size_XS, Size_XXL, Sized Bodysuit</t>
        </is>
      </c>
      <c r="J823" s="887" t="inlineStr">
        <is>
          <t>nude-shape-matte-mesh-plunged-v-back-bodysuit</t>
        </is>
      </c>
    </row>
    <row r="824" ht="84" customHeight="1" s="229">
      <c r="A824" s="904" t="inlineStr">
        <is>
          <t>Voyage 1/2 Cup Bandeau Bikini Top</t>
        </is>
      </c>
      <c r="B824" s="905" t="inlineStr">
        <is>
          <t>Active</t>
        </is>
      </c>
      <c r="C824" s="906" t="n">
        <v>58</v>
      </c>
      <c r="D824" s="906" t="n">
        <v>29</v>
      </c>
      <c r="E824" s="956" t="inlineStr">
        <is>
          <t>Yes</t>
        </is>
      </c>
      <c r="F824" s="907" t="inlineStr">
        <is>
          <t>You won't forget to pack this piece on your next trip. Our Vacation Voyage Collection has a built-in feel good factor, and this minimalist bikini top is no exception. Complete with adjustable straps and optional soft cups, this top will add an elegant touch to your pool-side look with a stylish bandeau design that's sure to make a splash. This item is final sale and cannot be returned or exchanged .</t>
        </is>
      </c>
      <c r="G824" s="908" t="inlineStr">
        <is>
          <t>• Made with imported Italian Lycra XTRA LIFE‚Ñ¢ Fiber for a long-lasting fit that resists degradation from chlorine water • Vintage bandeau style with a chic arc back strap design and shirt pocket • Convertible straps with detachable padding, half-cups, and clasps at the back</t>
        </is>
      </c>
      <c r="H824" s="909" t="inlineStr">
        <is>
          <t>80% Nylon 20% Lycra XTRA LIFE‚Ñ¢ Fiber • Lining: 100% Nylon • Care instructions: Machine wash on gentle cycle in cold water, lay flat to dry</t>
        </is>
      </c>
      <c r="I824" s="910" t="inlineStr">
        <is>
          <t>22 Spring Sale, Active/Swimwear/Swim Tops, Activity_Active/Swim, Category_Active, Category_Active/Swimwear, Collection_Voyage, color-baked-apple, color-mykonos-blue, color-sagebrush-green, Fabric_Active/Lycra, Feature_Casuals, Feature_Essentials, Feature_New Arrival, Final Sale, hide-bis, no-returns, over-10, Sale, Size_L, Size_M, Size_S, Size_XL, Size_XS, Size_XXL</t>
        </is>
      </c>
      <c r="J824" s="911" t="inlineStr">
        <is>
          <t>voyage-1-2-cup-bandeau-bikini-top</t>
        </is>
      </c>
    </row>
    <row r="825" ht="70" customHeight="1" s="229">
      <c r="A825" s="912" t="inlineStr">
        <is>
          <t>NEIWAI ACTIVE x Yuan Yuan Tan 3/4 Sleeve V-back Sports Top</t>
        </is>
      </c>
      <c r="B825" s="913" t="inlineStr">
        <is>
          <t>Active</t>
        </is>
      </c>
      <c r="C825" s="914" t="n">
        <v>78</v>
      </c>
      <c r="D825" s="914" t="n">
        <v>78</v>
      </c>
      <c r="E825" s="913" t="inlineStr"/>
      <c r="F825" s="915" t="inlineStr">
        <is>
          <t>A convergence of the worlds of dance and fashion, NEIWAI ACTIVE x Yuan Yuan Tan innovative products successfully fuse the best creative influences from both domains. This top embraces contemporary design and innovative sports technology, and as any piece of NEIWAI's collection of ballet and lifestyle clothing, it will keep you looking good whether it's for casual wear or competition.</t>
        </is>
      </c>
      <c r="G825" s="916" t="inlineStr">
        <is>
          <t>• Carefully designed using imported Italian fabrics for a smooth, light texture with plenty of stretch for maximum mobility • Sleek and moisture-wicking, ultraviolet-proof, and chlorine resistant • Includes inner support with fixed padding, bra optional • Fits A-C cup sizes</t>
        </is>
      </c>
      <c r="H825" s="917" t="inlineStr">
        <is>
          <t>Outer lining: 75% Nylon, 25% Spandex • Inner mesh lining: 72% Nylon, 28% Spandex • Care instructions: Machine wash on gentle cycle, line dry</t>
        </is>
      </c>
      <c r="I825" s="918" t="inlineStr">
        <is>
          <t>Activity_Active/Ballet, Activity_Active/Ballet&amp;Dance, Activity_Active/Dance, Activity_Active/Gym, Activity_Active/Jogging, Activity_Active/Outdoor, Activity_Active/Pilates, Activity_Active/Running, Activity_Active/Yoga, Category_Active, Category_Active/Sport Bra &amp; Top, Category_Active/Tops, Collection_Yuan Yuan Tan, color-rosette, color-white, Feature_Casuals, Feature_New Arrival, over-10, Size_L, Size_M, Size_S, Size_XL, Size_XS, Size_XXL</t>
        </is>
      </c>
      <c r="J825" s="919" t="inlineStr">
        <is>
          <t>neiwai-active-yuan-yuan-tan-3-4-sleeve-v-back-sports-top</t>
        </is>
      </c>
    </row>
    <row r="826" ht="56" customHeight="1" s="229">
      <c r="A826" s="904" t="inlineStr">
        <is>
          <t>Yoya Yoga Mesh High Waist Leggings</t>
        </is>
      </c>
      <c r="B826" s="905" t="inlineStr">
        <is>
          <t>Active</t>
        </is>
      </c>
      <c r="C826" s="906" t="n">
        <v>88</v>
      </c>
      <c r="D826" s="906" t="n">
        <v>44</v>
      </c>
      <c r="E826" s="956" t="inlineStr">
        <is>
          <t>Yes</t>
        </is>
      </c>
      <c r="F826" s="907" t="inlineStr">
        <is>
          <t>Whether you're going from home to the gym or from work to the studio, don't let your clothes define what you can do. Our Yoya Yoga Collection high-rise Yoga Pants are the solution to your daily needs, wherever your day might take you. Fit tip: if you're in between sizes, we recommend sizing up.</t>
        </is>
      </c>
      <c r="G826" s="908" t="inlineStr">
        <is>
          <t>• Made from Lycra¬Æ elastic fiber for greater stretch and shape retention • Semi-permeable mesh stitching and elevated design to enhance leg line and definition • Removable seams to reduce friction and enhance mobility • Elastic high waist design with oblique stitching for a light yet firm fit • Waistband lays flat without digging in and features a side pocket • Designed for yoga, light sports, or leisure</t>
        </is>
      </c>
      <c r="H826" s="909" t="inlineStr">
        <is>
          <t>83% Nylon, 17% Lycra¬Æ S pandex • Lining: 83% Nylon, 17% Lycra¬Æ Spandex • Care instructions: Machine wash on gentle cycle in cold water; line dry</t>
        </is>
      </c>
      <c r="I826" s="910" t="inlineStr">
        <is>
          <t>22 Spring Sale, Activity_Active/Gym, Activity_Active/Jogging, Activity_Active/Outdoor, Activity_Active/Pilates, Activity_Active/Yoga, Category_Active, Category_Active/Leggings, Category_Active/Leggings &amp; Skirt, Collection_Yoya Yoga, color-cherry, color-dark-blue, Fabric_Active/2-Way-Stretchy, Fabric_Active/Lycra, Feature_Casuals, Feature_Essentials, Feature_New Arrival, Final Sale, no-returns, over-10, Size_L, Size_M, Size_S, Size_XL, Size_XS, Size_XXL</t>
        </is>
      </c>
      <c r="J826" s="911" t="inlineStr">
        <is>
          <t>yoya-yoga-mesh-high-waist-leggings</t>
        </is>
      </c>
    </row>
    <row r="827" ht="42" customHeight="1" s="229">
      <c r="A827" s="912" t="inlineStr">
        <is>
          <t>NEIWAI ACTIVE x Yuan Yuan Tan Long-Sleeve V-back Ballet Bodysuit</t>
        </is>
      </c>
      <c r="B827" s="913" t="inlineStr">
        <is>
          <t>Active</t>
        </is>
      </c>
      <c r="C827" s="914" t="n">
        <v>108</v>
      </c>
      <c r="D827" s="914" t="n">
        <v>75.59999999999999</v>
      </c>
      <c r="E827" s="955" t="inlineStr">
        <is>
          <t>Yes</t>
        </is>
      </c>
      <c r="F827" s="915" t="inlineStr">
        <is>
          <t>A functional design inspired by traditional ballet attire. Our NEIWAI ACTIVE x Yuan Yuan Tan Ballet V-Back Leotard will perfectly frame your silhouette with its soft and stretchy fabric and make your day feel as graceful as a pirouette.</t>
        </is>
      </c>
      <c r="G827" s="916" t="inlineStr">
        <is>
          <t>• Outer shell made from imported Italian materials, lightweight and flexible • Inner lining is soft, breathable with high-performance stretch • Ruffle fold to obscure and frame your body shape • Detachable chest pad and an easy snap closure • Designed for yoga, light sports or leisure</t>
        </is>
      </c>
      <c r="H827" s="917" t="inlineStr">
        <is>
          <t>75% Nylon, 25% Spandex • Inner Lining: 73% Nylon, 27% Spandex • Care instructions: Machine wash on gentle cycle, lay flat to dry</t>
        </is>
      </c>
      <c r="I827" s="918" t="inlineStr">
        <is>
          <t>22 Spring Sale, Active/Ballet/Bodysuit, Active/Ballet/Tops, Active/Bras &amp; Tops, Activity_Active/Ballet, Activity_Active/Ballet&amp;Dance, Activity_Active/Dance, Activity_Active/Gym, Activity_Active/Jogging, Activity_Active/Outdoor, Activity_Active/Pilates, Activity_Active/Running, Activity_Active/Yoga, Category_Active, Category_Active/Ballet, Category_Active/Bodysuits, Category_Active/Sport Bra &amp; Top, Category_Active/Tops, Category_Lounge/Bodysuits, Collection_Yuan Yuan Tan, color-russet-brown, Feature_Casuals, Feature_Essentials, Feature_New Arrival, Final Sale, hide-bis, HR-CX, no-returns, over-10, Sale, Size_L, Size_M, Size_S, Size_XL, Size_XS, Size_XXL, Sized Bodysuit</t>
        </is>
      </c>
      <c r="J827" s="919" t="inlineStr">
        <is>
          <t>neiwai-acitve-yuan-yuan-tan-long-sleeve-v-back-ballet-bodysuit</t>
        </is>
      </c>
    </row>
    <row r="828" ht="28" customHeight="1" s="229">
      <c r="A828" s="904" t="inlineStr">
        <is>
          <t>NEIWAI ACTIVE x Yuan Yuan Tan Sling Pleated Sports Bra</t>
        </is>
      </c>
      <c r="B828" s="905" t="inlineStr">
        <is>
          <t>Active</t>
        </is>
      </c>
      <c r="C828" s="906" t="n">
        <v>78</v>
      </c>
      <c r="D828" s="906" t="n">
        <v>39</v>
      </c>
      <c r="E828" s="956" t="inlineStr">
        <is>
          <t>Yes</t>
        </is>
      </c>
      <c r="F828" s="907" t="inlineStr">
        <is>
          <t>This sling ballet bra from our NEIWAI ACTIVE x Yuan Yuan Tan combines elegance with multi-functional design, with ruching details for added style.</t>
        </is>
      </c>
      <c r="G828" s="908" t="inlineStr">
        <is>
          <t>• Made from imported Italian materials that are both soft and breathable • Comfortable support via double sling and non-adjustable straps • Pull-over style, non-adjustable buckle • Suitable for A-C cup sizes</t>
        </is>
      </c>
      <c r="H828" s="909" t="inlineStr">
        <is>
          <t>74% Nylon; 26% Spandex • Lining: 75% Nylon; 25% Spandex • Imported Italian fabric • Care instructions: Machine wash on gentle cycle in cold water, lay flat to dry</t>
        </is>
      </c>
      <c r="I828" s="910" t="inlineStr">
        <is>
          <t>22 Spring Sale, Active/Bras &amp; Tops, Active/Bras &amp; Tops/Sports Bra, Active/Sports Bras &amp;amp; Tops, Active/Sports Bras &amp;Tops, Activity_Active/Ballet, Activity_Active/Ballet&amp;Dance, Activity_Active/Dance, Activity_Active/Gym, Activity_Active/Jogging, Activity_Active/Outdoor, Activity_Active/Pilates, Activity_Active/Running, Activity_Active/Yoga, Category_Active, Category_Active/Ballet, Category_Active/Sport Bra &amp; Top, Category_Active/Sports Bra, Collection_Yuan Yuan Tan, color-navy, color-white, Fabric_Active/2-Way-Stretchy, Feature_Casuals, Feature_Essentials, Feature_New Arrival, Final Sale, no-returns, over-10, Size_L, Size_M, Size_S, Size_XL, Size_XS, Size_XXL</t>
        </is>
      </c>
      <c r="J828" s="911" t="inlineStr">
        <is>
          <t>neiwai-acitve-yuan-yuan-tan-sling-pleated-sports-bra</t>
        </is>
      </c>
    </row>
    <row r="829" ht="84" customHeight="1" s="229">
      <c r="A829" s="912" t="inlineStr">
        <is>
          <t>NEIWAI ACTIVE x Yuan Yuan Tan 2-in-1 Ultra Soft Stirrup Leggings</t>
        </is>
      </c>
      <c r="B829" s="913" t="inlineStr">
        <is>
          <t>Active</t>
        </is>
      </c>
      <c r="C829" s="914" t="n">
        <v>98</v>
      </c>
      <c r="D829" s="914" t="n">
        <v>68.59999999999999</v>
      </c>
      <c r="E829" s="955" t="inlineStr">
        <is>
          <t>Yes</t>
        </is>
      </c>
      <c r="F829" s="915" t="inlineStr">
        <is>
          <t>Elegant yet multi-functional, soft yet strong - just like you. Bring out your inner dancer in our Ballet Sports Legging. This NEIWAI ACTIVE x Yuan Yuan Tan high-waisted feminine piece has stirrups that hug the arch of your foot and move in-line with your every motion. Made from imported Italian fabrics, these leggings offer omnidirectional stretch and structured seam lines to accentuate your legs. Fit tip: if you're in between sizes, we recommend sizing up.</t>
        </is>
      </c>
      <c r="G829" s="916" t="inlineStr">
        <is>
          <t>• Moisture-wicking, double-sided brushed fabric, for a soft and smooth texture • Lightweight four-way stretch for a natural feel and fit • Functional side pockets for phone, cards, or anything else • High waist with structured seams providing a contoured fit • Adjustable stirrup length for your preference • Inner panty structure • Designed for yoga or light sports</t>
        </is>
      </c>
      <c r="H829" s="917" t="inlineStr">
        <is>
          <t>81% Nylon, 19% Spandex • Inner Lining: 75% Nylon 25% Spandex • Care instructions: Machine wash on gentle cycle in cold water, tumble dry on low heat</t>
        </is>
      </c>
      <c r="I829" s="918" t="inlineStr">
        <is>
          <t>Active/Leggings &amp; Skirts/Leggings, Active/Shop All, Activity_Active/Ballet, Activity_Active/Ballet&amp;Dance, Activity_Active/Dance, Activity_Active/Gym, Activity_Active/Jogging, Activity_Active/Outdoor, Activity_Active/Pilates, Activity_Active/Running, Activity_Active/Yoga, Category_Active, Category_Active/Ballet, Category_Active/Leggings, Category_Active/Leggings &amp; Skirt, Collection_Yuan Yuan Tan, Fabric_Active/2-Way-Stretchy, Feature_Casuals, Feature_Essentials, Final Sale, no-returns, over-10, Size_L, Size_M, Size_S, Size_XL, Size_XS, Size_XXL</t>
        </is>
      </c>
      <c r="J829" s="919" t="inlineStr">
        <is>
          <t>neiwai-acitve-yuan-yuan-tan-2-in-1-ultra-soft-stirrup-leggings</t>
        </is>
      </c>
    </row>
    <row r="830" ht="70" customHeight="1" s="229">
      <c r="A830" s="904" t="inlineStr">
        <is>
          <t>NEIWAI ACTIVE x Yuan Yuan Tan Satin V Neck Sports Bra</t>
        </is>
      </c>
      <c r="B830" s="905" t="inlineStr">
        <is>
          <t>Active</t>
        </is>
      </c>
      <c r="C830" s="906" t="n">
        <v>68</v>
      </c>
      <c r="D830" s="906" t="n">
        <v>47.6</v>
      </c>
      <c r="E830" s="956" t="inlineStr">
        <is>
          <t>Yes</t>
        </is>
      </c>
      <c r="F830" s="907" t="inlineStr">
        <is>
          <t>Renowned San Francisco Ballet Prima Tan Yuanyuan proudly wears this Satin V-Neck Sports Bra from our NEIWAI ACTIVE x Yuan Yuan Tan collaboration collection. A great option for performances and exercise, or even work &amp; commuting! This wireless bra is lightweight and breathable with materials that provide optimal comfort while ensuring good support and invisibility under clothing.</t>
        </is>
      </c>
      <c r="G830" s="908" t="inlineStr">
        <is>
          <t>• V intage-style, satin-like gloss texture with delicate micro-pleats. • Breathable and moisture-wicking inner lining with high elasticity. • A trim front and back V-neckline and vest-like structure provide additional support for motion and movement. • Chest pads are detachable; straps and band are not adjustable. • Designed for dance, yoga, or light sports.</t>
        </is>
      </c>
      <c r="H830" s="909" t="inlineStr">
        <is>
          <t>76% polyamide, 24% Spandex • Lining: 73% polyamide, 27% Spandex • Care instructions: Machine wash on gentle cycle, lay flat to dry</t>
        </is>
      </c>
      <c r="I830" s="910" t="inlineStr">
        <is>
          <t>22 Spring Sale, Active/Bras &amp; Tops, Active/Bras &amp; Tops/Sports Bra, Activity_Active/Ballet, Activity_Active/Ballet&amp;Dance, Activity_Active/Dance, Activity_Active/Gym, Activity_Active/Jogging, Activity_Active/Outdoor, Activity_Active/Pilates, Activity_Active/Running, Activity_Active/Yoga, Category_Active, Category_Active/Ballet, Category_Active/Sport Bra &amp; Top, Collection_Yuan Yuan Tan, color-red-brown, Fabric_Active/2-Way-Stretchy, Feature_Casuals, Feature_Essentials, Feature_New Arrival, Final Sale, hide-bis, no-returns, over-10, Sale, Size_L, Size_M, Size_S, Size_XL, Size_XS, Size_XXL</t>
        </is>
      </c>
      <c r="J830" s="911" t="inlineStr">
        <is>
          <t>neiwai-active-yuan-yuan-tan-satin-plunge-sports-bra</t>
        </is>
      </c>
    </row>
    <row r="831" ht="70" customHeight="1" s="229">
      <c r="A831" s="928" t="inlineStr">
        <is>
          <t>Laid Back Ribbed Cardigan</t>
        </is>
      </c>
      <c r="B831" s="929" t="inlineStr">
        <is>
          <t>Loungewear</t>
        </is>
      </c>
      <c r="C831" s="930" t="n">
        <v>88</v>
      </c>
      <c r="D831" s="930" t="n">
        <v>88</v>
      </c>
      <c r="E831" s="929" t="inlineStr"/>
      <c r="F831" s="931" t="inlineStr">
        <is>
          <t>Cut for a loose and generous fit, this Laid Back Collection ribbed cardigan has an optional tie belt to the define your waistline. Elegant and lightweight, this cardigan is perfect for a relaxing day at home or thrown over a blouse for a casual day out. Available in refreshing, versatile colors, it's sure to be a new staple in your wardrobe.</t>
        </is>
      </c>
      <c r="G831" s="932" t="inlineStr">
        <is>
          <t>• Lightweight and breathable Modal and cotton blend in a ribbed (yet soft) texture • Loose and generous fit with adjustable waist belt • Designed for wear as both loungewear or cardigan</t>
        </is>
      </c>
      <c r="H831" s="933" t="inlineStr">
        <is>
          <t>47% Cotton, 47% TENCEL‚Ñ¢ Modal, 6% Spandex • Imported Fabric, Austria Modal • Care Instructions: Machine wash on gentle cycle, lay flat to dry or tumble dry on low heat</t>
        </is>
      </c>
      <c r="I831" s="934" t="inlineStr">
        <is>
          <t>2022 Title Update, Category_Lounge, Category_Lounge/Cardigan, Category_Lounge/Cardigan&amp;Jacket, Category_Lounge/Pajamas &amp; Robes, Collection_Laid Back, color-mojito, color-soft-pink, Fabric_Lounge/Cotton, Fabric_Lounge/Tencel, Fabric_Lounge/Tencel Modal, Feature_Best Seller, Feature_Casuals, Feature_Essentials, Feature_New Arrival, Function_Lounge/Sleep, Function_Lounge/Sleep/Pajama, Function_Lounge/Sleep/Robe, over-10, Shop All, Size_L, Size_M, Size_S, Size_XL, Size_XS, Size_XXL</t>
        </is>
      </c>
      <c r="J831" s="935" t="inlineStr">
        <is>
          <t>laid-back-ribbed-cardigan-archive</t>
        </is>
      </c>
    </row>
    <row r="832" ht="56" customHeight="1" s="229">
      <c r="A832" s="896" t="inlineStr">
        <is>
          <t>Laid Back Ribbed Lounge Pants 1.0</t>
        </is>
      </c>
      <c r="B832" s="897" t="inlineStr">
        <is>
          <t>Loungewear</t>
        </is>
      </c>
      <c r="C832" s="898" t="n">
        <v>68</v>
      </c>
      <c r="D832" s="898" t="n">
        <v>34</v>
      </c>
      <c r="E832" s="957" t="inlineStr">
        <is>
          <t>Yes</t>
        </is>
      </c>
      <c r="F832" s="899" t="inlineStr">
        <is>
          <t>Slip into something more comfortable with our elegant relaxed-fit ribbed bottoms that are designed for sleep, lounging, or any leisure activity in or out of doors. For a complete look, pair with the Laid Back Collection ribbed cami and cardigan! This item is final sale and cannot be returned or exchanged .</t>
        </is>
      </c>
      <c r="G832" s="900" t="inlineStr">
        <is>
          <t>• Lightweight fabric that is combined with soft TENCEL‚Ñ¢ Modal • Elastic mid-waist band, straight leg with a relaxed fit and ribbed texture • Designed for both loungewear and sleep</t>
        </is>
      </c>
      <c r="H832" s="901" t="inlineStr">
        <is>
          <t>47% Cotton, 47% TENCEL‚Ñ¢ Modal, 6% Spandex • Care instructions: Machine wash on gentle cycle, lay flat to dry or tumble dry on low heat</t>
        </is>
      </c>
      <c r="I832" s="902" t="inlineStr">
        <is>
          <t>2022 Title Update, 22 Spring Sale, Category_Lounge, Category_Lounge/Bottoms, Category_Lounge/Pajamas &amp; Robes, Category_Lounge/Pajamas &amp; Robes/Bottoms, Category_Lounge/Pants, Collection_Laid Back, color-mojito, color-soft-pink, Fabric_Lounge/Cotton, Fabric_Lounge/Tencel, Fabric_Lounge/Tencel Modal, Feature_Casuals, Feature_Essentials, Feature_New Arrival, Final Sale, Function_Lounge/Essential/Pants, Function_Lounge/Sleep, Function_Lounge/Sleep/Pajama, hide-bis, no-returns, over-10, Sale, Shop All, Size_L, Size_M, Size_S, Size_XL, Size_XS, Size_XXL, Sleep</t>
        </is>
      </c>
      <c r="J832" s="903" t="inlineStr">
        <is>
          <t>laid-back-ribbed-lounge-pants-v1</t>
        </is>
      </c>
    </row>
    <row r="833" ht="56" customHeight="1" s="229">
      <c r="A833" s="928" t="inlineStr">
        <is>
          <t>Laid Back Ribbed V-Neck Cami 1.0</t>
        </is>
      </c>
      <c r="B833" s="929" t="inlineStr">
        <is>
          <t>Loungewear</t>
        </is>
      </c>
      <c r="C833" s="930" t="n">
        <v>48</v>
      </c>
      <c r="D833" s="930" t="n">
        <v>33.6</v>
      </c>
      <c r="E833" s="936" t="inlineStr">
        <is>
          <t>Yes</t>
        </is>
      </c>
      <c r="F833" s="931" t="inlineStr">
        <is>
          <t>Slip into our elegant relaxed-fit sleep top and enjoy your evening in absolute comfort. This lightweight ribbed top is a versatile design that can be worn for sleep and lounging indoors or outdoors, and pairs well with our Laid Back Collection relaxed-fit ribbed pants!</t>
        </is>
      </c>
      <c r="G833" s="932" t="inlineStr">
        <is>
          <t>• Made with imported Italian TENCEL ‚Ñ¢ Modal and cotton for supreme softness • Delicate rib-knitted for added texture • Lightweight 4-way stretch for a super soft and natural feel • Detachable padding</t>
        </is>
      </c>
      <c r="H833" s="933" t="inlineStr">
        <is>
          <t>47% TENCEL‚Ñ¢ Modal 47% Cotton 6% Spandex • Care instructions: Machine wash gentle, lat flat to dry or tumble dry low</t>
        </is>
      </c>
      <c r="I833" s="934" t="inlineStr">
        <is>
          <t>2022 Title Update, 22 Spring Sale, Category_Lounge, Category_Lounge/Pajamas &amp; Robes, Category_Lounge/Pajamas &amp; Robes/Top, Category_Lounge/Top, Collection_Laid Back, color-mojito, color-soft-pink, Fabric_Lounge/Cotton, Fabric_Lounge/Tencel, Fabric_Lounge/Tencel Modal, Feature_Casuals, Feature_Essentials, Feature_New Arrival, Final Sale, Function_Lounge/Sleep, Function_Lounge/Sleep/Pajama, no-returns, over-10, Shop All, Size_L, Size_M, Size_S, Size_XL, Size_XS, Size_XXL</t>
        </is>
      </c>
      <c r="J833" s="935" t="inlineStr">
        <is>
          <t>laid-back-ribbed-v-neck-cami-v1</t>
        </is>
      </c>
    </row>
    <row r="834" ht="56" customHeight="1" s="229">
      <c r="A834" s="888" t="inlineStr">
        <is>
          <t>Nude 3/4 Cup Plunge T-Shirt Bra</t>
        </is>
      </c>
      <c r="B834" s="889" t="inlineStr">
        <is>
          <t>Underwear</t>
        </is>
      </c>
      <c r="C834" s="890" t="n">
        <v>68</v>
      </c>
      <c r="D834" s="890" t="n">
        <v>47.6</v>
      </c>
      <c r="E834" s="985" t="inlineStr">
        <is>
          <t>Yes</t>
        </is>
      </c>
      <c r="F834" s="891" t="inlineStr">
        <is>
          <t>Made from imported Italian fabric, the Nude Collection 3/4 Plunge T-shirt Bra is a light yet supportive option for everyday comfort. The medium-coverage cups provide maximum comfort and support up to a D cup, while the plunging center allows it to be worn with low-cut tops.</t>
        </is>
      </c>
      <c r="G834" s="892" t="inlineStr">
        <is>
          <t>• Medium-coverage cups for all-day comfort and support • Fully adjustable shoulder straps and band • Suitable for A-D cup sizes</t>
        </is>
      </c>
      <c r="H834" s="893" t="inlineStr">
        <is>
          <t>79% Polyamide 21% Spandex • Lining: 79% Polyamide 21% Spandex • Care instructions: Machine wash on gentle cycle, lay flat to dry</t>
        </is>
      </c>
      <c r="I834" s="894" t="inlineStr">
        <is>
          <t>Category_Bras/Everyday, Category_Lingerie, Category_Lingerie/Wireless Bra, Category_Lingerie/Wireless Bra/Seamless, Category_Underwear, Category_Underwear/Tops, Category_Underwear/Tops/Wireless Bra, Category_Underwear/Tops/Wireless Bra/Seamless, Collection_Nude, color-pink-nectar, Cup_B_D, Cup_C_Plus, Feature_Casuals, Feature_Essentials, Feature_New Arrival, no-returns, over-10, Shop All, Size_L, Size_M, Size_S, Size_XL, Size_XS, Size_XXL</t>
        </is>
      </c>
      <c r="J834" s="895" t="inlineStr">
        <is>
          <t>nude-3-4-cup-plunge-t-shirt-bra</t>
        </is>
      </c>
    </row>
    <row r="835" ht="70" customHeight="1" s="229">
      <c r="A835" s="880" t="inlineStr">
        <is>
          <t>Pure Beauty V-shape TENCEL‚Ñ¢ Low Waist Brief</t>
        </is>
      </c>
      <c r="B835" s="881" t="inlineStr">
        <is>
          <t>Underwear</t>
        </is>
      </c>
      <c r="C835" s="882" t="n">
        <v>18</v>
      </c>
      <c r="D835" s="882" t="n">
        <v>9</v>
      </c>
      <c r="E835" s="937" t="inlineStr">
        <is>
          <t>Yes</t>
        </is>
      </c>
      <c r="F835" s="883" t="inlineStr">
        <is>
          <t>Tailored with TENCEL‚Ñ¢ Modal, this Pure Beauty Collection low-rise cross brief an elegant combination of comfort and style. Featuring a V-shape design and a low waistline for a feminine look, this comfortable bikini makes a beautiful addition to any lingerie collection. This item is final sale and cannot be returned or exchanged .</t>
        </is>
      </c>
      <c r="G835" s="884" t="inlineStr">
        <is>
          <t>• Made with imported Austrian TENCEL‚Ñ¢ Modal and Spandex, delicately ribbed for a smooth, soft, and light stretch • Generous leg openings – no uncomfortable digging in • Cross design enhanced by a double overlap fabric a chic look</t>
        </is>
      </c>
      <c r="H835" s="885" t="inlineStr">
        <is>
          <t>87% TENCEL‚Ñ¢ Modal 13% Spandex • 100% cotton gusset • Imported Fabric Austria Modal • Care instructions: Machine wash on gentle cycle, lay flat to dry or tumble dry on low heat</t>
        </is>
      </c>
      <c r="I835" s="886" t="inlineStr">
        <is>
          <t>22 Spring Sale, 22FW 50OFF, Category_Lingerie, Category_Lingerie/Brief, Category_Lingerie/Brief/Low Waist, Category_Underwear, Category_Underwear/Bottoms, Category_Underwear/Bottoms/Panties, Category_Underwear/Bottoms/Panties/Low Waist, Collection_Pure Beauty, color-lavender, color-light-green, color-orange, Fabric_Lingerie/Tencel, Fabric_Underwear/Cotton, Fabric_Underwear/Tencel Modal, hide-bis, HR-CX, no-returns, over-10, Pre-adjustment Size Brief, Sale</t>
        </is>
      </c>
      <c r="J835" s="887" t="inlineStr">
        <is>
          <t>pure-beauty-v-shape-tencel-low-waist-brief</t>
        </is>
      </c>
    </row>
    <row r="836" ht="84" customHeight="1" s="229">
      <c r="A836" s="888" t="inlineStr">
        <is>
          <t>Nude Striped Mesh Bodysuit</t>
        </is>
      </c>
      <c r="B836" s="889" t="inlineStr">
        <is>
          <t>Underwear</t>
        </is>
      </c>
      <c r="C836" s="890" t="n">
        <v>98</v>
      </c>
      <c r="D836" s="890" t="n">
        <v>49</v>
      </c>
      <c r="E836" s="985" t="inlineStr">
        <is>
          <t>Yes</t>
        </is>
      </c>
      <c r="F836" s="891" t="inlineStr">
        <is>
          <t>Our Nude Collection Tulle Striped Mesh Bodysuit offers a perfect invisible layer under clothing with its smooth and elastic texture. It's designed with four-way stretch material to enhance comfort and elasticity, defining and refining your outline. This bodysuit features a key-hole design for breathability and is semi-transparent in the back. This item is final sale and cannot be returned or exchanged .</t>
        </is>
      </c>
      <c r="G836" s="892" t="inlineStr">
        <is>
          <t>• Striped mesh, four-way-stretch material that is soft for durability and comfort • Smooth fabrics in the front for a seamless look, semi-transparent in the back • Key-hole design for ventilation • Adjustable straps, snap closure, and includes removable pads</t>
        </is>
      </c>
      <c r="H836" s="893" t="inlineStr">
        <is>
          <t>Outer lining: 75% Nylon, 25% Spandex; 78% Polyamide, 22% Spandex • Lining: 74% Polyamide; 26% Spandex • Care instructions: Machine wash on gentle cycle, lay flat to dry or tumble dry on low heat</t>
        </is>
      </c>
      <c r="I836" s="894" t="inlineStr">
        <is>
          <t>22 Spring Sale, Category_Lingerie, Category_Lingerie/BRApparel, Category_Lounge/Bodysuits, Category_Underwear, Category_Underwear/Tops, Category_Underwear/Tops/Bodysuits, Collection_Nude, color-tanned-orange, Cup_A_C, Cup_B_D, Fabric_Lingerie/Striped Mesh, Feature_Casuals, Feature_Essentials, Final Sale, hide-bis, HR-CX, Lingerie/BRApparel/Bodysuit, no-returns, over-10, Sale, Size_L, Size_M, Size_S, Size_XL, Size_XS, Size_XXL, Sized Bodysuit</t>
        </is>
      </c>
      <c r="J836" s="895" t="inlineStr">
        <is>
          <t>nude-striped-mesh-bodysuit</t>
        </is>
      </c>
    </row>
    <row r="837" ht="56" customHeight="1" s="229">
      <c r="A837" s="880" t="inlineStr">
        <is>
          <t>Nude Striped Mesh Triangle Bra</t>
        </is>
      </c>
      <c r="B837" s="881" t="inlineStr">
        <is>
          <t>Underwear</t>
        </is>
      </c>
      <c r="C837" s="882" t="n">
        <v>68</v>
      </c>
      <c r="D837" s="882" t="n">
        <v>47.6</v>
      </c>
      <c r="E837" s="937" t="inlineStr">
        <is>
          <t>Yes</t>
        </is>
      </c>
      <c r="F837" s="883" t="inlineStr">
        <is>
          <t>With adjustable straps and band, this Nude Collection bra offers a personalized level of comfort without making sacrifices in the way of fashion – its elegant aesthetic is timeless. Comfort, elegance, and functionality – what more can you ask for?</t>
        </is>
      </c>
      <c r="G837" s="884" t="inlineStr">
        <is>
          <t>• U-shaped back and four-way stretch fabric for comfortable and even fit • Wide, adjustable straps and band for extra support • Keyhole for ventilation and breathability • Suitable for A-D cup sizes. Cups are detachable</t>
        </is>
      </c>
      <c r="H837" s="885" t="inlineStr">
        <is>
          <t>78% Nylon 22% Spandex • Lining: 74% Nylon 26% Spandex • Cup Material: 74% Nylon 26% Spandex • Care instructions: Machine wash on gentle cycle, lay flat to dry or tumble dry on low heat</t>
        </is>
      </c>
      <c r="I837" s="886" t="inlineStr">
        <is>
          <t>22 Spring Sale, Category_Bras/Everyday, Category_Bras/Medium Support, Category_Lingerie, Category_Lingerie/Wireless Bra, Category_Lingerie/Wireless Bra/Triangle, Category_Underwear, Category_Underwear/Tops, Category_Underwear/Tops/Wireless Bra, Category_Underwear/Tops/Wireless Bra/Triangle, Collection_Nude, color-coconut-white, color-ecru, Cup_A_C, Cup_B_D, Fabric_Lingerie/Striped Mesh, Feature_Casuals, Feature_Essentials, Feature_New Arrival, Flexport Stock, hide-bis, no-returns, over-10, Pre-adjustment Small Size Bra, Sale, Size_L, Size_M, Size_S, Size_XL, Size_XS, Size_XXL, US Inventory, US Main</t>
        </is>
      </c>
      <c r="J837" s="887" t="inlineStr">
        <is>
          <t>nude-striped-mesh-triangle-bra</t>
        </is>
      </c>
    </row>
    <row r="838" ht="98" customHeight="1" s="229">
      <c r="A838" s="888" t="inlineStr">
        <is>
          <t>Pure Comfort 5/8 Cup Bandeau Bra 1.0</t>
        </is>
      </c>
      <c r="B838" s="889" t="inlineStr">
        <is>
          <t>Underwear</t>
        </is>
      </c>
      <c r="C838" s="890" t="n">
        <v>38</v>
      </c>
      <c r="D838" s="890" t="n">
        <v>38</v>
      </c>
      <c r="E838" s="889" t="inlineStr"/>
      <c r="F838" s="891" t="inlineStr">
        <is>
          <t>A bra that has a sigh of relief built in. From our Pure Comfort Collection , this convertible bandeau bra offers soft, comfortable everyday wear. High-quality TENCEL‚Ñ¢ Modal and LYCRA¬Æ Elastic ensure the shape and form keeps its structure, and removable straps provide you with different options to wear – all making it even more suitable for everyday activities. It features a key-hole style for ventilation, making it a must-have t-shirt bra for comfortable everyday wear and an excellent choice for B-D cups sizes.</t>
        </is>
      </c>
      <c r="G838" s="892" t="inlineStr">
        <is>
          <t>• Made from eco-friendly Austrian TENCEL‚Ñ¢ Modal, adding extra softness and skin comfort; combined with LYCRA¬Æ Elastic to retain shape and form • Fully adjustable straps; converts to traditional, halter, and crisscross styles • Steel-free rings for additional comfort • Designed for B-D cup sizes</t>
        </is>
      </c>
      <c r="H838" s="893" t="inlineStr">
        <is>
          <t>46% TENCEL‚Ñ¢ Modal 45% Supima¬Æ Cotton 9% LYCRA¬Æ Spandex • Care instructions: Hand wash in cold water, lay flat to dry</t>
        </is>
      </c>
      <c r="I838" s="894" t="inlineStr">
        <is>
          <t>2022 Title Update, Category_Bras/Light Support, Category_Lingerie, Category_Lingerie/Wireless Bra, Category_Lingerie/Wireless Bra/Bandeau, Category_Underwear, Category_Underwear/Tops, Category_Underwear/Tops/Wireless Bra, Category_Underwear/Tops/Wireless Bra/Bandeau, Collection_Pure Comfort, color-avocado, color-navy, color-vivid, Cup_B_D, Cup_C_Plus, Feature_Casuals, Feature_Essentials, Feature_New Arrival, Pre-adjustment Large Cup, Size_L, Size_M, Size_S, Size_XL, Size_XS, Size_XXL, Wireless/Shop All</t>
        </is>
      </c>
      <c r="J838" s="895" t="inlineStr">
        <is>
          <t>pure-comfort-5-8-cup-bandeau-bra-v1</t>
        </is>
      </c>
    </row>
    <row r="839" ht="56" customHeight="1" s="229">
      <c r="A839" s="880" t="inlineStr">
        <is>
          <t>Pure Comfort Supima¬Æ Cotton Mid Waist Briefs, 3 Pack</t>
        </is>
      </c>
      <c r="B839" s="881" t="inlineStr">
        <is>
          <t>Underwear</t>
        </is>
      </c>
      <c r="C839" s="882" t="n">
        <v>30</v>
      </c>
      <c r="D839" s="882" t="n">
        <v>21</v>
      </c>
      <c r="E839" s="937" t="inlineStr">
        <is>
          <t>Yes</t>
        </is>
      </c>
      <c r="F839" s="883" t="inlineStr">
        <is>
          <t>This bundle includes three mid-waist briefs from our Pure Comfort Collection : made from a premium blend of American Supima¬Æ Cotton &amp; Austrian TENCEL‚Ñ¢ Modal for pure all-day comfort. This item is final sale and cannot be returned or exchanged.</t>
        </is>
      </c>
      <c r="G839" s="884" t="inlineStr">
        <is>
          <t>• The superior absorption and breathability of American Supima¬Æ Cotton meet the softness and lightness of TENCEL‚Ñ¢ Modal for ultimate comfort. • Classic fit, sits at mid-waist with moderate back coverage. • Low cut leg and soft trim details. 100% cotton lining.</t>
        </is>
      </c>
      <c r="H839" s="885" t="inlineStr">
        <is>
          <t>42% TENCEL‚Ñ¢ Modal, 41% Supima¬Æ Cotton, 17% Spandex; 100% cotton gusset. • Care instructions: Machine wash on gentle cycle in cold water, line dry</t>
        </is>
      </c>
      <c r="I839" s="886" t="inlineStr">
        <is>
          <t>2022 Title Update, 22 Spring Sale, Category_Lingerie, Category_Lingerie/Brief, Category_Lingerie/Brief/Mid Waist, Category_Underwear, Category_Underwear/Bottoms, Category_Underwear/Bottoms/Panties, Category_Underwear/Bottoms/Panties/Mid Waist, Collection_Pure Comfort, color-black-egret-blue-blush, color-peach-shell-pink-avocado, Fabric_Lingerie/Supima, Fabric_Lingerie/Tencel, Fabric_Underwear/Cotton, Fabric_Underwear/Tencel Modal, Feature_Casuals, Feature_Essentials, hide-bis, HR-CX, no-returns, over-10, Pre-adjustment Size Brief, Sale, Size_L, Size_M, Size_S, Size_XL, Size_XS, Size_XXL</t>
        </is>
      </c>
      <c r="J839" s="887" t="inlineStr">
        <is>
          <t>pure-comfort-supima-cotton-mid-waist-briefs-3-pack</t>
        </is>
      </c>
    </row>
    <row r="840" ht="70" customHeight="1" s="229">
      <c r="A840" s="888" t="inlineStr">
        <is>
          <t>Nude Back Striped T-Shirt Bra</t>
        </is>
      </c>
      <c r="B840" s="889" t="inlineStr">
        <is>
          <t>Underwear</t>
        </is>
      </c>
      <c r="C840" s="890" t="n">
        <v>68</v>
      </c>
      <c r="D840" s="890" t="n">
        <v>47.6</v>
      </c>
      <c r="E840" s="985" t="inlineStr">
        <is>
          <t>Yes</t>
        </is>
      </c>
      <c r="F840" s="891" t="inlineStr">
        <is>
          <t>Flexible and versatile, this smooth Nude Collection Back Striped T-Shirt wireless bra is a design made for extra comfort – and comfort never goes out of style. Enhanced with 4-sided elasticity and high-grade texture with removable inserts to help you customize your support and fit, this is the bra you'll wish you could wear every day of the week.</t>
        </is>
      </c>
      <c r="G840" s="892" t="inlineStr">
        <is>
          <t>• Wireless with adjustable straps and detachable cups • Striped, elastic mesh band for smooth fit on sides and back • Key-hole feature for breathability and ventilation • Smooth plunge cup molding for superior support and seamless appearance • Suitable for sizes A-C</t>
        </is>
      </c>
      <c r="H840" s="893" t="inlineStr">
        <is>
          <t>74% Nylon, 26% Spandex • Lining: 78% Nylon, 22% Spandex • Care instructions: Hand wash in cold water, lay flat to dry</t>
        </is>
      </c>
      <c r="I840" s="894" t="inlineStr">
        <is>
          <t>22 Spring Sale, Category_Bras/Everyday, Category_Lingerie, Category_Lingerie/Wireless Bra, Category_Lingerie/Wireless Bra/Soft-Cup, Category_Underwear, Category_Underwear/Tops, Category_Underwear/Tops/Wireless Bra, Category_Underwear/Tops/Wireless Bra/Soft-Cup, Collection_November Sale, Collection_Nude, color-ecru, color-tanned-orange, Cup_A_C, Fabric_Lingerie/Striped Mesh, Feature_Casuals, Feature_Essentials, Feature_New Arrival, Lingerie/Wireless Bras/Plunge, no-returns, over-10, Pre-adjustment Small Size Bra, Shop All, Size_L, Size_M, Size_S, Size_XL, Size_XS, Size_XXL</t>
        </is>
      </c>
      <c r="J840" s="895" t="inlineStr">
        <is>
          <t>nude-back-striped-t-shirt-bra</t>
        </is>
      </c>
    </row>
    <row r="841" ht="70" customHeight="1" s="229">
      <c r="A841" s="896" t="inlineStr">
        <is>
          <t>Cozy Cotton Pleated Night Slip Dress</t>
        </is>
      </c>
      <c r="B841" s="897" t="inlineStr">
        <is>
          <t>Loungewear</t>
        </is>
      </c>
      <c r="C841" s="898" t="n">
        <v>88</v>
      </c>
      <c r="D841" s="898" t="n">
        <v>61.6</v>
      </c>
      <c r="E841" s="957" t="inlineStr">
        <is>
          <t>Yes</t>
        </is>
      </c>
      <c r="F841" s="899" t="inlineStr">
        <is>
          <t>Clean and contemporary, our Cozy Cotton Collection pleated night slip is the lightest sleepwear imaginable. Made from 100% cotton, this piece is extremely lightweight and smooth on your skin; the perfect choice when traveling light or staying in the comfort of your own home. It has a loose fit and hangs delicately from thin straps – can be easily layered or worn alone as a sleep dress.</t>
        </is>
      </c>
      <c r="G841" s="900" t="inlineStr">
        <is>
          <t>• Unmatched softness, a delicacy of sleep apparel • An easy fit and attractive silhouette, with universal hem • Pullover slip style, scoop neckline</t>
        </is>
      </c>
      <c r="H841" s="901" t="inlineStr">
        <is>
          <t>100% Cotton • Care instructions: Machine wash cold, tumble dry on low heat or lay flat to dry</t>
        </is>
      </c>
      <c r="I841" s="902" t="inlineStr">
        <is>
          <t>22 Spring Sale, Category_Lounge, Category_Lounge/Dress, Category_Lounge/Dress&amp;Jumpsuit, Collection_Cozy Cotton, color-hazelnut, color-mojito, Fabric_Lounge/100 Cotton, Fabric_Lounge/Cotton, Feature_Casuals, Feature_Essentials, Feature_New Arrival, Final Sale, Function_Lounge/Sleep, Function_Lounge/Sleep/Nightdress, hide-bis, over-10, Sale, Shop All, Size_L, Size_M, Size_S, Size_XL, Size_XS, Size_XXL, Sleep</t>
        </is>
      </c>
      <c r="J841" s="903" t="inlineStr">
        <is>
          <t>cozy-cotton-pleated-night-slip-dress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2026-02-18T02:24:03Z</dcterms:created>
  <dcterms:modified xmlns:dcterms="http://purl.org/dc/terms/" xmlns:xsi="http://www.w3.org/2001/XMLSchema-instance" xsi:type="dcterms:W3CDTF">2026-02-19T07:41:18Z</dcterms:modified>
  <cp:lastModifiedBy>李江</cp:lastModifiedBy>
</cp:coreProperties>
</file>